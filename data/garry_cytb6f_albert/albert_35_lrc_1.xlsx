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5gga\Documents\git\Cyt_b6f_temp\data\garry_cytb6f_albert\"/>
    </mc:Choice>
  </mc:AlternateContent>
  <xr:revisionPtr revIDLastSave="0" documentId="13_ncr:1_{E8232DD2-E7DB-4D26-AE2D-B9D54151A8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17" i="1" l="1"/>
  <c r="BL17" i="1"/>
  <c r="DK108" i="1"/>
  <c r="DJ108" i="1"/>
  <c r="DH108" i="1"/>
  <c r="DI108" i="1" s="1"/>
  <c r="BJ108" i="1" s="1"/>
  <c r="BW108" i="1"/>
  <c r="BV108" i="1"/>
  <c r="BR108" i="1"/>
  <c r="BU108" i="1" s="1"/>
  <c r="BO108" i="1"/>
  <c r="BN108" i="1"/>
  <c r="BK108" i="1"/>
  <c r="BM108" i="1" s="1"/>
  <c r="BH108" i="1"/>
  <c r="BL108" i="1" s="1"/>
  <c r="BB108" i="1"/>
  <c r="AW108" i="1"/>
  <c r="AU108" i="1" s="1"/>
  <c r="AN108" i="1"/>
  <c r="AI108" i="1"/>
  <c r="AA108" i="1"/>
  <c r="Z108" i="1"/>
  <c r="Y108" i="1" s="1"/>
  <c r="U108" i="1"/>
  <c r="V108" i="1" s="1"/>
  <c r="W108" i="1" s="1"/>
  <c r="R108" i="1"/>
  <c r="L108" i="1"/>
  <c r="K108" i="1"/>
  <c r="J108" i="1"/>
  <c r="AC108" i="1" s="1"/>
  <c r="DK107" i="1"/>
  <c r="DJ107" i="1"/>
  <c r="DH107" i="1"/>
  <c r="BW107" i="1"/>
  <c r="BV107" i="1"/>
  <c r="BR107" i="1"/>
  <c r="BS107" i="1" s="1"/>
  <c r="BN107" i="1"/>
  <c r="BH107" i="1"/>
  <c r="BB107" i="1"/>
  <c r="BO107" i="1" s="1"/>
  <c r="AW107" i="1"/>
  <c r="AU107" i="1" s="1"/>
  <c r="AN107" i="1"/>
  <c r="AI107" i="1"/>
  <c r="L107" i="1" s="1"/>
  <c r="BK107" i="1" s="1"/>
  <c r="AA107" i="1"/>
  <c r="Z107" i="1"/>
  <c r="Y107" i="1" s="1"/>
  <c r="R107" i="1"/>
  <c r="K107" i="1"/>
  <c r="J107" i="1"/>
  <c r="DK106" i="1"/>
  <c r="DJ106" i="1"/>
  <c r="DH106" i="1"/>
  <c r="BW106" i="1"/>
  <c r="BV106" i="1"/>
  <c r="BR106" i="1"/>
  <c r="BU106" i="1" s="1"/>
  <c r="BO106" i="1"/>
  <c r="BN106" i="1"/>
  <c r="BH106" i="1"/>
  <c r="BB106" i="1"/>
  <c r="AW106" i="1"/>
  <c r="AU106" i="1"/>
  <c r="AV106" i="1" s="1"/>
  <c r="AN106" i="1"/>
  <c r="AI106" i="1"/>
  <c r="L106" i="1" s="1"/>
  <c r="BK106" i="1" s="1"/>
  <c r="AH106" i="1"/>
  <c r="AA106" i="1"/>
  <c r="Z106" i="1"/>
  <c r="Y106" i="1"/>
  <c r="R106" i="1"/>
  <c r="M106" i="1"/>
  <c r="K106" i="1"/>
  <c r="J106" i="1"/>
  <c r="DK105" i="1"/>
  <c r="DJ105" i="1"/>
  <c r="DH105" i="1"/>
  <c r="BW105" i="1"/>
  <c r="BV105" i="1"/>
  <c r="BR105" i="1"/>
  <c r="BN105" i="1"/>
  <c r="BH105" i="1"/>
  <c r="BB105" i="1"/>
  <c r="BO105" i="1" s="1"/>
  <c r="AW105" i="1"/>
  <c r="AU105" i="1"/>
  <c r="P105" i="1" s="1"/>
  <c r="AN105" i="1"/>
  <c r="K105" i="1" s="1"/>
  <c r="AI105" i="1"/>
  <c r="AH105" i="1"/>
  <c r="AA105" i="1"/>
  <c r="Z105" i="1"/>
  <c r="Y105" i="1"/>
  <c r="R105" i="1"/>
  <c r="M105" i="1"/>
  <c r="L105" i="1"/>
  <c r="BK105" i="1" s="1"/>
  <c r="J105" i="1"/>
  <c r="DK104" i="1"/>
  <c r="DJ104" i="1"/>
  <c r="DH104" i="1"/>
  <c r="BW104" i="1"/>
  <c r="BV104" i="1"/>
  <c r="BR104" i="1"/>
  <c r="BN104" i="1"/>
  <c r="BH104" i="1"/>
  <c r="BB104" i="1"/>
  <c r="BO104" i="1" s="1"/>
  <c r="AW104" i="1"/>
  <c r="AU104" i="1" s="1"/>
  <c r="AV104" i="1" s="1"/>
  <c r="AN104" i="1"/>
  <c r="K104" i="1" s="1"/>
  <c r="J104" i="1" s="1"/>
  <c r="AI104" i="1"/>
  <c r="AA104" i="1"/>
  <c r="Z104" i="1"/>
  <c r="Y104" i="1" s="1"/>
  <c r="R104" i="1"/>
  <c r="L104" i="1"/>
  <c r="BK104" i="1" s="1"/>
  <c r="DK103" i="1"/>
  <c r="DJ103" i="1"/>
  <c r="DH103" i="1"/>
  <c r="BW103" i="1"/>
  <c r="BV103" i="1"/>
  <c r="BT103" i="1"/>
  <c r="BX103" i="1" s="1"/>
  <c r="BY103" i="1" s="1"/>
  <c r="BR103" i="1"/>
  <c r="BN103" i="1"/>
  <c r="BH103" i="1"/>
  <c r="BB103" i="1"/>
  <c r="BO103" i="1" s="1"/>
  <c r="AW103" i="1"/>
  <c r="AV103" i="1"/>
  <c r="AU103" i="1"/>
  <c r="AG103" i="1" s="1"/>
  <c r="AN103" i="1"/>
  <c r="K103" i="1" s="1"/>
  <c r="AI103" i="1"/>
  <c r="AH103" i="1"/>
  <c r="AA103" i="1"/>
  <c r="Z103" i="1"/>
  <c r="Y103" i="1" s="1"/>
  <c r="R103" i="1"/>
  <c r="P103" i="1"/>
  <c r="M103" i="1"/>
  <c r="L103" i="1"/>
  <c r="BK103" i="1" s="1"/>
  <c r="J103" i="1"/>
  <c r="DK102" i="1"/>
  <c r="DJ102" i="1"/>
  <c r="DH102" i="1"/>
  <c r="BW102" i="1"/>
  <c r="BV102" i="1"/>
  <c r="BR102" i="1"/>
  <c r="BN102" i="1"/>
  <c r="BH102" i="1"/>
  <c r="BB102" i="1"/>
  <c r="BO102" i="1" s="1"/>
  <c r="AW102" i="1"/>
  <c r="AU102" i="1" s="1"/>
  <c r="AV102" i="1"/>
  <c r="AN102" i="1"/>
  <c r="K102" i="1" s="1"/>
  <c r="AI102" i="1"/>
  <c r="AH102" i="1"/>
  <c r="AA102" i="1"/>
  <c r="Z102" i="1"/>
  <c r="Y102" i="1" s="1"/>
  <c r="R102" i="1"/>
  <c r="P102" i="1"/>
  <c r="L102" i="1"/>
  <c r="BK102" i="1" s="1"/>
  <c r="J102" i="1"/>
  <c r="AC102" i="1" s="1"/>
  <c r="DK101" i="1"/>
  <c r="DJ101" i="1"/>
  <c r="DI101" i="1"/>
  <c r="BJ101" i="1" s="1"/>
  <c r="BL101" i="1" s="1"/>
  <c r="DH101" i="1"/>
  <c r="BW101" i="1"/>
  <c r="BV101" i="1"/>
  <c r="BR101" i="1"/>
  <c r="BN101" i="1"/>
  <c r="BH101" i="1"/>
  <c r="BB101" i="1"/>
  <c r="BO101" i="1" s="1"/>
  <c r="AW101" i="1"/>
  <c r="AV101" i="1"/>
  <c r="AU101" i="1"/>
  <c r="AN101" i="1"/>
  <c r="K101" i="1" s="1"/>
  <c r="AI101" i="1"/>
  <c r="AH101" i="1"/>
  <c r="AG101" i="1"/>
  <c r="AA101" i="1"/>
  <c r="Z101" i="1"/>
  <c r="Y101" i="1" s="1"/>
  <c r="U101" i="1"/>
  <c r="V101" i="1" s="1"/>
  <c r="W101" i="1" s="1"/>
  <c r="R101" i="1"/>
  <c r="P101" i="1"/>
  <c r="M101" i="1"/>
  <c r="L101" i="1"/>
  <c r="BK101" i="1" s="1"/>
  <c r="J101" i="1"/>
  <c r="DK100" i="1"/>
  <c r="DJ100" i="1"/>
  <c r="DH100" i="1"/>
  <c r="BW100" i="1"/>
  <c r="BV100" i="1"/>
  <c r="BR100" i="1"/>
  <c r="BN100" i="1"/>
  <c r="BH100" i="1"/>
  <c r="BB100" i="1"/>
  <c r="BO100" i="1" s="1"/>
  <c r="AW100" i="1"/>
  <c r="AU100" i="1" s="1"/>
  <c r="AV100" i="1"/>
  <c r="AN100" i="1"/>
  <c r="K100" i="1" s="1"/>
  <c r="J100" i="1" s="1"/>
  <c r="AI100" i="1"/>
  <c r="AH100" i="1"/>
  <c r="AA100" i="1"/>
  <c r="Z100" i="1"/>
  <c r="Y100" i="1" s="1"/>
  <c r="R100" i="1"/>
  <c r="P100" i="1"/>
  <c r="L100" i="1"/>
  <c r="BK100" i="1" s="1"/>
  <c r="DK99" i="1"/>
  <c r="DJ99" i="1"/>
  <c r="DH99" i="1"/>
  <c r="BW99" i="1"/>
  <c r="BV99" i="1"/>
  <c r="BR99" i="1"/>
  <c r="BU99" i="1" s="1"/>
  <c r="BN99" i="1"/>
  <c r="BH99" i="1"/>
  <c r="BB99" i="1"/>
  <c r="BO99" i="1" s="1"/>
  <c r="AW99" i="1"/>
  <c r="AV99" i="1"/>
  <c r="AU99" i="1"/>
  <c r="AG99" i="1" s="1"/>
  <c r="AN99" i="1"/>
  <c r="K99" i="1" s="1"/>
  <c r="AI99" i="1"/>
  <c r="AH99" i="1"/>
  <c r="AA99" i="1"/>
  <c r="Z99" i="1"/>
  <c r="Y99" i="1"/>
  <c r="R99" i="1"/>
  <c r="P99" i="1"/>
  <c r="M99" i="1"/>
  <c r="L99" i="1"/>
  <c r="BK99" i="1" s="1"/>
  <c r="J99" i="1"/>
  <c r="DK98" i="1"/>
  <c r="DJ98" i="1"/>
  <c r="DH98" i="1"/>
  <c r="BW98" i="1"/>
  <c r="BV98" i="1"/>
  <c r="BN98" i="1"/>
  <c r="BH98" i="1"/>
  <c r="BB98" i="1"/>
  <c r="BO98" i="1" s="1"/>
  <c r="BR98" i="1" s="1"/>
  <c r="AW98" i="1"/>
  <c r="AU98" i="1" s="1"/>
  <c r="AV98" i="1"/>
  <c r="AN98" i="1"/>
  <c r="K98" i="1" s="1"/>
  <c r="J98" i="1" s="1"/>
  <c r="AI98" i="1"/>
  <c r="AA98" i="1"/>
  <c r="Z98" i="1"/>
  <c r="R98" i="1"/>
  <c r="P98" i="1"/>
  <c r="L98" i="1"/>
  <c r="BK98" i="1" s="1"/>
  <c r="DK97" i="1"/>
  <c r="DJ97" i="1"/>
  <c r="DH97" i="1"/>
  <c r="BW97" i="1"/>
  <c r="BV97" i="1"/>
  <c r="BT97" i="1"/>
  <c r="BX97" i="1" s="1"/>
  <c r="BY97" i="1" s="1"/>
  <c r="BR97" i="1"/>
  <c r="BN97" i="1"/>
  <c r="BH97" i="1"/>
  <c r="BB97" i="1"/>
  <c r="BO97" i="1" s="1"/>
  <c r="AW97" i="1"/>
  <c r="AV97" i="1"/>
  <c r="AU97" i="1"/>
  <c r="AN97" i="1"/>
  <c r="K97" i="1" s="1"/>
  <c r="J97" i="1" s="1"/>
  <c r="AI97" i="1"/>
  <c r="AH97" i="1"/>
  <c r="AG97" i="1"/>
  <c r="AA97" i="1"/>
  <c r="Z97" i="1"/>
  <c r="Y97" i="1" s="1"/>
  <c r="R97" i="1"/>
  <c r="P97" i="1"/>
  <c r="M97" i="1"/>
  <c r="L97" i="1"/>
  <c r="BK97" i="1" s="1"/>
  <c r="DK96" i="1"/>
  <c r="DJ96" i="1"/>
  <c r="DH96" i="1"/>
  <c r="BW96" i="1"/>
  <c r="BV96" i="1"/>
  <c r="BT96" i="1"/>
  <c r="BX96" i="1" s="1"/>
  <c r="BY96" i="1" s="1"/>
  <c r="BR96" i="1"/>
  <c r="BN96" i="1"/>
  <c r="BK96" i="1"/>
  <c r="BH96" i="1"/>
  <c r="BB96" i="1"/>
  <c r="BO96" i="1" s="1"/>
  <c r="AW96" i="1"/>
  <c r="AU96" i="1" s="1"/>
  <c r="AV96" i="1"/>
  <c r="AN96" i="1"/>
  <c r="K96" i="1" s="1"/>
  <c r="J96" i="1" s="1"/>
  <c r="AI96" i="1"/>
  <c r="AH96" i="1"/>
  <c r="AA96" i="1"/>
  <c r="Z96" i="1"/>
  <c r="Y96" i="1" s="1"/>
  <c r="R96" i="1"/>
  <c r="P96" i="1"/>
  <c r="L96" i="1"/>
  <c r="DK95" i="1"/>
  <c r="DJ95" i="1"/>
  <c r="DI95" i="1"/>
  <c r="BJ95" i="1" s="1"/>
  <c r="BL95" i="1" s="1"/>
  <c r="DH95" i="1"/>
  <c r="BW95" i="1"/>
  <c r="BV95" i="1"/>
  <c r="BR95" i="1"/>
  <c r="BN95" i="1"/>
  <c r="BH95" i="1"/>
  <c r="BB95" i="1"/>
  <c r="BO95" i="1" s="1"/>
  <c r="AW95" i="1"/>
  <c r="AV95" i="1"/>
  <c r="AU95" i="1"/>
  <c r="AN95" i="1"/>
  <c r="K95" i="1" s="1"/>
  <c r="J95" i="1" s="1"/>
  <c r="AI95" i="1"/>
  <c r="AH95" i="1"/>
  <c r="AG95" i="1"/>
  <c r="AA95" i="1"/>
  <c r="Z95" i="1"/>
  <c r="Y95" i="1" s="1"/>
  <c r="U95" i="1"/>
  <c r="R95" i="1"/>
  <c r="P95" i="1"/>
  <c r="M95" i="1"/>
  <c r="L95" i="1"/>
  <c r="BK95" i="1" s="1"/>
  <c r="BM95" i="1" s="1"/>
  <c r="DK94" i="1"/>
  <c r="DJ94" i="1"/>
  <c r="DH94" i="1"/>
  <c r="BW94" i="1"/>
  <c r="BV94" i="1"/>
  <c r="BR94" i="1"/>
  <c r="BN94" i="1"/>
  <c r="BH94" i="1"/>
  <c r="BB94" i="1"/>
  <c r="BO94" i="1" s="1"/>
  <c r="AW94" i="1"/>
  <c r="AU94" i="1" s="1"/>
  <c r="AV94" i="1" s="1"/>
  <c r="AN94" i="1"/>
  <c r="K94" i="1" s="1"/>
  <c r="J94" i="1" s="1"/>
  <c r="AI94" i="1"/>
  <c r="AH94" i="1"/>
  <c r="AA94" i="1"/>
  <c r="Z94" i="1"/>
  <c r="Y94" i="1" s="1"/>
  <c r="R94" i="1"/>
  <c r="P94" i="1"/>
  <c r="L94" i="1"/>
  <c r="BK94" i="1" s="1"/>
  <c r="DK93" i="1"/>
  <c r="DJ93" i="1"/>
  <c r="DH93" i="1"/>
  <c r="BW93" i="1"/>
  <c r="BV93" i="1"/>
  <c r="BR93" i="1"/>
  <c r="BN93" i="1"/>
  <c r="BH93" i="1"/>
  <c r="BB93" i="1"/>
  <c r="BO93" i="1" s="1"/>
  <c r="AW93" i="1"/>
  <c r="AV93" i="1"/>
  <c r="AU93" i="1"/>
  <c r="AG93" i="1" s="1"/>
  <c r="AN93" i="1"/>
  <c r="K93" i="1" s="1"/>
  <c r="J93" i="1" s="1"/>
  <c r="AI93" i="1"/>
  <c r="AH93" i="1"/>
  <c r="AA93" i="1"/>
  <c r="Z93" i="1"/>
  <c r="Y93" i="1"/>
  <c r="R93" i="1"/>
  <c r="P93" i="1"/>
  <c r="M93" i="1"/>
  <c r="L93" i="1"/>
  <c r="BK93" i="1" s="1"/>
  <c r="DK92" i="1"/>
  <c r="DJ92" i="1"/>
  <c r="DH92" i="1"/>
  <c r="BW92" i="1"/>
  <c r="BV92" i="1"/>
  <c r="BR92" i="1"/>
  <c r="BS92" i="1" s="1"/>
  <c r="BN92" i="1"/>
  <c r="BH92" i="1"/>
  <c r="BB92" i="1"/>
  <c r="BO92" i="1" s="1"/>
  <c r="AW92" i="1"/>
  <c r="AU92" i="1" s="1"/>
  <c r="AH92" i="1" s="1"/>
  <c r="AV92" i="1"/>
  <c r="AN92" i="1"/>
  <c r="K92" i="1" s="1"/>
  <c r="J92" i="1" s="1"/>
  <c r="AI92" i="1"/>
  <c r="AA92" i="1"/>
  <c r="Z92" i="1"/>
  <c r="R92" i="1"/>
  <c r="P92" i="1"/>
  <c r="L92" i="1"/>
  <c r="BK92" i="1" s="1"/>
  <c r="DK91" i="1"/>
  <c r="DJ91" i="1"/>
  <c r="DH91" i="1"/>
  <c r="BW91" i="1"/>
  <c r="BV91" i="1"/>
  <c r="BR91" i="1"/>
  <c r="BN91" i="1"/>
  <c r="BH91" i="1"/>
  <c r="BB91" i="1"/>
  <c r="BO91" i="1" s="1"/>
  <c r="AW91" i="1"/>
  <c r="AV91" i="1"/>
  <c r="AU91" i="1"/>
  <c r="AN91" i="1"/>
  <c r="K91" i="1" s="1"/>
  <c r="AI91" i="1"/>
  <c r="AH91" i="1"/>
  <c r="AG91" i="1"/>
  <c r="AA91" i="1"/>
  <c r="Z91" i="1"/>
  <c r="Y91" i="1" s="1"/>
  <c r="R91" i="1"/>
  <c r="P91" i="1"/>
  <c r="M91" i="1"/>
  <c r="L91" i="1"/>
  <c r="BK91" i="1" s="1"/>
  <c r="J91" i="1"/>
  <c r="DK90" i="1"/>
  <c r="DJ90" i="1"/>
  <c r="DH90" i="1"/>
  <c r="BW90" i="1"/>
  <c r="BV90" i="1"/>
  <c r="BT90" i="1"/>
  <c r="BX90" i="1" s="1"/>
  <c r="BY90" i="1" s="1"/>
  <c r="BR90" i="1"/>
  <c r="BN90" i="1"/>
  <c r="BK90" i="1"/>
  <c r="BH90" i="1"/>
  <c r="BB90" i="1"/>
  <c r="BO90" i="1" s="1"/>
  <c r="AW90" i="1"/>
  <c r="AU90" i="1" s="1"/>
  <c r="AV90" i="1"/>
  <c r="AN90" i="1"/>
  <c r="K90" i="1" s="1"/>
  <c r="J90" i="1" s="1"/>
  <c r="AI90" i="1"/>
  <c r="AH90" i="1"/>
  <c r="AA90" i="1"/>
  <c r="Z90" i="1"/>
  <c r="Y90" i="1" s="1"/>
  <c r="R90" i="1"/>
  <c r="P90" i="1"/>
  <c r="L90" i="1"/>
  <c r="DK89" i="1"/>
  <c r="DJ89" i="1"/>
  <c r="DI89" i="1"/>
  <c r="BJ89" i="1" s="1"/>
  <c r="BL89" i="1" s="1"/>
  <c r="DH89" i="1"/>
  <c r="BW89" i="1"/>
  <c r="BV89" i="1"/>
  <c r="BR89" i="1"/>
  <c r="BN89" i="1"/>
  <c r="BH89" i="1"/>
  <c r="BB89" i="1"/>
  <c r="BO89" i="1" s="1"/>
  <c r="AW89" i="1"/>
  <c r="AU89" i="1"/>
  <c r="AV89" i="1" s="1"/>
  <c r="AN89" i="1"/>
  <c r="K89" i="1" s="1"/>
  <c r="AI89" i="1"/>
  <c r="AH89" i="1"/>
  <c r="AA89" i="1"/>
  <c r="Z89" i="1"/>
  <c r="Y89" i="1" s="1"/>
  <c r="U89" i="1"/>
  <c r="V89" i="1" s="1"/>
  <c r="W89" i="1" s="1"/>
  <c r="R89" i="1"/>
  <c r="M89" i="1"/>
  <c r="L89" i="1"/>
  <c r="BK89" i="1" s="1"/>
  <c r="J89" i="1"/>
  <c r="DK88" i="1"/>
  <c r="DJ88" i="1"/>
  <c r="DH88" i="1"/>
  <c r="BW88" i="1"/>
  <c r="BV88" i="1"/>
  <c r="BU88" i="1"/>
  <c r="BO88" i="1"/>
  <c r="BR88" i="1" s="1"/>
  <c r="BN88" i="1"/>
  <c r="BH88" i="1"/>
  <c r="BB88" i="1"/>
  <c r="AW88" i="1"/>
  <c r="AU88" i="1" s="1"/>
  <c r="AH88" i="1" s="1"/>
  <c r="AV88" i="1"/>
  <c r="AN88" i="1"/>
  <c r="AI88" i="1"/>
  <c r="L88" i="1" s="1"/>
  <c r="BK88" i="1" s="1"/>
  <c r="AA88" i="1"/>
  <c r="Z88" i="1"/>
  <c r="Y88" i="1" s="1"/>
  <c r="R88" i="1"/>
  <c r="P88" i="1"/>
  <c r="K88" i="1"/>
  <c r="J88" i="1"/>
  <c r="DK87" i="1"/>
  <c r="DJ87" i="1"/>
  <c r="DH87" i="1"/>
  <c r="BW87" i="1"/>
  <c r="BV87" i="1"/>
  <c r="BT87" i="1"/>
  <c r="BX87" i="1" s="1"/>
  <c r="BY87" i="1" s="1"/>
  <c r="BR87" i="1"/>
  <c r="BU87" i="1" s="1"/>
  <c r="BN87" i="1"/>
  <c r="BH87" i="1"/>
  <c r="BB87" i="1"/>
  <c r="BO87" i="1" s="1"/>
  <c r="AW87" i="1"/>
  <c r="AU87" i="1"/>
  <c r="AG87" i="1" s="1"/>
  <c r="AN87" i="1"/>
  <c r="K87" i="1" s="1"/>
  <c r="AI87" i="1"/>
  <c r="AA87" i="1"/>
  <c r="Z87" i="1"/>
  <c r="Y87" i="1"/>
  <c r="R87" i="1"/>
  <c r="M87" i="1"/>
  <c r="L87" i="1"/>
  <c r="BK87" i="1" s="1"/>
  <c r="J87" i="1"/>
  <c r="DK86" i="1"/>
  <c r="DJ86" i="1"/>
  <c r="DH86" i="1"/>
  <c r="BW86" i="1"/>
  <c r="BV86" i="1"/>
  <c r="BR86" i="1"/>
  <c r="BS86" i="1" s="1"/>
  <c r="BN86" i="1"/>
  <c r="BH86" i="1"/>
  <c r="BB86" i="1"/>
  <c r="BO86" i="1" s="1"/>
  <c r="AW86" i="1"/>
  <c r="AU86" i="1" s="1"/>
  <c r="AH86" i="1" s="1"/>
  <c r="AV86" i="1"/>
  <c r="AN86" i="1"/>
  <c r="K86" i="1" s="1"/>
  <c r="J86" i="1" s="1"/>
  <c r="AI86" i="1"/>
  <c r="AA86" i="1"/>
  <c r="Z86" i="1"/>
  <c r="Y86" i="1" s="1"/>
  <c r="R86" i="1"/>
  <c r="L86" i="1"/>
  <c r="BK86" i="1" s="1"/>
  <c r="DK85" i="1"/>
  <c r="DJ85" i="1"/>
  <c r="DH85" i="1"/>
  <c r="DI85" i="1" s="1"/>
  <c r="BJ85" i="1" s="1"/>
  <c r="BM85" i="1" s="1"/>
  <c r="BW85" i="1"/>
  <c r="BV85" i="1"/>
  <c r="BR85" i="1"/>
  <c r="BN85" i="1"/>
  <c r="BH85" i="1"/>
  <c r="BB85" i="1"/>
  <c r="BO85" i="1" s="1"/>
  <c r="AW85" i="1"/>
  <c r="AV85" i="1"/>
  <c r="AU85" i="1"/>
  <c r="AN85" i="1"/>
  <c r="K85" i="1" s="1"/>
  <c r="AI85" i="1"/>
  <c r="AH85" i="1"/>
  <c r="AG85" i="1"/>
  <c r="AA85" i="1"/>
  <c r="Z85" i="1"/>
  <c r="Y85" i="1" s="1"/>
  <c r="R85" i="1"/>
  <c r="P85" i="1"/>
  <c r="M85" i="1"/>
  <c r="L85" i="1"/>
  <c r="BK85" i="1" s="1"/>
  <c r="J85" i="1"/>
  <c r="DK84" i="1"/>
  <c r="DJ84" i="1"/>
  <c r="DH84" i="1"/>
  <c r="BW84" i="1"/>
  <c r="BV84" i="1"/>
  <c r="BT84" i="1"/>
  <c r="BX84" i="1" s="1"/>
  <c r="BY84" i="1" s="1"/>
  <c r="BR84" i="1"/>
  <c r="BN84" i="1"/>
  <c r="BH84" i="1"/>
  <c r="BB84" i="1"/>
  <c r="BO84" i="1" s="1"/>
  <c r="AW84" i="1"/>
  <c r="AU84" i="1" s="1"/>
  <c r="M84" i="1" s="1"/>
  <c r="AV84" i="1"/>
  <c r="AN84" i="1"/>
  <c r="K84" i="1" s="1"/>
  <c r="J84" i="1" s="1"/>
  <c r="AI84" i="1"/>
  <c r="L84" i="1" s="1"/>
  <c r="BK84" i="1" s="1"/>
  <c r="AA84" i="1"/>
  <c r="Z84" i="1"/>
  <c r="Y84" i="1" s="1"/>
  <c r="V84" i="1"/>
  <c r="W84" i="1" s="1"/>
  <c r="U84" i="1"/>
  <c r="R84" i="1"/>
  <c r="P84" i="1"/>
  <c r="DK83" i="1"/>
  <c r="U83" i="1" s="1"/>
  <c r="DJ83" i="1"/>
  <c r="DI83" i="1"/>
  <c r="BJ83" i="1" s="1"/>
  <c r="BM83" i="1" s="1"/>
  <c r="DH83" i="1"/>
  <c r="BW83" i="1"/>
  <c r="BV83" i="1"/>
  <c r="BT83" i="1"/>
  <c r="BX83" i="1" s="1"/>
  <c r="BY83" i="1" s="1"/>
  <c r="BS83" i="1"/>
  <c r="BR83" i="1"/>
  <c r="BU83" i="1" s="1"/>
  <c r="BO83" i="1"/>
  <c r="BN83" i="1"/>
  <c r="BL83" i="1"/>
  <c r="BH83" i="1"/>
  <c r="BB83" i="1"/>
  <c r="AW83" i="1"/>
  <c r="AU83" i="1"/>
  <c r="M83" i="1" s="1"/>
  <c r="AN83" i="1"/>
  <c r="K83" i="1" s="1"/>
  <c r="AI83" i="1"/>
  <c r="AC83" i="1"/>
  <c r="AA83" i="1"/>
  <c r="Z83" i="1"/>
  <c r="Y83" i="1"/>
  <c r="R83" i="1"/>
  <c r="P83" i="1"/>
  <c r="L83" i="1"/>
  <c r="BK83" i="1" s="1"/>
  <c r="J83" i="1"/>
  <c r="DK82" i="1"/>
  <c r="DJ82" i="1"/>
  <c r="DH82" i="1"/>
  <c r="DI82" i="1" s="1"/>
  <c r="BW82" i="1"/>
  <c r="BV82" i="1"/>
  <c r="BR82" i="1"/>
  <c r="BU82" i="1" s="1"/>
  <c r="BN82" i="1"/>
  <c r="BJ82" i="1"/>
  <c r="BH82" i="1"/>
  <c r="BL82" i="1" s="1"/>
  <c r="BB82" i="1"/>
  <c r="BO82" i="1" s="1"/>
  <c r="AW82" i="1"/>
  <c r="AU82" i="1"/>
  <c r="AG82" i="1" s="1"/>
  <c r="AN82" i="1"/>
  <c r="AI82" i="1"/>
  <c r="L82" i="1" s="1"/>
  <c r="BK82" i="1" s="1"/>
  <c r="BM82" i="1" s="1"/>
  <c r="AH82" i="1"/>
  <c r="AC82" i="1"/>
  <c r="AA82" i="1"/>
  <c r="Y82" i="1" s="1"/>
  <c r="Z82" i="1"/>
  <c r="U82" i="1"/>
  <c r="R82" i="1"/>
  <c r="P82" i="1"/>
  <c r="K82" i="1"/>
  <c r="J82" i="1"/>
  <c r="DK81" i="1"/>
  <c r="DJ81" i="1"/>
  <c r="DH81" i="1"/>
  <c r="DI81" i="1" s="1"/>
  <c r="BW81" i="1"/>
  <c r="BV81" i="1"/>
  <c r="BR81" i="1"/>
  <c r="BU81" i="1" s="1"/>
  <c r="BO81" i="1"/>
  <c r="BN81" i="1"/>
  <c r="BK81" i="1"/>
  <c r="BJ81" i="1"/>
  <c r="BH81" i="1"/>
  <c r="BL81" i="1" s="1"/>
  <c r="BB81" i="1"/>
  <c r="AW81" i="1"/>
  <c r="AU81" i="1"/>
  <c r="P81" i="1" s="1"/>
  <c r="AN81" i="1"/>
  <c r="AI81" i="1"/>
  <c r="AC81" i="1"/>
  <c r="AA81" i="1"/>
  <c r="Z81" i="1"/>
  <c r="Y81" i="1" s="1"/>
  <c r="R81" i="1"/>
  <c r="M81" i="1"/>
  <c r="L81" i="1"/>
  <c r="K81" i="1"/>
  <c r="J81" i="1" s="1"/>
  <c r="DK80" i="1"/>
  <c r="DJ80" i="1"/>
  <c r="DH80" i="1"/>
  <c r="DI80" i="1" s="1"/>
  <c r="BJ80" i="1" s="1"/>
  <c r="BL80" i="1" s="1"/>
  <c r="BY80" i="1"/>
  <c r="BW80" i="1"/>
  <c r="BV80" i="1"/>
  <c r="BU80" i="1"/>
  <c r="BT80" i="1"/>
  <c r="BX80" i="1" s="1"/>
  <c r="BS80" i="1"/>
  <c r="BR80" i="1"/>
  <c r="BN80" i="1"/>
  <c r="BH80" i="1"/>
  <c r="BB80" i="1"/>
  <c r="BO80" i="1" s="1"/>
  <c r="AW80" i="1"/>
  <c r="AU80" i="1"/>
  <c r="AN80" i="1"/>
  <c r="AI80" i="1"/>
  <c r="L80" i="1" s="1"/>
  <c r="BK80" i="1" s="1"/>
  <c r="BM80" i="1" s="1"/>
  <c r="AG80" i="1"/>
  <c r="AA80" i="1"/>
  <c r="Z80" i="1"/>
  <c r="Y80" i="1"/>
  <c r="R80" i="1"/>
  <c r="M80" i="1"/>
  <c r="K80" i="1"/>
  <c r="J80" i="1"/>
  <c r="AC80" i="1" s="1"/>
  <c r="DK79" i="1"/>
  <c r="U79" i="1" s="1"/>
  <c r="DJ79" i="1"/>
  <c r="DI79" i="1" s="1"/>
  <c r="BJ79" i="1" s="1"/>
  <c r="DH79" i="1"/>
  <c r="BW79" i="1"/>
  <c r="BV79" i="1"/>
  <c r="BU79" i="1"/>
  <c r="BR79" i="1"/>
  <c r="BT79" i="1" s="1"/>
  <c r="BX79" i="1" s="1"/>
  <c r="BY79" i="1" s="1"/>
  <c r="BN79" i="1"/>
  <c r="BH79" i="1"/>
  <c r="BB79" i="1"/>
  <c r="BO79" i="1" s="1"/>
  <c r="AW79" i="1"/>
  <c r="AU79" i="1" s="1"/>
  <c r="AN79" i="1"/>
  <c r="AI79" i="1"/>
  <c r="L79" i="1" s="1"/>
  <c r="BK79" i="1" s="1"/>
  <c r="BM79" i="1" s="1"/>
  <c r="AH79" i="1"/>
  <c r="AG79" i="1"/>
  <c r="AA79" i="1"/>
  <c r="Y79" i="1" s="1"/>
  <c r="Z79" i="1"/>
  <c r="R79" i="1"/>
  <c r="P79" i="1"/>
  <c r="K79" i="1"/>
  <c r="J79" i="1"/>
  <c r="DK78" i="1"/>
  <c r="DJ78" i="1"/>
  <c r="DH78" i="1"/>
  <c r="BW78" i="1"/>
  <c r="BV78" i="1"/>
  <c r="BT78" i="1"/>
  <c r="BX78" i="1" s="1"/>
  <c r="BY78" i="1" s="1"/>
  <c r="BO78" i="1"/>
  <c r="BR78" i="1" s="1"/>
  <c r="BN78" i="1"/>
  <c r="BH78" i="1"/>
  <c r="BB78" i="1"/>
  <c r="AW78" i="1"/>
  <c r="AU78" i="1"/>
  <c r="AN78" i="1"/>
  <c r="AI78" i="1"/>
  <c r="AA78" i="1"/>
  <c r="Z78" i="1"/>
  <c r="Y78" i="1" s="1"/>
  <c r="R78" i="1"/>
  <c r="L78" i="1"/>
  <c r="BK78" i="1" s="1"/>
  <c r="K78" i="1"/>
  <c r="J78" i="1" s="1"/>
  <c r="DK77" i="1"/>
  <c r="DJ77" i="1"/>
  <c r="DI77" i="1"/>
  <c r="BJ77" i="1" s="1"/>
  <c r="BL77" i="1" s="1"/>
  <c r="DH77" i="1"/>
  <c r="U77" i="1" s="1"/>
  <c r="BY77" i="1"/>
  <c r="BW77" i="1"/>
  <c r="BV77" i="1"/>
  <c r="BU77" i="1"/>
  <c r="BT77" i="1"/>
  <c r="BX77" i="1" s="1"/>
  <c r="BS77" i="1"/>
  <c r="BR77" i="1"/>
  <c r="BN77" i="1"/>
  <c r="BK77" i="1"/>
  <c r="BH77" i="1"/>
  <c r="BB77" i="1"/>
  <c r="BO77" i="1" s="1"/>
  <c r="AW77" i="1"/>
  <c r="AU77" i="1"/>
  <c r="AV77" i="1" s="1"/>
  <c r="AN77" i="1"/>
  <c r="AI77" i="1"/>
  <c r="L77" i="1" s="1"/>
  <c r="AG77" i="1"/>
  <c r="AA77" i="1"/>
  <c r="Z77" i="1"/>
  <c r="Y77" i="1" s="1"/>
  <c r="R77" i="1"/>
  <c r="P77" i="1"/>
  <c r="M77" i="1"/>
  <c r="K77" i="1"/>
  <c r="J77" i="1"/>
  <c r="DK76" i="1"/>
  <c r="DJ76" i="1"/>
  <c r="DI76" i="1"/>
  <c r="BJ76" i="1" s="1"/>
  <c r="DH76" i="1"/>
  <c r="BW76" i="1"/>
  <c r="BV76" i="1"/>
  <c r="BU76" i="1"/>
  <c r="BR76" i="1"/>
  <c r="BO76" i="1"/>
  <c r="BN76" i="1"/>
  <c r="BH76" i="1"/>
  <c r="BB76" i="1"/>
  <c r="AW76" i="1"/>
  <c r="AU76" i="1" s="1"/>
  <c r="AN76" i="1"/>
  <c r="AI76" i="1"/>
  <c r="AC76" i="1"/>
  <c r="AA76" i="1"/>
  <c r="Y76" i="1" s="1"/>
  <c r="Z76" i="1"/>
  <c r="V76" i="1"/>
  <c r="W76" i="1" s="1"/>
  <c r="U76" i="1"/>
  <c r="R76" i="1"/>
  <c r="L76" i="1"/>
  <c r="BK76" i="1" s="1"/>
  <c r="BM76" i="1" s="1"/>
  <c r="K76" i="1"/>
  <c r="J76" i="1"/>
  <c r="DK75" i="1"/>
  <c r="DJ75" i="1"/>
  <c r="DH75" i="1"/>
  <c r="BW75" i="1"/>
  <c r="BV75" i="1"/>
  <c r="BR75" i="1"/>
  <c r="BO75" i="1"/>
  <c r="BN75" i="1"/>
  <c r="BH75" i="1"/>
  <c r="BB75" i="1"/>
  <c r="AW75" i="1"/>
  <c r="AU75" i="1"/>
  <c r="AN75" i="1"/>
  <c r="K75" i="1" s="1"/>
  <c r="J75" i="1" s="1"/>
  <c r="AI75" i="1"/>
  <c r="L75" i="1" s="1"/>
  <c r="BK75" i="1" s="1"/>
  <c r="AA75" i="1"/>
  <c r="Z75" i="1"/>
  <c r="Y75" i="1" s="1"/>
  <c r="R75" i="1"/>
  <c r="DK74" i="1"/>
  <c r="DJ74" i="1"/>
  <c r="DH74" i="1"/>
  <c r="DI74" i="1" s="1"/>
  <c r="BJ74" i="1" s="1"/>
  <c r="BL74" i="1" s="1"/>
  <c r="BW74" i="1"/>
  <c r="BV74" i="1"/>
  <c r="BU74" i="1"/>
  <c r="BT74" i="1"/>
  <c r="BX74" i="1" s="1"/>
  <c r="BY74" i="1" s="1"/>
  <c r="BS74" i="1"/>
  <c r="BR74" i="1"/>
  <c r="BN74" i="1"/>
  <c r="BM74" i="1"/>
  <c r="BK74" i="1"/>
  <c r="BH74" i="1"/>
  <c r="BB74" i="1"/>
  <c r="BO74" i="1" s="1"/>
  <c r="AW74" i="1"/>
  <c r="AV74" i="1"/>
  <c r="AU74" i="1"/>
  <c r="AN74" i="1"/>
  <c r="AI74" i="1"/>
  <c r="AA74" i="1"/>
  <c r="Z74" i="1"/>
  <c r="Y74" i="1" s="1"/>
  <c r="U74" i="1"/>
  <c r="R74" i="1"/>
  <c r="L74" i="1"/>
  <c r="K74" i="1"/>
  <c r="J74" i="1"/>
  <c r="AC74" i="1" s="1"/>
  <c r="DK73" i="1"/>
  <c r="U73" i="1" s="1"/>
  <c r="DJ73" i="1"/>
  <c r="DI73" i="1"/>
  <c r="BJ73" i="1" s="1"/>
  <c r="DH73" i="1"/>
  <c r="BW73" i="1"/>
  <c r="BV73" i="1"/>
  <c r="BR73" i="1"/>
  <c r="BN73" i="1"/>
  <c r="BH73" i="1"/>
  <c r="BB73" i="1"/>
  <c r="BO73" i="1" s="1"/>
  <c r="AW73" i="1"/>
  <c r="AU73" i="1" s="1"/>
  <c r="AN73" i="1"/>
  <c r="AI73" i="1"/>
  <c r="AH73" i="1"/>
  <c r="AG73" i="1"/>
  <c r="AA73" i="1"/>
  <c r="Z73" i="1"/>
  <c r="Y73" i="1" s="1"/>
  <c r="R73" i="1"/>
  <c r="P73" i="1"/>
  <c r="L73" i="1"/>
  <c r="BK73" i="1" s="1"/>
  <c r="K73" i="1"/>
  <c r="J73" i="1" s="1"/>
  <c r="DK72" i="1"/>
  <c r="DJ72" i="1"/>
  <c r="DH72" i="1"/>
  <c r="BW72" i="1"/>
  <c r="BV72" i="1"/>
  <c r="BR72" i="1"/>
  <c r="BU72" i="1" s="1"/>
  <c r="BO72" i="1"/>
  <c r="BN72" i="1"/>
  <c r="BH72" i="1"/>
  <c r="BB72" i="1"/>
  <c r="AW72" i="1"/>
  <c r="AV72" i="1"/>
  <c r="AU72" i="1"/>
  <c r="AN72" i="1"/>
  <c r="AI72" i="1"/>
  <c r="AA72" i="1"/>
  <c r="Z72" i="1"/>
  <c r="Y72" i="1"/>
  <c r="R72" i="1"/>
  <c r="M72" i="1"/>
  <c r="L72" i="1"/>
  <c r="BK72" i="1" s="1"/>
  <c r="K72" i="1"/>
  <c r="J72" i="1" s="1"/>
  <c r="DK71" i="1"/>
  <c r="DJ71" i="1"/>
  <c r="DH71" i="1"/>
  <c r="DI71" i="1" s="1"/>
  <c r="BJ71" i="1" s="1"/>
  <c r="BW71" i="1"/>
  <c r="BV71" i="1"/>
  <c r="BU71" i="1"/>
  <c r="BT71" i="1"/>
  <c r="BX71" i="1" s="1"/>
  <c r="BY71" i="1" s="1"/>
  <c r="BS71" i="1"/>
  <c r="BR71" i="1"/>
  <c r="BN71" i="1"/>
  <c r="BH71" i="1"/>
  <c r="BL71" i="1" s="1"/>
  <c r="BB71" i="1"/>
  <c r="BO71" i="1" s="1"/>
  <c r="AW71" i="1"/>
  <c r="AV71" i="1"/>
  <c r="AU71" i="1"/>
  <c r="P71" i="1" s="1"/>
  <c r="AN71" i="1"/>
  <c r="AI71" i="1"/>
  <c r="L71" i="1" s="1"/>
  <c r="BK71" i="1" s="1"/>
  <c r="BM71" i="1" s="1"/>
  <c r="AH71" i="1"/>
  <c r="AG71" i="1"/>
  <c r="AC71" i="1"/>
  <c r="AA71" i="1"/>
  <c r="Z71" i="1"/>
  <c r="Y71" i="1" s="1"/>
  <c r="U71" i="1"/>
  <c r="R71" i="1"/>
  <c r="K71" i="1"/>
  <c r="J71" i="1"/>
  <c r="DK70" i="1"/>
  <c r="DJ70" i="1"/>
  <c r="DI70" i="1"/>
  <c r="BJ70" i="1" s="1"/>
  <c r="BL70" i="1" s="1"/>
  <c r="DH70" i="1"/>
  <c r="U70" i="1" s="1"/>
  <c r="BW70" i="1"/>
  <c r="BV70" i="1"/>
  <c r="BR70" i="1"/>
  <c r="BO70" i="1"/>
  <c r="BN70" i="1"/>
  <c r="BH70" i="1"/>
  <c r="BB70" i="1"/>
  <c r="AW70" i="1"/>
  <c r="AU70" i="1" s="1"/>
  <c r="AH70" i="1" s="1"/>
  <c r="AN70" i="1"/>
  <c r="K70" i="1" s="1"/>
  <c r="J70" i="1" s="1"/>
  <c r="AI70" i="1"/>
  <c r="L70" i="1" s="1"/>
  <c r="BK70" i="1" s="1"/>
  <c r="AG70" i="1"/>
  <c r="AC70" i="1"/>
  <c r="AA70" i="1"/>
  <c r="Y70" i="1" s="1"/>
  <c r="Z70" i="1"/>
  <c r="R70" i="1"/>
  <c r="P70" i="1"/>
  <c r="DK69" i="1"/>
  <c r="U69" i="1" s="1"/>
  <c r="DJ69" i="1"/>
  <c r="DH69" i="1"/>
  <c r="DI69" i="1" s="1"/>
  <c r="BJ69" i="1" s="1"/>
  <c r="BW69" i="1"/>
  <c r="BV69" i="1"/>
  <c r="BT69" i="1"/>
  <c r="BX69" i="1" s="1"/>
  <c r="BY69" i="1" s="1"/>
  <c r="BS69" i="1"/>
  <c r="BR69" i="1"/>
  <c r="BU69" i="1" s="1"/>
  <c r="BO69" i="1"/>
  <c r="BN69" i="1"/>
  <c r="BH69" i="1"/>
  <c r="BL69" i="1" s="1"/>
  <c r="BB69" i="1"/>
  <c r="AW69" i="1"/>
  <c r="AV69" i="1"/>
  <c r="AU69" i="1"/>
  <c r="P69" i="1" s="1"/>
  <c r="AN69" i="1"/>
  <c r="AI69" i="1"/>
  <c r="AH69" i="1"/>
  <c r="AG69" i="1"/>
  <c r="AA69" i="1"/>
  <c r="Z69" i="1"/>
  <c r="Y69" i="1" s="1"/>
  <c r="R69" i="1"/>
  <c r="M69" i="1"/>
  <c r="L69" i="1"/>
  <c r="BK69" i="1" s="1"/>
  <c r="BM69" i="1" s="1"/>
  <c r="K69" i="1"/>
  <c r="J69" i="1" s="1"/>
  <c r="DK68" i="1"/>
  <c r="DJ68" i="1"/>
  <c r="DI68" i="1"/>
  <c r="BJ68" i="1" s="1"/>
  <c r="DH68" i="1"/>
  <c r="BW68" i="1"/>
  <c r="BV68" i="1"/>
  <c r="BR68" i="1"/>
  <c r="BN68" i="1"/>
  <c r="BL68" i="1"/>
  <c r="BH68" i="1"/>
  <c r="BB68" i="1"/>
  <c r="BO68" i="1" s="1"/>
  <c r="AW68" i="1"/>
  <c r="AU68" i="1"/>
  <c r="AN68" i="1"/>
  <c r="K68" i="1" s="1"/>
  <c r="AI68" i="1"/>
  <c r="L68" i="1" s="1"/>
  <c r="BK68" i="1" s="1"/>
  <c r="BM68" i="1" s="1"/>
  <c r="AA68" i="1"/>
  <c r="Z68" i="1"/>
  <c r="Y68" i="1"/>
  <c r="V68" i="1"/>
  <c r="W68" i="1" s="1"/>
  <c r="U68" i="1"/>
  <c r="R68" i="1"/>
  <c r="M68" i="1"/>
  <c r="J68" i="1"/>
  <c r="DK67" i="1"/>
  <c r="U67" i="1" s="1"/>
  <c r="DJ67" i="1"/>
  <c r="DI67" i="1" s="1"/>
  <c r="BJ67" i="1" s="1"/>
  <c r="DH67" i="1"/>
  <c r="BW67" i="1"/>
  <c r="BV67" i="1"/>
  <c r="BT67" i="1"/>
  <c r="BX67" i="1" s="1"/>
  <c r="BY67" i="1" s="1"/>
  <c r="BS67" i="1"/>
  <c r="BR67" i="1"/>
  <c r="BU67" i="1" s="1"/>
  <c r="BO67" i="1"/>
  <c r="BN67" i="1"/>
  <c r="BH67" i="1"/>
  <c r="BB67" i="1"/>
  <c r="AW67" i="1"/>
  <c r="AU67" i="1" s="1"/>
  <c r="AG67" i="1" s="1"/>
  <c r="AN67" i="1"/>
  <c r="K67" i="1" s="1"/>
  <c r="J67" i="1" s="1"/>
  <c r="AI67" i="1"/>
  <c r="AA67" i="1"/>
  <c r="Z67" i="1"/>
  <c r="Y67" i="1"/>
  <c r="R67" i="1"/>
  <c r="P67" i="1"/>
  <c r="L67" i="1"/>
  <c r="BK67" i="1" s="1"/>
  <c r="BM67" i="1" s="1"/>
  <c r="DK66" i="1"/>
  <c r="DJ66" i="1"/>
  <c r="DH66" i="1"/>
  <c r="BW66" i="1"/>
  <c r="BV66" i="1"/>
  <c r="BU66" i="1"/>
  <c r="BT66" i="1"/>
  <c r="BX66" i="1" s="1"/>
  <c r="BY66" i="1" s="1"/>
  <c r="BS66" i="1"/>
  <c r="BR66" i="1"/>
  <c r="BO66" i="1"/>
  <c r="BN66" i="1"/>
  <c r="BH66" i="1"/>
  <c r="BB66" i="1"/>
  <c r="AW66" i="1"/>
  <c r="AU66" i="1" s="1"/>
  <c r="AV66" i="1"/>
  <c r="AN66" i="1"/>
  <c r="AI66" i="1"/>
  <c r="L66" i="1" s="1"/>
  <c r="BK66" i="1" s="1"/>
  <c r="AH66" i="1"/>
  <c r="AA66" i="1"/>
  <c r="Z66" i="1"/>
  <c r="Y66" i="1" s="1"/>
  <c r="R66" i="1"/>
  <c r="K66" i="1"/>
  <c r="J66" i="1"/>
  <c r="DK65" i="1"/>
  <c r="DJ65" i="1"/>
  <c r="DH65" i="1"/>
  <c r="DI65" i="1" s="1"/>
  <c r="BJ65" i="1" s="1"/>
  <c r="BM65" i="1" s="1"/>
  <c r="BW65" i="1"/>
  <c r="BV65" i="1"/>
  <c r="BR65" i="1"/>
  <c r="BN65" i="1"/>
  <c r="BL65" i="1"/>
  <c r="BH65" i="1"/>
  <c r="BB65" i="1"/>
  <c r="BO65" i="1" s="1"/>
  <c r="AW65" i="1"/>
  <c r="AU65" i="1"/>
  <c r="AV65" i="1" s="1"/>
  <c r="AN65" i="1"/>
  <c r="K65" i="1" s="1"/>
  <c r="AI65" i="1"/>
  <c r="AH65" i="1"/>
  <c r="AG65" i="1"/>
  <c r="AA65" i="1"/>
  <c r="Z65" i="1"/>
  <c r="Y65" i="1"/>
  <c r="R65" i="1"/>
  <c r="P65" i="1"/>
  <c r="M65" i="1"/>
  <c r="L65" i="1"/>
  <c r="BK65" i="1" s="1"/>
  <c r="J65" i="1"/>
  <c r="DK64" i="1"/>
  <c r="DJ64" i="1"/>
  <c r="DH64" i="1"/>
  <c r="BW64" i="1"/>
  <c r="BV64" i="1"/>
  <c r="BR64" i="1"/>
  <c r="BS64" i="1" s="1"/>
  <c r="BO64" i="1"/>
  <c r="BN64" i="1"/>
  <c r="BH64" i="1"/>
  <c r="BB64" i="1"/>
  <c r="AW64" i="1"/>
  <c r="AU64" i="1" s="1"/>
  <c r="AN64" i="1"/>
  <c r="K64" i="1" s="1"/>
  <c r="J64" i="1" s="1"/>
  <c r="AI64" i="1"/>
  <c r="AA64" i="1"/>
  <c r="Z64" i="1"/>
  <c r="R64" i="1"/>
  <c r="L64" i="1"/>
  <c r="BK64" i="1" s="1"/>
  <c r="DK63" i="1"/>
  <c r="DJ63" i="1"/>
  <c r="DH63" i="1"/>
  <c r="BW63" i="1"/>
  <c r="BV63" i="1"/>
  <c r="BS63" i="1"/>
  <c r="BR63" i="1"/>
  <c r="BN63" i="1"/>
  <c r="BH63" i="1"/>
  <c r="BB63" i="1"/>
  <c r="BO63" i="1" s="1"/>
  <c r="AW63" i="1"/>
  <c r="AV63" i="1"/>
  <c r="AU63" i="1"/>
  <c r="AN63" i="1"/>
  <c r="K63" i="1" s="1"/>
  <c r="J63" i="1" s="1"/>
  <c r="AI63" i="1"/>
  <c r="AC63" i="1"/>
  <c r="AA63" i="1"/>
  <c r="Z63" i="1"/>
  <c r="Y63" i="1" s="1"/>
  <c r="R63" i="1"/>
  <c r="P63" i="1"/>
  <c r="M63" i="1"/>
  <c r="L63" i="1"/>
  <c r="BK63" i="1" s="1"/>
  <c r="DK62" i="1"/>
  <c r="U62" i="1" s="1"/>
  <c r="DJ62" i="1"/>
  <c r="DH62" i="1"/>
  <c r="DI62" i="1" s="1"/>
  <c r="BW62" i="1"/>
  <c r="BV62" i="1"/>
  <c r="BU62" i="1"/>
  <c r="BT62" i="1"/>
  <c r="BX62" i="1" s="1"/>
  <c r="BY62" i="1" s="1"/>
  <c r="BR62" i="1"/>
  <c r="BS62" i="1" s="1"/>
  <c r="BN62" i="1"/>
  <c r="BK62" i="1"/>
  <c r="BJ62" i="1"/>
  <c r="BH62" i="1"/>
  <c r="BB62" i="1"/>
  <c r="BO62" i="1" s="1"/>
  <c r="AW62" i="1"/>
  <c r="AU62" i="1" s="1"/>
  <c r="AV62" i="1"/>
  <c r="AN62" i="1"/>
  <c r="AI62" i="1"/>
  <c r="L62" i="1" s="1"/>
  <c r="AH62" i="1"/>
  <c r="AA62" i="1"/>
  <c r="Z62" i="1"/>
  <c r="R62" i="1"/>
  <c r="P62" i="1"/>
  <c r="K62" i="1"/>
  <c r="J62" i="1"/>
  <c r="AC62" i="1" s="1"/>
  <c r="DK61" i="1"/>
  <c r="DJ61" i="1"/>
  <c r="DH61" i="1"/>
  <c r="DI61" i="1" s="1"/>
  <c r="BJ61" i="1" s="1"/>
  <c r="BW61" i="1"/>
  <c r="BV61" i="1"/>
  <c r="BR61" i="1"/>
  <c r="BN61" i="1"/>
  <c r="BH61" i="1"/>
  <c r="BL61" i="1" s="1"/>
  <c r="BB61" i="1"/>
  <c r="BO61" i="1" s="1"/>
  <c r="AW61" i="1"/>
  <c r="AU61" i="1"/>
  <c r="AV61" i="1" s="1"/>
  <c r="AN61" i="1"/>
  <c r="K61" i="1" s="1"/>
  <c r="J61" i="1" s="1"/>
  <c r="AI61" i="1"/>
  <c r="AG61" i="1"/>
  <c r="AA61" i="1"/>
  <c r="Z61" i="1"/>
  <c r="Y61" i="1"/>
  <c r="R61" i="1"/>
  <c r="P61" i="1"/>
  <c r="M61" i="1"/>
  <c r="L61" i="1"/>
  <c r="BK61" i="1" s="1"/>
  <c r="DK60" i="1"/>
  <c r="DJ60" i="1"/>
  <c r="DH60" i="1"/>
  <c r="BX60" i="1"/>
  <c r="BY60" i="1" s="1"/>
  <c r="BW60" i="1"/>
  <c r="BV60" i="1"/>
  <c r="BU60" i="1"/>
  <c r="BT60" i="1"/>
  <c r="BS60" i="1"/>
  <c r="BR60" i="1"/>
  <c r="BO60" i="1"/>
  <c r="BN60" i="1"/>
  <c r="BK60" i="1"/>
  <c r="BH60" i="1"/>
  <c r="BB60" i="1"/>
  <c r="AW60" i="1"/>
  <c r="AU60" i="1" s="1"/>
  <c r="AV60" i="1"/>
  <c r="AN60" i="1"/>
  <c r="AI60" i="1"/>
  <c r="L60" i="1" s="1"/>
  <c r="AA60" i="1"/>
  <c r="Z60" i="1"/>
  <c r="Y60" i="1" s="1"/>
  <c r="R60" i="1"/>
  <c r="K60" i="1"/>
  <c r="J60" i="1"/>
  <c r="AC60" i="1" s="1"/>
  <c r="DK59" i="1"/>
  <c r="DJ59" i="1"/>
  <c r="DI59" i="1"/>
  <c r="BJ59" i="1" s="1"/>
  <c r="BL59" i="1" s="1"/>
  <c r="DH59" i="1"/>
  <c r="BW59" i="1"/>
  <c r="BV59" i="1"/>
  <c r="BR59" i="1"/>
  <c r="BN59" i="1"/>
  <c r="BH59" i="1"/>
  <c r="BB59" i="1"/>
  <c r="BO59" i="1" s="1"/>
  <c r="AW59" i="1"/>
  <c r="AU59" i="1"/>
  <c r="AV59" i="1" s="1"/>
  <c r="AN59" i="1"/>
  <c r="K59" i="1" s="1"/>
  <c r="J59" i="1" s="1"/>
  <c r="AI59" i="1"/>
  <c r="AH59" i="1"/>
  <c r="AA59" i="1"/>
  <c r="Z59" i="1"/>
  <c r="Y59" i="1"/>
  <c r="U59" i="1"/>
  <c r="R59" i="1"/>
  <c r="P59" i="1"/>
  <c r="L59" i="1"/>
  <c r="BK59" i="1" s="1"/>
  <c r="BM59" i="1" s="1"/>
  <c r="DK58" i="1"/>
  <c r="DJ58" i="1"/>
  <c r="DH58" i="1"/>
  <c r="DI58" i="1" s="1"/>
  <c r="BW58" i="1"/>
  <c r="BV58" i="1"/>
  <c r="BR58" i="1"/>
  <c r="BO58" i="1"/>
  <c r="BN58" i="1"/>
  <c r="BJ58" i="1"/>
  <c r="BL58" i="1" s="1"/>
  <c r="BH58" i="1"/>
  <c r="BB58" i="1"/>
  <c r="AW58" i="1"/>
  <c r="AU58" i="1" s="1"/>
  <c r="AV58" i="1" s="1"/>
  <c r="AN58" i="1"/>
  <c r="AI58" i="1"/>
  <c r="L58" i="1" s="1"/>
  <c r="BK58" i="1" s="1"/>
  <c r="BM58" i="1" s="1"/>
  <c r="AH58" i="1"/>
  <c r="AA58" i="1"/>
  <c r="Z58" i="1"/>
  <c r="R58" i="1"/>
  <c r="K58" i="1"/>
  <c r="J58" i="1" s="1"/>
  <c r="DK57" i="1"/>
  <c r="DJ57" i="1"/>
  <c r="DH57" i="1"/>
  <c r="BW57" i="1"/>
  <c r="BV57" i="1"/>
  <c r="BT57" i="1"/>
  <c r="BX57" i="1" s="1"/>
  <c r="BY57" i="1" s="1"/>
  <c r="BR57" i="1"/>
  <c r="BU57" i="1" s="1"/>
  <c r="BN57" i="1"/>
  <c r="BH57" i="1"/>
  <c r="BB57" i="1"/>
  <c r="BO57" i="1" s="1"/>
  <c r="AW57" i="1"/>
  <c r="AV57" i="1"/>
  <c r="AU57" i="1"/>
  <c r="AN57" i="1"/>
  <c r="K57" i="1" s="1"/>
  <c r="J57" i="1" s="1"/>
  <c r="AI57" i="1"/>
  <c r="AA57" i="1"/>
  <c r="Z57" i="1"/>
  <c r="Y57" i="1"/>
  <c r="R57" i="1"/>
  <c r="P57" i="1"/>
  <c r="M57" i="1"/>
  <c r="L57" i="1"/>
  <c r="BK57" i="1" s="1"/>
  <c r="DK56" i="1"/>
  <c r="DJ56" i="1"/>
  <c r="DH56" i="1"/>
  <c r="DI56" i="1" s="1"/>
  <c r="BJ56" i="1" s="1"/>
  <c r="BW56" i="1"/>
  <c r="BV56" i="1"/>
  <c r="BU56" i="1"/>
  <c r="BT56" i="1"/>
  <c r="BX56" i="1" s="1"/>
  <c r="BY56" i="1" s="1"/>
  <c r="BR56" i="1"/>
  <c r="BS56" i="1" s="1"/>
  <c r="BN56" i="1"/>
  <c r="BH56" i="1"/>
  <c r="BB56" i="1"/>
  <c r="BO56" i="1" s="1"/>
  <c r="AW56" i="1"/>
  <c r="AU56" i="1" s="1"/>
  <c r="AV56" i="1" s="1"/>
  <c r="AN56" i="1"/>
  <c r="AI56" i="1"/>
  <c r="L56" i="1" s="1"/>
  <c r="BK56" i="1" s="1"/>
  <c r="BM56" i="1" s="1"/>
  <c r="AA56" i="1"/>
  <c r="Z56" i="1"/>
  <c r="Y56" i="1" s="1"/>
  <c r="R56" i="1"/>
  <c r="K56" i="1"/>
  <c r="J56" i="1"/>
  <c r="DK55" i="1"/>
  <c r="DJ55" i="1"/>
  <c r="DH55" i="1"/>
  <c r="DI55" i="1" s="1"/>
  <c r="BJ55" i="1" s="1"/>
  <c r="BW55" i="1"/>
  <c r="BV55" i="1"/>
  <c r="BR55" i="1"/>
  <c r="BN55" i="1"/>
  <c r="BL55" i="1"/>
  <c r="BH55" i="1"/>
  <c r="BB55" i="1"/>
  <c r="BO55" i="1" s="1"/>
  <c r="AW55" i="1"/>
  <c r="AU55" i="1"/>
  <c r="AN55" i="1"/>
  <c r="K55" i="1" s="1"/>
  <c r="J55" i="1" s="1"/>
  <c r="AC55" i="1" s="1"/>
  <c r="AI55" i="1"/>
  <c r="AG55" i="1"/>
  <c r="AA55" i="1"/>
  <c r="Z55" i="1"/>
  <c r="Y55" i="1"/>
  <c r="R55" i="1"/>
  <c r="P55" i="1"/>
  <c r="M55" i="1"/>
  <c r="L55" i="1"/>
  <c r="BK55" i="1" s="1"/>
  <c r="BM55" i="1" s="1"/>
  <c r="DK54" i="1"/>
  <c r="DJ54" i="1"/>
  <c r="DH54" i="1"/>
  <c r="BW54" i="1"/>
  <c r="BV54" i="1"/>
  <c r="BU54" i="1"/>
  <c r="BT54" i="1"/>
  <c r="BX54" i="1" s="1"/>
  <c r="BY54" i="1" s="1"/>
  <c r="BS54" i="1"/>
  <c r="BR54" i="1"/>
  <c r="BO54" i="1"/>
  <c r="BN54" i="1"/>
  <c r="BH54" i="1"/>
  <c r="BB54" i="1"/>
  <c r="AW54" i="1"/>
  <c r="AU54" i="1" s="1"/>
  <c r="AV54" i="1"/>
  <c r="AN54" i="1"/>
  <c r="AI54" i="1"/>
  <c r="L54" i="1" s="1"/>
  <c r="BK54" i="1" s="1"/>
  <c r="AH54" i="1"/>
  <c r="AA54" i="1"/>
  <c r="Z54" i="1"/>
  <c r="R54" i="1"/>
  <c r="K54" i="1"/>
  <c r="J54" i="1"/>
  <c r="DK53" i="1"/>
  <c r="DJ53" i="1"/>
  <c r="DI53" i="1" s="1"/>
  <c r="BJ53" i="1" s="1"/>
  <c r="DH53" i="1"/>
  <c r="U53" i="1" s="1"/>
  <c r="BW53" i="1"/>
  <c r="BV53" i="1"/>
  <c r="BS53" i="1"/>
  <c r="BR53" i="1"/>
  <c r="BN53" i="1"/>
  <c r="BM53" i="1"/>
  <c r="BH53" i="1"/>
  <c r="BB53" i="1"/>
  <c r="BO53" i="1" s="1"/>
  <c r="AW53" i="1"/>
  <c r="AU53" i="1"/>
  <c r="AV53" i="1" s="1"/>
  <c r="AN53" i="1"/>
  <c r="AI53" i="1"/>
  <c r="AH53" i="1"/>
  <c r="AG53" i="1"/>
  <c r="AC53" i="1"/>
  <c r="AA53" i="1"/>
  <c r="Z53" i="1"/>
  <c r="Y53" i="1"/>
  <c r="R53" i="1"/>
  <c r="P53" i="1"/>
  <c r="M53" i="1"/>
  <c r="L53" i="1"/>
  <c r="BK53" i="1" s="1"/>
  <c r="K53" i="1"/>
  <c r="J53" i="1" s="1"/>
  <c r="DK52" i="1"/>
  <c r="DJ52" i="1"/>
  <c r="DH52" i="1"/>
  <c r="BW52" i="1"/>
  <c r="BV52" i="1"/>
  <c r="BU52" i="1"/>
  <c r="BS52" i="1"/>
  <c r="BR52" i="1"/>
  <c r="BT52" i="1" s="1"/>
  <c r="BX52" i="1" s="1"/>
  <c r="BY52" i="1" s="1"/>
  <c r="BN52" i="1"/>
  <c r="BH52" i="1"/>
  <c r="BB52" i="1"/>
  <c r="BO52" i="1" s="1"/>
  <c r="AW52" i="1"/>
  <c r="AU52" i="1" s="1"/>
  <c r="AV52" i="1" s="1"/>
  <c r="AN52" i="1"/>
  <c r="K52" i="1" s="1"/>
  <c r="J52" i="1" s="1"/>
  <c r="AI52" i="1"/>
  <c r="L52" i="1" s="1"/>
  <c r="BK52" i="1" s="1"/>
  <c r="AA52" i="1"/>
  <c r="Z52" i="1"/>
  <c r="Y52" i="1" s="1"/>
  <c r="U52" i="1"/>
  <c r="R52" i="1"/>
  <c r="DK51" i="1"/>
  <c r="DJ51" i="1"/>
  <c r="DH51" i="1"/>
  <c r="DI51" i="1" s="1"/>
  <c r="BJ51" i="1" s="1"/>
  <c r="BW51" i="1"/>
  <c r="BV51" i="1"/>
  <c r="BU51" i="1"/>
  <c r="BS51" i="1"/>
  <c r="BR51" i="1"/>
  <c r="BT51" i="1" s="1"/>
  <c r="BX51" i="1" s="1"/>
  <c r="BY51" i="1" s="1"/>
  <c r="BN51" i="1"/>
  <c r="BH51" i="1"/>
  <c r="BB51" i="1"/>
  <c r="BO51" i="1" s="1"/>
  <c r="AW51" i="1"/>
  <c r="AU51" i="1" s="1"/>
  <c r="AN51" i="1"/>
  <c r="AI51" i="1"/>
  <c r="AA51" i="1"/>
  <c r="Y51" i="1" s="1"/>
  <c r="Z51" i="1"/>
  <c r="R51" i="1"/>
  <c r="L51" i="1"/>
  <c r="BK51" i="1" s="1"/>
  <c r="K51" i="1"/>
  <c r="J51" i="1" s="1"/>
  <c r="DK50" i="1"/>
  <c r="DJ50" i="1"/>
  <c r="DH50" i="1"/>
  <c r="DI50" i="1" s="1"/>
  <c r="BX50" i="1"/>
  <c r="BY50" i="1" s="1"/>
  <c r="BW50" i="1"/>
  <c r="BV50" i="1"/>
  <c r="BU50" i="1"/>
  <c r="BT50" i="1"/>
  <c r="BS50" i="1"/>
  <c r="BR50" i="1"/>
  <c r="BO50" i="1"/>
  <c r="BN50" i="1"/>
  <c r="BK50" i="1"/>
  <c r="BM50" i="1" s="1"/>
  <c r="BJ50" i="1"/>
  <c r="BH50" i="1"/>
  <c r="BB50" i="1"/>
  <c r="AW50" i="1"/>
  <c r="AU50" i="1" s="1"/>
  <c r="AN50" i="1"/>
  <c r="AI50" i="1"/>
  <c r="AA50" i="1"/>
  <c r="Z50" i="1"/>
  <c r="Y50" i="1" s="1"/>
  <c r="R50" i="1"/>
  <c r="L50" i="1"/>
  <c r="K50" i="1"/>
  <c r="J50" i="1" s="1"/>
  <c r="DK49" i="1"/>
  <c r="DJ49" i="1"/>
  <c r="DH49" i="1"/>
  <c r="BY49" i="1"/>
  <c r="BW49" i="1"/>
  <c r="BV49" i="1"/>
  <c r="BU49" i="1"/>
  <c r="BT49" i="1"/>
  <c r="BX49" i="1" s="1"/>
  <c r="BR49" i="1"/>
  <c r="BS49" i="1" s="1"/>
  <c r="BN49" i="1"/>
  <c r="BK49" i="1"/>
  <c r="BH49" i="1"/>
  <c r="BB49" i="1"/>
  <c r="BO49" i="1" s="1"/>
  <c r="AW49" i="1"/>
  <c r="AU49" i="1" s="1"/>
  <c r="AN49" i="1"/>
  <c r="AI49" i="1"/>
  <c r="L49" i="1" s="1"/>
  <c r="AC49" i="1"/>
  <c r="AA49" i="1"/>
  <c r="Z49" i="1"/>
  <c r="Y49" i="1" s="1"/>
  <c r="R49" i="1"/>
  <c r="K49" i="1"/>
  <c r="J49" i="1"/>
  <c r="DK48" i="1"/>
  <c r="DJ48" i="1"/>
  <c r="DI48" i="1"/>
  <c r="BJ48" i="1" s="1"/>
  <c r="DH48" i="1"/>
  <c r="BW48" i="1"/>
  <c r="BV48" i="1"/>
  <c r="BR48" i="1"/>
  <c r="BU48" i="1" s="1"/>
  <c r="BO48" i="1"/>
  <c r="BN48" i="1"/>
  <c r="BK48" i="1"/>
  <c r="BM48" i="1" s="1"/>
  <c r="BH48" i="1"/>
  <c r="BB48" i="1"/>
  <c r="AW48" i="1"/>
  <c r="AU48" i="1"/>
  <c r="P48" i="1" s="1"/>
  <c r="AN48" i="1"/>
  <c r="K48" i="1" s="1"/>
  <c r="J48" i="1" s="1"/>
  <c r="AI48" i="1"/>
  <c r="AH48" i="1"/>
  <c r="AG48" i="1"/>
  <c r="AA48" i="1"/>
  <c r="Z48" i="1"/>
  <c r="Y48" i="1"/>
  <c r="U48" i="1"/>
  <c r="R48" i="1"/>
  <c r="M48" i="1"/>
  <c r="L48" i="1"/>
  <c r="DK47" i="1"/>
  <c r="U47" i="1" s="1"/>
  <c r="DJ47" i="1"/>
  <c r="DI47" i="1"/>
  <c r="BJ47" i="1" s="1"/>
  <c r="BL47" i="1" s="1"/>
  <c r="DH47" i="1"/>
  <c r="BW47" i="1"/>
  <c r="BV47" i="1"/>
  <c r="BR47" i="1"/>
  <c r="BO47" i="1"/>
  <c r="BN47" i="1"/>
  <c r="BH47" i="1"/>
  <c r="BB47" i="1"/>
  <c r="AW47" i="1"/>
  <c r="AV47" i="1"/>
  <c r="AU47" i="1"/>
  <c r="P47" i="1" s="1"/>
  <c r="AN47" i="1"/>
  <c r="AI47" i="1"/>
  <c r="L47" i="1" s="1"/>
  <c r="BK47" i="1" s="1"/>
  <c r="BM47" i="1" s="1"/>
  <c r="AG47" i="1"/>
  <c r="AA47" i="1"/>
  <c r="Z47" i="1"/>
  <c r="Y47" i="1" s="1"/>
  <c r="R47" i="1"/>
  <c r="M47" i="1"/>
  <c r="K47" i="1"/>
  <c r="J47" i="1" s="1"/>
  <c r="DK46" i="1"/>
  <c r="U46" i="1" s="1"/>
  <c r="DJ46" i="1"/>
  <c r="DI46" i="1" s="1"/>
  <c r="BJ46" i="1" s="1"/>
  <c r="DH46" i="1"/>
  <c r="BW46" i="1"/>
  <c r="BV46" i="1"/>
  <c r="BU46" i="1"/>
  <c r="BT46" i="1"/>
  <c r="BX46" i="1" s="1"/>
  <c r="BY46" i="1" s="1"/>
  <c r="BS46" i="1"/>
  <c r="BR46" i="1"/>
  <c r="BO46" i="1"/>
  <c r="BN46" i="1"/>
  <c r="BH46" i="1"/>
  <c r="BB46" i="1"/>
  <c r="AW46" i="1"/>
  <c r="AU46" i="1"/>
  <c r="AN46" i="1"/>
  <c r="AI46" i="1"/>
  <c r="L46" i="1" s="1"/>
  <c r="BK46" i="1" s="1"/>
  <c r="AA46" i="1"/>
  <c r="Z46" i="1"/>
  <c r="Y46" i="1" s="1"/>
  <c r="R46" i="1"/>
  <c r="K46" i="1"/>
  <c r="J46" i="1" s="1"/>
  <c r="DK45" i="1"/>
  <c r="DJ45" i="1"/>
  <c r="DH45" i="1"/>
  <c r="DI45" i="1" s="1"/>
  <c r="BJ45" i="1" s="1"/>
  <c r="BW45" i="1"/>
  <c r="BV45" i="1"/>
  <c r="BU45" i="1"/>
  <c r="BS45" i="1"/>
  <c r="BR45" i="1"/>
  <c r="BT45" i="1" s="1"/>
  <c r="BX45" i="1" s="1"/>
  <c r="BY45" i="1" s="1"/>
  <c r="BN45" i="1"/>
  <c r="BH45" i="1"/>
  <c r="BB45" i="1"/>
  <c r="BO45" i="1" s="1"/>
  <c r="AW45" i="1"/>
  <c r="AU45" i="1"/>
  <c r="AN45" i="1"/>
  <c r="K45" i="1" s="1"/>
  <c r="J45" i="1" s="1"/>
  <c r="AI45" i="1"/>
  <c r="AA45" i="1"/>
  <c r="Y45" i="1" s="1"/>
  <c r="Z45" i="1"/>
  <c r="R45" i="1"/>
  <c r="L45" i="1"/>
  <c r="BK45" i="1" s="1"/>
  <c r="DK44" i="1"/>
  <c r="DJ44" i="1"/>
  <c r="DH44" i="1"/>
  <c r="BX44" i="1"/>
  <c r="BY44" i="1" s="1"/>
  <c r="BW44" i="1"/>
  <c r="BV44" i="1"/>
  <c r="BU44" i="1"/>
  <c r="BT44" i="1"/>
  <c r="BS44" i="1"/>
  <c r="BR44" i="1"/>
  <c r="BN44" i="1"/>
  <c r="BK44" i="1"/>
  <c r="BH44" i="1"/>
  <c r="BB44" i="1"/>
  <c r="BO44" i="1" s="1"/>
  <c r="AW44" i="1"/>
  <c r="AU44" i="1" s="1"/>
  <c r="AN44" i="1"/>
  <c r="K44" i="1" s="1"/>
  <c r="J44" i="1" s="1"/>
  <c r="AI44" i="1"/>
  <c r="AA44" i="1"/>
  <c r="Z44" i="1"/>
  <c r="Y44" i="1" s="1"/>
  <c r="R44" i="1"/>
  <c r="L44" i="1"/>
  <c r="DK43" i="1"/>
  <c r="DJ43" i="1"/>
  <c r="DH43" i="1"/>
  <c r="BW43" i="1"/>
  <c r="BV43" i="1"/>
  <c r="BU43" i="1"/>
  <c r="BT43" i="1"/>
  <c r="BX43" i="1" s="1"/>
  <c r="BY43" i="1" s="1"/>
  <c r="BR43" i="1"/>
  <c r="BS43" i="1" s="1"/>
  <c r="BN43" i="1"/>
  <c r="BH43" i="1"/>
  <c r="BB43" i="1"/>
  <c r="BO43" i="1" s="1"/>
  <c r="AW43" i="1"/>
  <c r="AU43" i="1" s="1"/>
  <c r="AN43" i="1"/>
  <c r="AI43" i="1"/>
  <c r="L43" i="1" s="1"/>
  <c r="BK43" i="1" s="1"/>
  <c r="AH43" i="1"/>
  <c r="AC43" i="1"/>
  <c r="AA43" i="1"/>
  <c r="Z43" i="1"/>
  <c r="Y43" i="1" s="1"/>
  <c r="R43" i="1"/>
  <c r="K43" i="1"/>
  <c r="J43" i="1"/>
  <c r="DK42" i="1"/>
  <c r="DJ42" i="1"/>
  <c r="DI42" i="1"/>
  <c r="BJ42" i="1" s="1"/>
  <c r="DH42" i="1"/>
  <c r="BW42" i="1"/>
  <c r="BV42" i="1"/>
  <c r="BR42" i="1"/>
  <c r="BO42" i="1"/>
  <c r="BN42" i="1"/>
  <c r="BM42" i="1"/>
  <c r="BK42" i="1"/>
  <c r="BH42" i="1"/>
  <c r="BB42" i="1"/>
  <c r="AW42" i="1"/>
  <c r="AU42" i="1"/>
  <c r="P42" i="1" s="1"/>
  <c r="AN42" i="1"/>
  <c r="K42" i="1" s="1"/>
  <c r="J42" i="1" s="1"/>
  <c r="AC42" i="1" s="1"/>
  <c r="AI42" i="1"/>
  <c r="AH42" i="1"/>
  <c r="AG42" i="1"/>
  <c r="AA42" i="1"/>
  <c r="Z42" i="1"/>
  <c r="Y42" i="1"/>
  <c r="U42" i="1"/>
  <c r="R42" i="1"/>
  <c r="M42" i="1"/>
  <c r="L42" i="1"/>
  <c r="DK41" i="1"/>
  <c r="U41" i="1" s="1"/>
  <c r="DJ41" i="1"/>
  <c r="DI41" i="1"/>
  <c r="BJ41" i="1" s="1"/>
  <c r="BL41" i="1" s="1"/>
  <c r="DH41" i="1"/>
  <c r="BW41" i="1"/>
  <c r="BV41" i="1"/>
  <c r="BR41" i="1"/>
  <c r="BT41" i="1" s="1"/>
  <c r="BX41" i="1" s="1"/>
  <c r="BY41" i="1" s="1"/>
  <c r="BO41" i="1"/>
  <c r="BN41" i="1"/>
  <c r="BH41" i="1"/>
  <c r="BB41" i="1"/>
  <c r="AW41" i="1"/>
  <c r="AU41" i="1"/>
  <c r="AG41" i="1" s="1"/>
  <c r="AN41" i="1"/>
  <c r="K41" i="1" s="1"/>
  <c r="J41" i="1" s="1"/>
  <c r="AI41" i="1"/>
  <c r="L41" i="1" s="1"/>
  <c r="BK41" i="1" s="1"/>
  <c r="BM41" i="1" s="1"/>
  <c r="AA41" i="1"/>
  <c r="Z41" i="1"/>
  <c r="Y41" i="1" s="1"/>
  <c r="R41" i="1"/>
  <c r="M41" i="1"/>
  <c r="DK40" i="1"/>
  <c r="U40" i="1" s="1"/>
  <c r="DJ40" i="1"/>
  <c r="DI40" i="1" s="1"/>
  <c r="BJ40" i="1" s="1"/>
  <c r="DH40" i="1"/>
  <c r="BW40" i="1"/>
  <c r="BV40" i="1"/>
  <c r="BU40" i="1"/>
  <c r="BT40" i="1"/>
  <c r="BX40" i="1" s="1"/>
  <c r="BY40" i="1" s="1"/>
  <c r="BS40" i="1"/>
  <c r="BR40" i="1"/>
  <c r="BO40" i="1"/>
  <c r="BN40" i="1"/>
  <c r="BH40" i="1"/>
  <c r="BL40" i="1" s="1"/>
  <c r="BB40" i="1"/>
  <c r="AW40" i="1"/>
  <c r="AU40" i="1"/>
  <c r="AG40" i="1" s="1"/>
  <c r="AN40" i="1"/>
  <c r="AI40" i="1"/>
  <c r="L40" i="1" s="1"/>
  <c r="BK40" i="1" s="1"/>
  <c r="BM40" i="1" s="1"/>
  <c r="AA40" i="1"/>
  <c r="Z40" i="1"/>
  <c r="Y40" i="1" s="1"/>
  <c r="R40" i="1"/>
  <c r="K40" i="1"/>
  <c r="J40" i="1" s="1"/>
  <c r="DK39" i="1"/>
  <c r="DJ39" i="1"/>
  <c r="DH39" i="1"/>
  <c r="DI39" i="1" s="1"/>
  <c r="BX39" i="1"/>
  <c r="BY39" i="1" s="1"/>
  <c r="BW39" i="1"/>
  <c r="BV39" i="1"/>
  <c r="BS39" i="1"/>
  <c r="BR39" i="1"/>
  <c r="BT39" i="1" s="1"/>
  <c r="BN39" i="1"/>
  <c r="BJ39" i="1"/>
  <c r="BH39" i="1"/>
  <c r="BL39" i="1" s="1"/>
  <c r="BB39" i="1"/>
  <c r="BO39" i="1" s="1"/>
  <c r="AW39" i="1"/>
  <c r="AU39" i="1"/>
  <c r="AN39" i="1"/>
  <c r="K39" i="1" s="1"/>
  <c r="J39" i="1" s="1"/>
  <c r="AI39" i="1"/>
  <c r="AA39" i="1"/>
  <c r="Z39" i="1"/>
  <c r="Y39" i="1"/>
  <c r="R39" i="1"/>
  <c r="L39" i="1"/>
  <c r="BK39" i="1" s="1"/>
  <c r="BM39" i="1" s="1"/>
  <c r="DK38" i="1"/>
  <c r="DJ38" i="1"/>
  <c r="DH38" i="1"/>
  <c r="BW38" i="1"/>
  <c r="BV38" i="1"/>
  <c r="BN38" i="1"/>
  <c r="BK38" i="1"/>
  <c r="BH38" i="1"/>
  <c r="BB38" i="1"/>
  <c r="BO38" i="1" s="1"/>
  <c r="BR38" i="1" s="1"/>
  <c r="AW38" i="1"/>
  <c r="AU38" i="1"/>
  <c r="AN38" i="1"/>
  <c r="K38" i="1" s="1"/>
  <c r="J38" i="1" s="1"/>
  <c r="AI38" i="1"/>
  <c r="AC38" i="1"/>
  <c r="AA38" i="1"/>
  <c r="Z38" i="1"/>
  <c r="Y38" i="1"/>
  <c r="R38" i="1"/>
  <c r="L38" i="1"/>
  <c r="DK37" i="1"/>
  <c r="DJ37" i="1"/>
  <c r="DH37" i="1"/>
  <c r="DI37" i="1" s="1"/>
  <c r="BJ37" i="1" s="1"/>
  <c r="BY37" i="1"/>
  <c r="BW37" i="1"/>
  <c r="BV37" i="1"/>
  <c r="BU37" i="1"/>
  <c r="BT37" i="1"/>
  <c r="BX37" i="1" s="1"/>
  <c r="BR37" i="1"/>
  <c r="BS37" i="1" s="1"/>
  <c r="BN37" i="1"/>
  <c r="BH37" i="1"/>
  <c r="BB37" i="1"/>
  <c r="BO37" i="1" s="1"/>
  <c r="AW37" i="1"/>
  <c r="AU37" i="1" s="1"/>
  <c r="AN37" i="1"/>
  <c r="AI37" i="1"/>
  <c r="L37" i="1" s="1"/>
  <c r="BK37" i="1" s="1"/>
  <c r="BM37" i="1" s="1"/>
  <c r="AA37" i="1"/>
  <c r="Z37" i="1"/>
  <c r="R37" i="1"/>
  <c r="K37" i="1"/>
  <c r="J37" i="1"/>
  <c r="AC37" i="1" s="1"/>
  <c r="DK36" i="1"/>
  <c r="U36" i="1" s="1"/>
  <c r="DJ36" i="1"/>
  <c r="DI36" i="1"/>
  <c r="BJ36" i="1" s="1"/>
  <c r="DH36" i="1"/>
  <c r="BW36" i="1"/>
  <c r="BV36" i="1"/>
  <c r="BR36" i="1"/>
  <c r="BO36" i="1"/>
  <c r="BN36" i="1"/>
  <c r="BH36" i="1"/>
  <c r="BB36" i="1"/>
  <c r="AW36" i="1"/>
  <c r="AU36" i="1"/>
  <c r="AG36" i="1" s="1"/>
  <c r="AN36" i="1"/>
  <c r="AI36" i="1"/>
  <c r="AH36" i="1"/>
  <c r="AA36" i="1"/>
  <c r="Z36" i="1"/>
  <c r="Y36" i="1"/>
  <c r="R36" i="1"/>
  <c r="M36" i="1"/>
  <c r="L36" i="1"/>
  <c r="BK36" i="1" s="1"/>
  <c r="K36" i="1"/>
  <c r="J36" i="1"/>
  <c r="DK35" i="1"/>
  <c r="DJ35" i="1"/>
  <c r="DH35" i="1"/>
  <c r="DI35" i="1" s="1"/>
  <c r="BJ35" i="1" s="1"/>
  <c r="BL35" i="1" s="1"/>
  <c r="BW35" i="1"/>
  <c r="BV35" i="1"/>
  <c r="BR35" i="1"/>
  <c r="BO35" i="1"/>
  <c r="BN35" i="1"/>
  <c r="BM35" i="1"/>
  <c r="BH35" i="1"/>
  <c r="BB35" i="1"/>
  <c r="AW35" i="1"/>
  <c r="AU35" i="1"/>
  <c r="P35" i="1" s="1"/>
  <c r="AN35" i="1"/>
  <c r="AI35" i="1"/>
  <c r="L35" i="1" s="1"/>
  <c r="BK35" i="1" s="1"/>
  <c r="AH35" i="1"/>
  <c r="AA35" i="1"/>
  <c r="Z35" i="1"/>
  <c r="Y35" i="1"/>
  <c r="U35" i="1"/>
  <c r="V35" i="1" s="1"/>
  <c r="W35" i="1" s="1"/>
  <c r="S35" i="1"/>
  <c r="Q35" i="1" s="1"/>
  <c r="T35" i="1" s="1"/>
  <c r="R35" i="1"/>
  <c r="K35" i="1"/>
  <c r="J35" i="1" s="1"/>
  <c r="AC35" i="1" s="1"/>
  <c r="DK34" i="1"/>
  <c r="DJ34" i="1"/>
  <c r="DH34" i="1"/>
  <c r="DI34" i="1" s="1"/>
  <c r="BJ34" i="1" s="1"/>
  <c r="BW34" i="1"/>
  <c r="BV34" i="1"/>
  <c r="BU34" i="1"/>
  <c r="BT34" i="1"/>
  <c r="BX34" i="1" s="1"/>
  <c r="BY34" i="1" s="1"/>
  <c r="BS34" i="1"/>
  <c r="BR34" i="1"/>
  <c r="BO34" i="1"/>
  <c r="BN34" i="1"/>
  <c r="BH34" i="1"/>
  <c r="BB34" i="1"/>
  <c r="AW34" i="1"/>
  <c r="AU34" i="1" s="1"/>
  <c r="AV34" i="1" s="1"/>
  <c r="AN34" i="1"/>
  <c r="K34" i="1" s="1"/>
  <c r="J34" i="1" s="1"/>
  <c r="AI34" i="1"/>
  <c r="AH34" i="1"/>
  <c r="AA34" i="1"/>
  <c r="Z34" i="1"/>
  <c r="Y34" i="1"/>
  <c r="U34" i="1"/>
  <c r="R34" i="1"/>
  <c r="L34" i="1"/>
  <c r="BK34" i="1" s="1"/>
  <c r="BM34" i="1" s="1"/>
  <c r="DK33" i="1"/>
  <c r="DJ33" i="1"/>
  <c r="DH33" i="1"/>
  <c r="BX33" i="1"/>
  <c r="BY33" i="1" s="1"/>
  <c r="BW33" i="1"/>
  <c r="BV33" i="1"/>
  <c r="BU33" i="1"/>
  <c r="BT33" i="1"/>
  <c r="BS33" i="1"/>
  <c r="BR33" i="1"/>
  <c r="BN33" i="1"/>
  <c r="BH33" i="1"/>
  <c r="BB33" i="1"/>
  <c r="BO33" i="1" s="1"/>
  <c r="AW33" i="1"/>
  <c r="AU33" i="1" s="1"/>
  <c r="AV33" i="1"/>
  <c r="AN33" i="1"/>
  <c r="AI33" i="1"/>
  <c r="AA33" i="1"/>
  <c r="Z33" i="1"/>
  <c r="Y33" i="1"/>
  <c r="U33" i="1"/>
  <c r="R33" i="1"/>
  <c r="M33" i="1"/>
  <c r="L33" i="1"/>
  <c r="BK33" i="1" s="1"/>
  <c r="K33" i="1"/>
  <c r="J33" i="1" s="1"/>
  <c r="DK32" i="1"/>
  <c r="DJ32" i="1"/>
  <c r="DI32" i="1"/>
  <c r="BJ32" i="1" s="1"/>
  <c r="DH32" i="1"/>
  <c r="BX32" i="1"/>
  <c r="BY32" i="1" s="1"/>
  <c r="BW32" i="1"/>
  <c r="BV32" i="1"/>
  <c r="BU32" i="1"/>
  <c r="BT32" i="1"/>
  <c r="BS32" i="1"/>
  <c r="BR32" i="1"/>
  <c r="BN32" i="1"/>
  <c r="BM32" i="1"/>
  <c r="BH32" i="1"/>
  <c r="BL32" i="1" s="1"/>
  <c r="BB32" i="1"/>
  <c r="BO32" i="1" s="1"/>
  <c r="AW32" i="1"/>
  <c r="AU32" i="1" s="1"/>
  <c r="AN32" i="1"/>
  <c r="AI32" i="1"/>
  <c r="AA32" i="1"/>
  <c r="Z32" i="1"/>
  <c r="Y32" i="1"/>
  <c r="U32" i="1"/>
  <c r="R32" i="1"/>
  <c r="L32" i="1"/>
  <c r="BK32" i="1" s="1"/>
  <c r="K32" i="1"/>
  <c r="J32" i="1" s="1"/>
  <c r="DK31" i="1"/>
  <c r="DJ31" i="1"/>
  <c r="DH31" i="1"/>
  <c r="DI31" i="1" s="1"/>
  <c r="BJ31" i="1" s="1"/>
  <c r="BX31" i="1"/>
  <c r="BY31" i="1" s="1"/>
  <c r="BW31" i="1"/>
  <c r="BV31" i="1"/>
  <c r="BU31" i="1"/>
  <c r="BT31" i="1"/>
  <c r="BS31" i="1"/>
  <c r="BR31" i="1"/>
  <c r="BO31" i="1"/>
  <c r="BN31" i="1"/>
  <c r="BH31" i="1"/>
  <c r="BB31" i="1"/>
  <c r="AW31" i="1"/>
  <c r="AU31" i="1" s="1"/>
  <c r="AN31" i="1"/>
  <c r="AI31" i="1"/>
  <c r="L31" i="1" s="1"/>
  <c r="BK31" i="1" s="1"/>
  <c r="AA31" i="1"/>
  <c r="Z31" i="1"/>
  <c r="R31" i="1"/>
  <c r="K31" i="1"/>
  <c r="J31" i="1" s="1"/>
  <c r="DK30" i="1"/>
  <c r="DJ30" i="1"/>
  <c r="DH30" i="1"/>
  <c r="BW30" i="1"/>
  <c r="BV30" i="1"/>
  <c r="BS30" i="1"/>
  <c r="BR30" i="1"/>
  <c r="BU30" i="1" s="1"/>
  <c r="BN30" i="1"/>
  <c r="BK30" i="1"/>
  <c r="BH30" i="1"/>
  <c r="BB30" i="1"/>
  <c r="BO30" i="1" s="1"/>
  <c r="AW30" i="1"/>
  <c r="AU30" i="1"/>
  <c r="AN30" i="1"/>
  <c r="AI30" i="1"/>
  <c r="AA30" i="1"/>
  <c r="Z30" i="1"/>
  <c r="Y30" i="1"/>
  <c r="R30" i="1"/>
  <c r="L30" i="1"/>
  <c r="K30" i="1"/>
  <c r="J30" i="1"/>
  <c r="AC30" i="1" s="1"/>
  <c r="DK29" i="1"/>
  <c r="DJ29" i="1"/>
  <c r="DI29" i="1"/>
  <c r="BJ29" i="1" s="1"/>
  <c r="BL29" i="1" s="1"/>
  <c r="DH29" i="1"/>
  <c r="BW29" i="1"/>
  <c r="BV29" i="1"/>
  <c r="BR29" i="1"/>
  <c r="BO29" i="1"/>
  <c r="BN29" i="1"/>
  <c r="BH29" i="1"/>
  <c r="BB29" i="1"/>
  <c r="AW29" i="1"/>
  <c r="AU29" i="1" s="1"/>
  <c r="AN29" i="1"/>
  <c r="K29" i="1" s="1"/>
  <c r="J29" i="1" s="1"/>
  <c r="AI29" i="1"/>
  <c r="AH29" i="1"/>
  <c r="AA29" i="1"/>
  <c r="Z29" i="1"/>
  <c r="U29" i="1"/>
  <c r="R29" i="1"/>
  <c r="L29" i="1"/>
  <c r="BK29" i="1" s="1"/>
  <c r="BM29" i="1" s="1"/>
  <c r="DK28" i="1"/>
  <c r="DJ28" i="1"/>
  <c r="DI28" i="1"/>
  <c r="BJ28" i="1" s="1"/>
  <c r="DH28" i="1"/>
  <c r="BW28" i="1"/>
  <c r="BV28" i="1"/>
  <c r="BO28" i="1"/>
  <c r="BR28" i="1" s="1"/>
  <c r="BN28" i="1"/>
  <c r="BH28" i="1"/>
  <c r="BB28" i="1"/>
  <c r="AW28" i="1"/>
  <c r="AU28" i="1"/>
  <c r="M28" i="1" s="1"/>
  <c r="AN28" i="1"/>
  <c r="AI28" i="1"/>
  <c r="AG28" i="1"/>
  <c r="AA28" i="1"/>
  <c r="Z28" i="1"/>
  <c r="Y28" i="1"/>
  <c r="U28" i="1"/>
  <c r="R28" i="1"/>
  <c r="L28" i="1"/>
  <c r="BK28" i="1" s="1"/>
  <c r="BM28" i="1" s="1"/>
  <c r="K28" i="1"/>
  <c r="J28" i="1" s="1"/>
  <c r="DK27" i="1"/>
  <c r="DJ27" i="1"/>
  <c r="DH27" i="1"/>
  <c r="DI27" i="1" s="1"/>
  <c r="BJ27" i="1" s="1"/>
  <c r="BL27" i="1" s="1"/>
  <c r="BW27" i="1"/>
  <c r="BV27" i="1"/>
  <c r="BU27" i="1"/>
  <c r="BT27" i="1"/>
  <c r="BX27" i="1" s="1"/>
  <c r="BY27" i="1" s="1"/>
  <c r="BS27" i="1"/>
  <c r="BR27" i="1"/>
  <c r="BO27" i="1"/>
  <c r="BN27" i="1"/>
  <c r="BK27" i="1"/>
  <c r="BM27" i="1" s="1"/>
  <c r="BH27" i="1"/>
  <c r="BB27" i="1"/>
  <c r="AW27" i="1"/>
  <c r="AU27" i="1"/>
  <c r="AN27" i="1"/>
  <c r="AI27" i="1"/>
  <c r="L27" i="1" s="1"/>
  <c r="AA27" i="1"/>
  <c r="Z27" i="1"/>
  <c r="Y27" i="1"/>
  <c r="R27" i="1"/>
  <c r="M27" i="1"/>
  <c r="K27" i="1"/>
  <c r="J27" i="1" s="1"/>
  <c r="AC27" i="1" s="1"/>
  <c r="DK26" i="1"/>
  <c r="DJ26" i="1"/>
  <c r="DI26" i="1"/>
  <c r="BJ26" i="1" s="1"/>
  <c r="BM26" i="1" s="1"/>
  <c r="DH26" i="1"/>
  <c r="BW26" i="1"/>
  <c r="BV26" i="1"/>
  <c r="BU26" i="1"/>
  <c r="BS26" i="1"/>
  <c r="BR26" i="1"/>
  <c r="BT26" i="1" s="1"/>
  <c r="BX26" i="1" s="1"/>
  <c r="BY26" i="1" s="1"/>
  <c r="BN26" i="1"/>
  <c r="BH26" i="1"/>
  <c r="BB26" i="1"/>
  <c r="BO26" i="1" s="1"/>
  <c r="AW26" i="1"/>
  <c r="AU26" i="1" s="1"/>
  <c r="AN26" i="1"/>
  <c r="K26" i="1" s="1"/>
  <c r="J26" i="1" s="1"/>
  <c r="AC26" i="1" s="1"/>
  <c r="AI26" i="1"/>
  <c r="AA26" i="1"/>
  <c r="Z26" i="1"/>
  <c r="Y26" i="1"/>
  <c r="U26" i="1"/>
  <c r="R26" i="1"/>
  <c r="L26" i="1"/>
  <c r="BK26" i="1" s="1"/>
  <c r="DK25" i="1"/>
  <c r="DJ25" i="1"/>
  <c r="DH25" i="1"/>
  <c r="BX25" i="1"/>
  <c r="BY25" i="1" s="1"/>
  <c r="BW25" i="1"/>
  <c r="BV25" i="1"/>
  <c r="BU25" i="1"/>
  <c r="BR25" i="1"/>
  <c r="BT25" i="1" s="1"/>
  <c r="BO25" i="1"/>
  <c r="BN25" i="1"/>
  <c r="BH25" i="1"/>
  <c r="BB25" i="1"/>
  <c r="AW25" i="1"/>
  <c r="AU25" i="1" s="1"/>
  <c r="AN25" i="1"/>
  <c r="AI25" i="1"/>
  <c r="L25" i="1" s="1"/>
  <c r="BK25" i="1" s="1"/>
  <c r="AC25" i="1"/>
  <c r="AA25" i="1"/>
  <c r="Z25" i="1"/>
  <c r="R25" i="1"/>
  <c r="K25" i="1"/>
  <c r="J25" i="1" s="1"/>
  <c r="DK24" i="1"/>
  <c r="DJ24" i="1"/>
  <c r="DH24" i="1"/>
  <c r="DI24" i="1" s="1"/>
  <c r="BJ24" i="1" s="1"/>
  <c r="BL24" i="1" s="1"/>
  <c r="BW24" i="1"/>
  <c r="BV24" i="1"/>
  <c r="BT24" i="1"/>
  <c r="BX24" i="1" s="1"/>
  <c r="BY24" i="1" s="1"/>
  <c r="BS24" i="1"/>
  <c r="BR24" i="1"/>
  <c r="BU24" i="1" s="1"/>
  <c r="BN24" i="1"/>
  <c r="BK24" i="1"/>
  <c r="BH24" i="1"/>
  <c r="BB24" i="1"/>
  <c r="BO24" i="1" s="1"/>
  <c r="AW24" i="1"/>
  <c r="AU24" i="1"/>
  <c r="AN24" i="1"/>
  <c r="K24" i="1" s="1"/>
  <c r="J24" i="1" s="1"/>
  <c r="AI24" i="1"/>
  <c r="AH24" i="1"/>
  <c r="AG24" i="1"/>
  <c r="AA24" i="1"/>
  <c r="Z24" i="1"/>
  <c r="Y24" i="1"/>
  <c r="U24" i="1"/>
  <c r="R24" i="1"/>
  <c r="M24" i="1"/>
  <c r="L24" i="1"/>
  <c r="DK23" i="1"/>
  <c r="DJ23" i="1"/>
  <c r="DI23" i="1"/>
  <c r="BJ23" i="1" s="1"/>
  <c r="BL23" i="1" s="1"/>
  <c r="DH23" i="1"/>
  <c r="BW23" i="1"/>
  <c r="BV23" i="1"/>
  <c r="BR23" i="1"/>
  <c r="BO23" i="1"/>
  <c r="BN23" i="1"/>
  <c r="BH23" i="1"/>
  <c r="BB23" i="1"/>
  <c r="AW23" i="1"/>
  <c r="AU23" i="1" s="1"/>
  <c r="AN23" i="1"/>
  <c r="AI23" i="1"/>
  <c r="L23" i="1" s="1"/>
  <c r="BK23" i="1" s="1"/>
  <c r="BM23" i="1" s="1"/>
  <c r="AH23" i="1"/>
  <c r="AG23" i="1"/>
  <c r="AA23" i="1"/>
  <c r="Z23" i="1"/>
  <c r="U23" i="1"/>
  <c r="R23" i="1"/>
  <c r="K23" i="1"/>
  <c r="J23" i="1"/>
  <c r="AC23" i="1" s="1"/>
  <c r="DK22" i="1"/>
  <c r="U22" i="1" s="1"/>
  <c r="DJ22" i="1"/>
  <c r="DI22" i="1"/>
  <c r="BJ22" i="1" s="1"/>
  <c r="DH22" i="1"/>
  <c r="BW22" i="1"/>
  <c r="BV22" i="1"/>
  <c r="BR22" i="1"/>
  <c r="BU22" i="1" s="1"/>
  <c r="BO22" i="1"/>
  <c r="BN22" i="1"/>
  <c r="BM22" i="1"/>
  <c r="BH22" i="1"/>
  <c r="BL22" i="1" s="1"/>
  <c r="BB22" i="1"/>
  <c r="AW22" i="1"/>
  <c r="AV22" i="1"/>
  <c r="AU22" i="1"/>
  <c r="AN22" i="1"/>
  <c r="AI22" i="1"/>
  <c r="AG22" i="1"/>
  <c r="AC22" i="1"/>
  <c r="AA22" i="1"/>
  <c r="Z22" i="1"/>
  <c r="Y22" i="1"/>
  <c r="R22" i="1"/>
  <c r="M22" i="1"/>
  <c r="L22" i="1"/>
  <c r="BK22" i="1" s="1"/>
  <c r="K22" i="1"/>
  <c r="J22" i="1" s="1"/>
  <c r="DK21" i="1"/>
  <c r="DJ21" i="1"/>
  <c r="DH21" i="1"/>
  <c r="DI21" i="1" s="1"/>
  <c r="BJ21" i="1" s="1"/>
  <c r="BL21" i="1" s="1"/>
  <c r="BY21" i="1"/>
  <c r="BW21" i="1"/>
  <c r="BV21" i="1"/>
  <c r="BU21" i="1"/>
  <c r="BT21" i="1"/>
  <c r="BX21" i="1" s="1"/>
  <c r="BS21" i="1"/>
  <c r="BR21" i="1"/>
  <c r="BN21" i="1"/>
  <c r="BK21" i="1"/>
  <c r="BH21" i="1"/>
  <c r="BB21" i="1"/>
  <c r="BO21" i="1" s="1"/>
  <c r="AW21" i="1"/>
  <c r="AU21" i="1" s="1"/>
  <c r="AN21" i="1"/>
  <c r="AI21" i="1"/>
  <c r="L21" i="1" s="1"/>
  <c r="AA21" i="1"/>
  <c r="Z21" i="1"/>
  <c r="Y21" i="1" s="1"/>
  <c r="R21" i="1"/>
  <c r="K21" i="1"/>
  <c r="J21" i="1" s="1"/>
  <c r="AC21" i="1" s="1"/>
  <c r="DK20" i="1"/>
  <c r="DJ20" i="1"/>
  <c r="DI20" i="1"/>
  <c r="BJ20" i="1" s="1"/>
  <c r="DH20" i="1"/>
  <c r="BX20" i="1"/>
  <c r="BY20" i="1" s="1"/>
  <c r="BW20" i="1"/>
  <c r="BV20" i="1"/>
  <c r="BU20" i="1"/>
  <c r="BS20" i="1"/>
  <c r="BR20" i="1"/>
  <c r="BT20" i="1" s="1"/>
  <c r="BN20" i="1"/>
  <c r="BH20" i="1"/>
  <c r="BB20" i="1"/>
  <c r="BO20" i="1" s="1"/>
  <c r="AW20" i="1"/>
  <c r="AU20" i="1"/>
  <c r="AN20" i="1"/>
  <c r="K20" i="1" s="1"/>
  <c r="J20" i="1" s="1"/>
  <c r="AC20" i="1" s="1"/>
  <c r="AI20" i="1"/>
  <c r="AA20" i="1"/>
  <c r="Z20" i="1"/>
  <c r="Y20" i="1"/>
  <c r="U20" i="1"/>
  <c r="R20" i="1"/>
  <c r="P20" i="1"/>
  <c r="L20" i="1"/>
  <c r="BK20" i="1" s="1"/>
  <c r="DK19" i="1"/>
  <c r="DJ19" i="1"/>
  <c r="DH19" i="1"/>
  <c r="BW19" i="1"/>
  <c r="BV19" i="1"/>
  <c r="BU19" i="1"/>
  <c r="BR19" i="1"/>
  <c r="BT19" i="1" s="1"/>
  <c r="BX19" i="1" s="1"/>
  <c r="BY19" i="1" s="1"/>
  <c r="BO19" i="1"/>
  <c r="BN19" i="1"/>
  <c r="BH19" i="1"/>
  <c r="BB19" i="1"/>
  <c r="AW19" i="1"/>
  <c r="AU19" i="1" s="1"/>
  <c r="AN19" i="1"/>
  <c r="AI19" i="1"/>
  <c r="L19" i="1" s="1"/>
  <c r="BK19" i="1" s="1"/>
  <c r="AA19" i="1"/>
  <c r="Z19" i="1"/>
  <c r="R19" i="1"/>
  <c r="K19" i="1"/>
  <c r="J19" i="1" s="1"/>
  <c r="AC19" i="1" s="1"/>
  <c r="DK18" i="1"/>
  <c r="DJ18" i="1"/>
  <c r="DH18" i="1"/>
  <c r="DI18" i="1" s="1"/>
  <c r="BJ18" i="1" s="1"/>
  <c r="BL18" i="1" s="1"/>
  <c r="BY18" i="1"/>
  <c r="BW18" i="1"/>
  <c r="BV18" i="1"/>
  <c r="BT18" i="1"/>
  <c r="BX18" i="1" s="1"/>
  <c r="BS18" i="1"/>
  <c r="BR18" i="1"/>
  <c r="BU18" i="1" s="1"/>
  <c r="BN18" i="1"/>
  <c r="BK18" i="1"/>
  <c r="BM18" i="1" s="1"/>
  <c r="BH18" i="1"/>
  <c r="BB18" i="1"/>
  <c r="BO18" i="1" s="1"/>
  <c r="AW18" i="1"/>
  <c r="AU18" i="1"/>
  <c r="AN18" i="1"/>
  <c r="K18" i="1" s="1"/>
  <c r="AI18" i="1"/>
  <c r="AH18" i="1"/>
  <c r="AG18" i="1"/>
  <c r="AA18" i="1"/>
  <c r="Z18" i="1"/>
  <c r="Y18" i="1"/>
  <c r="R18" i="1"/>
  <c r="M18" i="1"/>
  <c r="L18" i="1"/>
  <c r="J18" i="1"/>
  <c r="DK17" i="1"/>
  <c r="U17" i="1" s="1"/>
  <c r="DJ17" i="1"/>
  <c r="DI17" i="1"/>
  <c r="DH17" i="1"/>
  <c r="BW17" i="1"/>
  <c r="BV17" i="1"/>
  <c r="BR17" i="1"/>
  <c r="BO17" i="1"/>
  <c r="BN17" i="1"/>
  <c r="BK17" i="1"/>
  <c r="BM17" i="1" s="1"/>
  <c r="BH17" i="1"/>
  <c r="BB17" i="1"/>
  <c r="AW17" i="1"/>
  <c r="AU17" i="1" s="1"/>
  <c r="P17" i="1" s="1"/>
  <c r="AN17" i="1"/>
  <c r="AI17" i="1"/>
  <c r="AG17" i="1"/>
  <c r="AA17" i="1"/>
  <c r="Z17" i="1"/>
  <c r="Y17" i="1" s="1"/>
  <c r="R17" i="1"/>
  <c r="L17" i="1"/>
  <c r="K17" i="1"/>
  <c r="J17" i="1" s="1"/>
  <c r="V24" i="1" l="1"/>
  <c r="W24" i="1" s="1"/>
  <c r="BM24" i="1"/>
  <c r="V69" i="1"/>
  <c r="W69" i="1" s="1"/>
  <c r="BM20" i="1"/>
  <c r="AH32" i="1"/>
  <c r="AV32" i="1"/>
  <c r="P32" i="1"/>
  <c r="M32" i="1"/>
  <c r="AG32" i="1"/>
  <c r="AC24" i="1"/>
  <c r="S24" i="1"/>
  <c r="Q24" i="1" s="1"/>
  <c r="T24" i="1" s="1"/>
  <c r="N24" i="1" s="1"/>
  <c r="O24" i="1" s="1"/>
  <c r="AH26" i="1"/>
  <c r="AV26" i="1"/>
  <c r="P26" i="1"/>
  <c r="AG26" i="1"/>
  <c r="M26" i="1"/>
  <c r="BM19" i="1"/>
  <c r="BM25" i="1"/>
  <c r="V29" i="1"/>
  <c r="W29" i="1" s="1"/>
  <c r="AC17" i="1"/>
  <c r="AC29" i="1"/>
  <c r="V22" i="1"/>
  <c r="W22" i="1" s="1"/>
  <c r="V17" i="1"/>
  <c r="W17" i="1" s="1"/>
  <c r="AD17" i="1" s="1"/>
  <c r="V47" i="1"/>
  <c r="W47" i="1" s="1"/>
  <c r="AH21" i="1"/>
  <c r="AG21" i="1"/>
  <c r="AV21" i="1"/>
  <c r="P21" i="1"/>
  <c r="M21" i="1"/>
  <c r="BU28" i="1"/>
  <c r="BT28" i="1"/>
  <c r="BX28" i="1" s="1"/>
  <c r="BY28" i="1" s="1"/>
  <c r="BS28" i="1"/>
  <c r="S41" i="1"/>
  <c r="Q41" i="1" s="1"/>
  <c r="T41" i="1" s="1"/>
  <c r="N41" i="1" s="1"/>
  <c r="O41" i="1" s="1"/>
  <c r="AC41" i="1"/>
  <c r="BM31" i="1"/>
  <c r="AC56" i="1"/>
  <c r="AV37" i="1"/>
  <c r="M37" i="1"/>
  <c r="AH37" i="1"/>
  <c r="AG37" i="1"/>
  <c r="P37" i="1"/>
  <c r="V42" i="1"/>
  <c r="W42" i="1" s="1"/>
  <c r="AD42" i="1" s="1"/>
  <c r="V71" i="1"/>
  <c r="W71" i="1" s="1"/>
  <c r="BM21" i="1"/>
  <c r="P29" i="1"/>
  <c r="AV29" i="1"/>
  <c r="M29" i="1"/>
  <c r="AV31" i="1"/>
  <c r="M31" i="1"/>
  <c r="AH31" i="1"/>
  <c r="AG31" i="1"/>
  <c r="P31" i="1"/>
  <c r="BM33" i="1"/>
  <c r="BM36" i="1"/>
  <c r="V36" i="1"/>
  <c r="W36" i="1" s="1"/>
  <c r="S36" i="1"/>
  <c r="Q36" i="1" s="1"/>
  <c r="T36" i="1" s="1"/>
  <c r="N36" i="1" s="1"/>
  <c r="O36" i="1" s="1"/>
  <c r="AC36" i="1"/>
  <c r="BL26" i="1"/>
  <c r="BU38" i="1"/>
  <c r="BT38" i="1"/>
  <c r="BX38" i="1" s="1"/>
  <c r="BY38" i="1" s="1"/>
  <c r="BS38" i="1"/>
  <c r="BL36" i="1"/>
  <c r="AD69" i="1"/>
  <c r="V34" i="1"/>
  <c r="W34" i="1" s="1"/>
  <c r="P30" i="1"/>
  <c r="AV30" i="1"/>
  <c r="AG30" i="1"/>
  <c r="V33" i="1"/>
  <c r="W33" i="1" s="1"/>
  <c r="AC33" i="1"/>
  <c r="P28" i="1"/>
  <c r="AH28" i="1"/>
  <c r="BM30" i="1"/>
  <c r="AC18" i="1"/>
  <c r="BT23" i="1"/>
  <c r="BX23" i="1" s="1"/>
  <c r="BY23" i="1" s="1"/>
  <c r="BS23" i="1"/>
  <c r="AD24" i="1"/>
  <c r="BL20" i="1"/>
  <c r="AD23" i="1"/>
  <c r="BL31" i="1"/>
  <c r="AG33" i="1"/>
  <c r="AH33" i="1"/>
  <c r="P33" i="1"/>
  <c r="AH17" i="1"/>
  <c r="BT22" i="1"/>
  <c r="BX22" i="1" s="1"/>
  <c r="BY22" i="1" s="1"/>
  <c r="S23" i="1"/>
  <c r="Q23" i="1" s="1"/>
  <c r="T23" i="1" s="1"/>
  <c r="N23" i="1" s="1"/>
  <c r="O23" i="1" s="1"/>
  <c r="P23" i="1"/>
  <c r="AV23" i="1"/>
  <c r="M23" i="1"/>
  <c r="Y25" i="1"/>
  <c r="AD28" i="1"/>
  <c r="AV28" i="1"/>
  <c r="AC48" i="1"/>
  <c r="AH51" i="1"/>
  <c r="AG51" i="1"/>
  <c r="AV51" i="1"/>
  <c r="P51" i="1"/>
  <c r="M51" i="1"/>
  <c r="AC64" i="1"/>
  <c r="AC66" i="1"/>
  <c r="X68" i="1"/>
  <c r="AB68" i="1" s="1"/>
  <c r="AE68" i="1"/>
  <c r="BU68" i="1"/>
  <c r="BT68" i="1"/>
  <c r="BX68" i="1" s="1"/>
  <c r="BY68" i="1" s="1"/>
  <c r="BS68" i="1"/>
  <c r="BT17" i="1"/>
  <c r="BX17" i="1" s="1"/>
  <c r="BY17" i="1" s="1"/>
  <c r="BS17" i="1"/>
  <c r="DI25" i="1"/>
  <c r="BJ25" i="1" s="1"/>
  <c r="BL25" i="1" s="1"/>
  <c r="U25" i="1"/>
  <c r="BL37" i="1"/>
  <c r="AH27" i="1"/>
  <c r="AG27" i="1"/>
  <c r="V28" i="1"/>
  <c r="W28" i="1" s="1"/>
  <c r="AC32" i="1"/>
  <c r="S33" i="1"/>
  <c r="Q33" i="1" s="1"/>
  <c r="T33" i="1" s="1"/>
  <c r="N33" i="1" s="1"/>
  <c r="O33" i="1" s="1"/>
  <c r="S34" i="1"/>
  <c r="Q34" i="1" s="1"/>
  <c r="T34" i="1" s="1"/>
  <c r="AC34" i="1"/>
  <c r="BU35" i="1"/>
  <c r="BT35" i="1"/>
  <c r="BX35" i="1" s="1"/>
  <c r="BY35" i="1" s="1"/>
  <c r="BS35" i="1"/>
  <c r="AG64" i="1"/>
  <c r="P64" i="1"/>
  <c r="M64" i="1"/>
  <c r="AH64" i="1"/>
  <c r="AV64" i="1"/>
  <c r="AH38" i="1"/>
  <c r="AG38" i="1"/>
  <c r="P38" i="1"/>
  <c r="M38" i="1"/>
  <c r="AV38" i="1"/>
  <c r="S28" i="1"/>
  <c r="Q28" i="1" s="1"/>
  <c r="T28" i="1" s="1"/>
  <c r="N28" i="1" s="1"/>
  <c r="O28" i="1" s="1"/>
  <c r="V32" i="1"/>
  <c r="W32" i="1" s="1"/>
  <c r="S32" i="1" s="1"/>
  <c r="Q32" i="1" s="1"/>
  <c r="T32" i="1" s="1"/>
  <c r="N32" i="1" s="1"/>
  <c r="O32" i="1" s="1"/>
  <c r="AC40" i="1"/>
  <c r="V40" i="1"/>
  <c r="W40" i="1" s="1"/>
  <c r="AH20" i="1"/>
  <c r="AV20" i="1"/>
  <c r="AV25" i="1"/>
  <c r="M25" i="1"/>
  <c r="AH25" i="1"/>
  <c r="AG25" i="1"/>
  <c r="P25" i="1"/>
  <c r="V20" i="1"/>
  <c r="W20" i="1" s="1"/>
  <c r="AD20" i="1" s="1"/>
  <c r="AE35" i="1"/>
  <c r="X35" i="1"/>
  <c r="AB35" i="1" s="1"/>
  <c r="BS22" i="1"/>
  <c r="P24" i="1"/>
  <c r="AV24" i="1"/>
  <c r="DI19" i="1"/>
  <c r="BJ19" i="1" s="1"/>
  <c r="BL19" i="1" s="1"/>
  <c r="U19" i="1"/>
  <c r="U18" i="1"/>
  <c r="P18" i="1"/>
  <c r="AV18" i="1"/>
  <c r="P22" i="1"/>
  <c r="AH22" i="1"/>
  <c r="V23" i="1"/>
  <c r="W23" i="1" s="1"/>
  <c r="P27" i="1"/>
  <c r="AV27" i="1"/>
  <c r="Y29" i="1"/>
  <c r="U37" i="1"/>
  <c r="AC44" i="1"/>
  <c r="AC28" i="1"/>
  <c r="BU23" i="1"/>
  <c r="S22" i="1"/>
  <c r="Q22" i="1" s="1"/>
  <c r="T22" i="1" s="1"/>
  <c r="N22" i="1" s="1"/>
  <c r="O22" i="1" s="1"/>
  <c r="BU17" i="1"/>
  <c r="AV17" i="1"/>
  <c r="M17" i="1"/>
  <c r="Y19" i="1"/>
  <c r="AD22" i="1"/>
  <c r="BL28" i="1"/>
  <c r="Y31" i="1"/>
  <c r="AG34" i="1"/>
  <c r="P34" i="1"/>
  <c r="M34" i="1"/>
  <c r="V41" i="1"/>
  <c r="W41" i="1" s="1"/>
  <c r="DI44" i="1"/>
  <c r="BJ44" i="1" s="1"/>
  <c r="U44" i="1"/>
  <c r="AC50" i="1"/>
  <c r="AC39" i="1"/>
  <c r="AD32" i="1"/>
  <c r="V26" i="1"/>
  <c r="W26" i="1" s="1"/>
  <c r="DI30" i="1"/>
  <c r="BJ30" i="1" s="1"/>
  <c r="BL30" i="1" s="1"/>
  <c r="U30" i="1"/>
  <c r="BU41" i="1"/>
  <c r="BS41" i="1"/>
  <c r="AV19" i="1"/>
  <c r="M19" i="1"/>
  <c r="AH19" i="1"/>
  <c r="AG19" i="1"/>
  <c r="P19" i="1"/>
  <c r="BT29" i="1"/>
  <c r="BX29" i="1" s="1"/>
  <c r="BY29" i="1" s="1"/>
  <c r="BS29" i="1"/>
  <c r="M30" i="1"/>
  <c r="AH30" i="1"/>
  <c r="M20" i="1"/>
  <c r="AG20" i="1"/>
  <c r="Y23" i="1"/>
  <c r="AG29" i="1"/>
  <c r="BU29" i="1"/>
  <c r="AC31" i="1"/>
  <c r="BL34" i="1"/>
  <c r="AH39" i="1"/>
  <c r="AG39" i="1"/>
  <c r="AV39" i="1"/>
  <c r="P39" i="1"/>
  <c r="M39" i="1"/>
  <c r="BL44" i="1"/>
  <c r="V52" i="1"/>
  <c r="W52" i="1" s="1"/>
  <c r="AC52" i="1"/>
  <c r="BS58" i="1"/>
  <c r="BU58" i="1"/>
  <c r="BT58" i="1"/>
  <c r="BX58" i="1" s="1"/>
  <c r="BY58" i="1" s="1"/>
  <c r="AD35" i="1"/>
  <c r="AG35" i="1"/>
  <c r="AV44" i="1"/>
  <c r="M44" i="1"/>
  <c r="AH44" i="1"/>
  <c r="AG44" i="1"/>
  <c r="P44" i="1"/>
  <c r="AD47" i="1"/>
  <c r="BL50" i="1"/>
  <c r="U61" i="1"/>
  <c r="Y62" i="1"/>
  <c r="BU63" i="1"/>
  <c r="BT63" i="1"/>
  <c r="BX63" i="1" s="1"/>
  <c r="BY63" i="1" s="1"/>
  <c r="Y37" i="1"/>
  <c r="DI38" i="1"/>
  <c r="BJ38" i="1" s="1"/>
  <c r="BL38" i="1" s="1"/>
  <c r="U38" i="1"/>
  <c r="AD41" i="1"/>
  <c r="P41" i="1"/>
  <c r="AH41" i="1"/>
  <c r="BM46" i="1"/>
  <c r="AC51" i="1"/>
  <c r="AH40" i="1"/>
  <c r="AV41" i="1"/>
  <c r="BM44" i="1"/>
  <c r="AC45" i="1"/>
  <c r="BM51" i="1"/>
  <c r="AG52" i="1"/>
  <c r="AH52" i="1"/>
  <c r="P52" i="1"/>
  <c r="S53" i="1"/>
  <c r="Q53" i="1" s="1"/>
  <c r="T53" i="1" s="1"/>
  <c r="N53" i="1" s="1"/>
  <c r="O53" i="1" s="1"/>
  <c r="S59" i="1"/>
  <c r="Q59" i="1" s="1"/>
  <c r="T59" i="1" s="1"/>
  <c r="AC59" i="1"/>
  <c r="U31" i="1"/>
  <c r="AV35" i="1"/>
  <c r="M40" i="1"/>
  <c r="BL42" i="1"/>
  <c r="BM45" i="1"/>
  <c r="AH45" i="1"/>
  <c r="AG45" i="1"/>
  <c r="AV45" i="1"/>
  <c r="AH46" i="1"/>
  <c r="AG46" i="1"/>
  <c r="P46" i="1"/>
  <c r="BU47" i="1"/>
  <c r="BT47" i="1"/>
  <c r="BX47" i="1" s="1"/>
  <c r="BY47" i="1" s="1"/>
  <c r="BS47" i="1"/>
  <c r="M52" i="1"/>
  <c r="V53" i="1"/>
  <c r="W53" i="1" s="1"/>
  <c r="BU55" i="1"/>
  <c r="BT55" i="1"/>
  <c r="BX55" i="1" s="1"/>
  <c r="BY55" i="1" s="1"/>
  <c r="BS55" i="1"/>
  <c r="DI72" i="1"/>
  <c r="BJ72" i="1" s="1"/>
  <c r="BL72" i="1" s="1"/>
  <c r="U72" i="1"/>
  <c r="AE76" i="1"/>
  <c r="AF76" i="1" s="1"/>
  <c r="X76" i="1"/>
  <c r="AB76" i="1" s="1"/>
  <c r="AD76" i="1"/>
  <c r="DI33" i="1"/>
  <c r="BJ33" i="1" s="1"/>
  <c r="BL33" i="1" s="1"/>
  <c r="M45" i="1"/>
  <c r="AV46" i="1"/>
  <c r="V48" i="1"/>
  <c r="W48" i="1" s="1"/>
  <c r="BL48" i="1"/>
  <c r="BL51" i="1"/>
  <c r="AC57" i="1"/>
  <c r="BM70" i="1"/>
  <c r="BU75" i="1"/>
  <c r="BT75" i="1"/>
  <c r="BX75" i="1" s="1"/>
  <c r="BY75" i="1" s="1"/>
  <c r="BS75" i="1"/>
  <c r="AD89" i="1"/>
  <c r="BS89" i="1"/>
  <c r="BU89" i="1"/>
  <c r="BT89" i="1"/>
  <c r="BX89" i="1" s="1"/>
  <c r="BY89" i="1" s="1"/>
  <c r="BU36" i="1"/>
  <c r="BT36" i="1"/>
  <c r="BX36" i="1" s="1"/>
  <c r="BY36" i="1" s="1"/>
  <c r="AC46" i="1"/>
  <c r="V62" i="1"/>
  <c r="W62" i="1" s="1"/>
  <c r="V79" i="1"/>
  <c r="W79" i="1" s="1"/>
  <c r="AE89" i="1"/>
  <c r="AF89" i="1" s="1"/>
  <c r="X89" i="1"/>
  <c r="AB89" i="1" s="1"/>
  <c r="BT30" i="1"/>
  <c r="BX30" i="1" s="1"/>
  <c r="BY30" i="1" s="1"/>
  <c r="BS36" i="1"/>
  <c r="BU39" i="1"/>
  <c r="P40" i="1"/>
  <c r="AV40" i="1"/>
  <c r="P45" i="1"/>
  <c r="BL45" i="1"/>
  <c r="M46" i="1"/>
  <c r="V46" i="1"/>
  <c r="W46" i="1" s="1"/>
  <c r="S46" i="1" s="1"/>
  <c r="Q46" i="1" s="1"/>
  <c r="T46" i="1" s="1"/>
  <c r="N46" i="1" s="1"/>
  <c r="O46" i="1" s="1"/>
  <c r="P49" i="1"/>
  <c r="AV49" i="1"/>
  <c r="M49" i="1"/>
  <c r="AH49" i="1"/>
  <c r="AG49" i="1"/>
  <c r="DI49" i="1"/>
  <c r="BJ49" i="1" s="1"/>
  <c r="BM49" i="1" s="1"/>
  <c r="U49" i="1"/>
  <c r="AC54" i="1"/>
  <c r="AC58" i="1"/>
  <c r="AD59" i="1"/>
  <c r="BM61" i="1"/>
  <c r="BM66" i="1"/>
  <c r="S67" i="1"/>
  <c r="Q67" i="1" s="1"/>
  <c r="T67" i="1" s="1"/>
  <c r="N67" i="1" s="1"/>
  <c r="O67" i="1" s="1"/>
  <c r="AC67" i="1"/>
  <c r="BS19" i="1"/>
  <c r="U21" i="1"/>
  <c r="BS25" i="1"/>
  <c r="U27" i="1"/>
  <c r="M35" i="1"/>
  <c r="N35" i="1" s="1"/>
  <c r="O35" i="1" s="1"/>
  <c r="AD40" i="1"/>
  <c r="P43" i="1"/>
  <c r="AV43" i="1"/>
  <c r="M43" i="1"/>
  <c r="AG43" i="1"/>
  <c r="DI43" i="1"/>
  <c r="BJ43" i="1" s="1"/>
  <c r="BM43" i="1" s="1"/>
  <c r="U43" i="1"/>
  <c r="BL46" i="1"/>
  <c r="S47" i="1"/>
  <c r="Q47" i="1" s="1"/>
  <c r="T47" i="1" s="1"/>
  <c r="N47" i="1" s="1"/>
  <c r="O47" i="1" s="1"/>
  <c r="AC47" i="1"/>
  <c r="V59" i="1"/>
  <c r="W59" i="1" s="1"/>
  <c r="V67" i="1"/>
  <c r="W67" i="1" s="1"/>
  <c r="AC86" i="1"/>
  <c r="AC87" i="1"/>
  <c r="P36" i="1"/>
  <c r="AV36" i="1"/>
  <c r="BU42" i="1"/>
  <c r="BT42" i="1"/>
  <c r="BX42" i="1" s="1"/>
  <c r="BY42" i="1" s="1"/>
  <c r="BS42" i="1"/>
  <c r="AD46" i="1"/>
  <c r="AV50" i="1"/>
  <c r="M50" i="1"/>
  <c r="AH50" i="1"/>
  <c r="AG50" i="1"/>
  <c r="P50" i="1"/>
  <c r="BL53" i="1"/>
  <c r="BU59" i="1"/>
  <c r="BT59" i="1"/>
  <c r="BX59" i="1" s="1"/>
  <c r="BY59" i="1" s="1"/>
  <c r="BS59" i="1"/>
  <c r="BM62" i="1"/>
  <c r="DI64" i="1"/>
  <c r="BJ64" i="1" s="1"/>
  <c r="BL64" i="1" s="1"/>
  <c r="BM64" i="1"/>
  <c r="BL75" i="1"/>
  <c r="AC77" i="1"/>
  <c r="S77" i="1"/>
  <c r="Q77" i="1" s="1"/>
  <c r="T77" i="1" s="1"/>
  <c r="N77" i="1" s="1"/>
  <c r="O77" i="1" s="1"/>
  <c r="AC92" i="1"/>
  <c r="AH108" i="1"/>
  <c r="AG108" i="1"/>
  <c r="P108" i="1"/>
  <c r="M108" i="1"/>
  <c r="AV108" i="1"/>
  <c r="AH47" i="1"/>
  <c r="AH56" i="1"/>
  <c r="AH57" i="1"/>
  <c r="AG57" i="1"/>
  <c r="DI57" i="1"/>
  <c r="BJ57" i="1" s="1"/>
  <c r="BL57" i="1" s="1"/>
  <c r="U57" i="1"/>
  <c r="Y58" i="1"/>
  <c r="M59" i="1"/>
  <c r="AG59" i="1"/>
  <c r="P60" i="1"/>
  <c r="M60" i="1"/>
  <c r="AG60" i="1"/>
  <c r="BL62" i="1"/>
  <c r="V74" i="1"/>
  <c r="W74" i="1" s="1"/>
  <c r="V77" i="1"/>
  <c r="W77" i="1" s="1"/>
  <c r="AC88" i="1"/>
  <c r="BU53" i="1"/>
  <c r="BT53" i="1"/>
  <c r="BX53" i="1" s="1"/>
  <c r="BY53" i="1" s="1"/>
  <c r="P56" i="1"/>
  <c r="M67" i="1"/>
  <c r="AV67" i="1"/>
  <c r="AH67" i="1"/>
  <c r="V70" i="1"/>
  <c r="W70" i="1" s="1"/>
  <c r="BM77" i="1"/>
  <c r="AC104" i="1"/>
  <c r="AD53" i="1"/>
  <c r="M56" i="1"/>
  <c r="AG56" i="1"/>
  <c r="BM60" i="1"/>
  <c r="DI60" i="1"/>
  <c r="BJ60" i="1" s="1"/>
  <c r="BL60" i="1" s="1"/>
  <c r="U60" i="1"/>
  <c r="AC65" i="1"/>
  <c r="AC73" i="1"/>
  <c r="V73" i="1"/>
  <c r="W73" i="1" s="1"/>
  <c r="AH78" i="1"/>
  <c r="AG78" i="1"/>
  <c r="P78" i="1"/>
  <c r="M78" i="1"/>
  <c r="AC94" i="1"/>
  <c r="BS48" i="1"/>
  <c r="U50" i="1"/>
  <c r="P54" i="1"/>
  <c r="M54" i="1"/>
  <c r="AG54" i="1"/>
  <c r="BU65" i="1"/>
  <c r="BT65" i="1"/>
  <c r="BX65" i="1" s="1"/>
  <c r="BY65" i="1" s="1"/>
  <c r="AC68" i="1"/>
  <c r="AF68" i="1" s="1"/>
  <c r="S68" i="1"/>
  <c r="Q68" i="1" s="1"/>
  <c r="T68" i="1" s="1"/>
  <c r="N68" i="1" s="1"/>
  <c r="O68" i="1" s="1"/>
  <c r="BM73" i="1"/>
  <c r="AV78" i="1"/>
  <c r="S79" i="1"/>
  <c r="Q79" i="1" s="1"/>
  <c r="T79" i="1" s="1"/>
  <c r="N79" i="1" s="1"/>
  <c r="O79" i="1" s="1"/>
  <c r="AC79" i="1"/>
  <c r="AV42" i="1"/>
  <c r="AV48" i="1"/>
  <c r="BT48" i="1"/>
  <c r="BX48" i="1" s="1"/>
  <c r="BY48" i="1" s="1"/>
  <c r="DI52" i="1"/>
  <c r="BJ52" i="1" s="1"/>
  <c r="BM52" i="1" s="1"/>
  <c r="U55" i="1"/>
  <c r="AV55" i="1"/>
  <c r="AH55" i="1"/>
  <c r="BL56" i="1"/>
  <c r="AH63" i="1"/>
  <c r="AG63" i="1"/>
  <c r="DI63" i="1"/>
  <c r="BJ63" i="1" s="1"/>
  <c r="BL63" i="1" s="1"/>
  <c r="U63" i="1"/>
  <c r="Y64" i="1"/>
  <c r="BS65" i="1"/>
  <c r="P66" i="1"/>
  <c r="M66" i="1"/>
  <c r="AG66" i="1"/>
  <c r="AH74" i="1"/>
  <c r="AG74" i="1"/>
  <c r="P74" i="1"/>
  <c r="M74" i="1"/>
  <c r="AE101" i="1"/>
  <c r="X101" i="1"/>
  <c r="AB101" i="1" s="1"/>
  <c r="U39" i="1"/>
  <c r="U45" i="1"/>
  <c r="U51" i="1"/>
  <c r="AG58" i="1"/>
  <c r="P58" i="1"/>
  <c r="M58" i="1"/>
  <c r="AC61" i="1"/>
  <c r="AH68" i="1"/>
  <c r="AG68" i="1"/>
  <c r="AV68" i="1"/>
  <c r="BL73" i="1"/>
  <c r="AC75" i="1"/>
  <c r="BU100" i="1"/>
  <c r="BS100" i="1"/>
  <c r="BT100" i="1"/>
  <c r="BX100" i="1" s="1"/>
  <c r="BY100" i="1" s="1"/>
  <c r="BS101" i="1"/>
  <c r="BU101" i="1"/>
  <c r="BT101" i="1"/>
  <c r="BX101" i="1" s="1"/>
  <c r="BY101" i="1" s="1"/>
  <c r="Y54" i="1"/>
  <c r="BM57" i="1"/>
  <c r="BS57" i="1"/>
  <c r="AH60" i="1"/>
  <c r="BT64" i="1"/>
  <c r="BX64" i="1" s="1"/>
  <c r="BY64" i="1" s="1"/>
  <c r="P68" i="1"/>
  <c r="AC72" i="1"/>
  <c r="U80" i="1"/>
  <c r="S82" i="1"/>
  <c r="Q82" i="1" s="1"/>
  <c r="T82" i="1" s="1"/>
  <c r="N82" i="1" s="1"/>
  <c r="O82" i="1" s="1"/>
  <c r="AC93" i="1"/>
  <c r="DI54" i="1"/>
  <c r="BJ54" i="1" s="1"/>
  <c r="BL54" i="1" s="1"/>
  <c r="U54" i="1"/>
  <c r="BU61" i="1"/>
  <c r="BT61" i="1"/>
  <c r="BX61" i="1" s="1"/>
  <c r="BY61" i="1" s="1"/>
  <c r="BS61" i="1"/>
  <c r="BU64" i="1"/>
  <c r="S76" i="1"/>
  <c r="Q76" i="1" s="1"/>
  <c r="T76" i="1" s="1"/>
  <c r="N76" i="1" s="1"/>
  <c r="O76" i="1" s="1"/>
  <c r="AV76" i="1"/>
  <c r="M76" i="1"/>
  <c r="AH76" i="1"/>
  <c r="AG76" i="1"/>
  <c r="P76" i="1"/>
  <c r="AD79" i="1"/>
  <c r="M62" i="1"/>
  <c r="AG62" i="1"/>
  <c r="U65" i="1"/>
  <c r="DI66" i="1"/>
  <c r="BJ66" i="1" s="1"/>
  <c r="BL66" i="1" s="1"/>
  <c r="U66" i="1"/>
  <c r="S69" i="1"/>
  <c r="Q69" i="1" s="1"/>
  <c r="T69" i="1" s="1"/>
  <c r="N69" i="1" s="1"/>
  <c r="O69" i="1" s="1"/>
  <c r="AC69" i="1"/>
  <c r="BU78" i="1"/>
  <c r="BS78" i="1"/>
  <c r="BM81" i="1"/>
  <c r="BT76" i="1"/>
  <c r="BX76" i="1" s="1"/>
  <c r="BY76" i="1" s="1"/>
  <c r="BS76" i="1"/>
  <c r="AF84" i="1"/>
  <c r="BS88" i="1"/>
  <c r="BT88" i="1"/>
  <c r="BX88" i="1" s="1"/>
  <c r="BY88" i="1" s="1"/>
  <c r="AC90" i="1"/>
  <c r="P75" i="1"/>
  <c r="AH75" i="1"/>
  <c r="AG75" i="1"/>
  <c r="AV79" i="1"/>
  <c r="M79" i="1"/>
  <c r="AE84" i="1"/>
  <c r="AD84" i="1"/>
  <c r="X84" i="1"/>
  <c r="AB84" i="1" s="1"/>
  <c r="BU97" i="1"/>
  <c r="BS97" i="1"/>
  <c r="AV75" i="1"/>
  <c r="DI78" i="1"/>
  <c r="BJ78" i="1" s="1"/>
  <c r="BM78" i="1" s="1"/>
  <c r="U78" i="1"/>
  <c r="BL85" i="1"/>
  <c r="AC98" i="1"/>
  <c r="AC103" i="1"/>
  <c r="AH61" i="1"/>
  <c r="BT70" i="1"/>
  <c r="BX70" i="1" s="1"/>
  <c r="BY70" i="1" s="1"/>
  <c r="BS70" i="1"/>
  <c r="M71" i="1"/>
  <c r="BS72" i="1"/>
  <c r="BT73" i="1"/>
  <c r="BX73" i="1" s="1"/>
  <c r="BY73" i="1" s="1"/>
  <c r="BS73" i="1"/>
  <c r="AD77" i="1"/>
  <c r="AH77" i="1"/>
  <c r="AC78" i="1"/>
  <c r="BL79" i="1"/>
  <c r="S83" i="1"/>
  <c r="Q83" i="1" s="1"/>
  <c r="T83" i="1" s="1"/>
  <c r="N83" i="1" s="1"/>
  <c r="O83" i="1" s="1"/>
  <c r="BM88" i="1"/>
  <c r="BU94" i="1"/>
  <c r="BS94" i="1"/>
  <c r="BS95" i="1"/>
  <c r="BU95" i="1"/>
  <c r="DI99" i="1"/>
  <c r="BJ99" i="1" s="1"/>
  <c r="BL99" i="1" s="1"/>
  <c r="U99" i="1"/>
  <c r="BM103" i="1"/>
  <c r="BU104" i="1"/>
  <c r="BS104" i="1"/>
  <c r="BT104" i="1"/>
  <c r="BX104" i="1" s="1"/>
  <c r="BY104" i="1" s="1"/>
  <c r="U56" i="1"/>
  <c r="BU70" i="1"/>
  <c r="AH72" i="1"/>
  <c r="AG72" i="1"/>
  <c r="P72" i="1"/>
  <c r="BT72" i="1"/>
  <c r="BX72" i="1" s="1"/>
  <c r="BY72" i="1" s="1"/>
  <c r="BU73" i="1"/>
  <c r="V82" i="1"/>
  <c r="W82" i="1" s="1"/>
  <c r="AD82" i="1" s="1"/>
  <c r="BT94" i="1"/>
  <c r="BX94" i="1" s="1"/>
  <c r="BY94" i="1" s="1"/>
  <c r="BT95" i="1"/>
  <c r="BX95" i="1" s="1"/>
  <c r="BY95" i="1" s="1"/>
  <c r="BM99" i="1"/>
  <c r="AC100" i="1"/>
  <c r="DI106" i="1"/>
  <c r="BJ106" i="1" s="1"/>
  <c r="BL106" i="1" s="1"/>
  <c r="U106" i="1"/>
  <c r="AE108" i="1"/>
  <c r="S108" i="1"/>
  <c r="Q108" i="1" s="1"/>
  <c r="T108" i="1" s="1"/>
  <c r="N108" i="1" s="1"/>
  <c r="O108" i="1" s="1"/>
  <c r="X108" i="1"/>
  <c r="AB108" i="1" s="1"/>
  <c r="BU93" i="1"/>
  <c r="BT93" i="1"/>
  <c r="BX93" i="1" s="1"/>
  <c r="BY93" i="1" s="1"/>
  <c r="BS93" i="1"/>
  <c r="BS98" i="1"/>
  <c r="BU98" i="1"/>
  <c r="BT98" i="1"/>
  <c r="BX98" i="1" s="1"/>
  <c r="BY98" i="1" s="1"/>
  <c r="BM101" i="1"/>
  <c r="AD68" i="1"/>
  <c r="AV70" i="1"/>
  <c r="M70" i="1"/>
  <c r="DI75" i="1"/>
  <c r="BJ75" i="1" s="1"/>
  <c r="BM75" i="1" s="1"/>
  <c r="U75" i="1"/>
  <c r="AC84" i="1"/>
  <c r="S84" i="1"/>
  <c r="Q84" i="1" s="1"/>
  <c r="T84" i="1" s="1"/>
  <c r="N84" i="1" s="1"/>
  <c r="O84" i="1" s="1"/>
  <c r="AC96" i="1"/>
  <c r="AC97" i="1"/>
  <c r="BL67" i="1"/>
  <c r="AD74" i="1"/>
  <c r="BL76" i="1"/>
  <c r="P80" i="1"/>
  <c r="AH80" i="1"/>
  <c r="S89" i="1"/>
  <c r="Q89" i="1" s="1"/>
  <c r="T89" i="1" s="1"/>
  <c r="N89" i="1" s="1"/>
  <c r="O89" i="1" s="1"/>
  <c r="AC89" i="1"/>
  <c r="U58" i="1"/>
  <c r="U64" i="1"/>
  <c r="AV73" i="1"/>
  <c r="M73" i="1"/>
  <c r="S74" i="1"/>
  <c r="Q74" i="1" s="1"/>
  <c r="T74" i="1" s="1"/>
  <c r="N74" i="1" s="1"/>
  <c r="O74" i="1" s="1"/>
  <c r="M75" i="1"/>
  <c r="AV80" i="1"/>
  <c r="V83" i="1"/>
  <c r="W83" i="1" s="1"/>
  <c r="BM89" i="1"/>
  <c r="BU91" i="1"/>
  <c r="BS91" i="1"/>
  <c r="BT91" i="1"/>
  <c r="BX91" i="1" s="1"/>
  <c r="BY91" i="1" s="1"/>
  <c r="S95" i="1"/>
  <c r="Q95" i="1" s="1"/>
  <c r="T95" i="1" s="1"/>
  <c r="N95" i="1" s="1"/>
  <c r="O95" i="1" s="1"/>
  <c r="AC95" i="1"/>
  <c r="AD101" i="1"/>
  <c r="BU85" i="1"/>
  <c r="BS85" i="1"/>
  <c r="M98" i="1"/>
  <c r="AG98" i="1"/>
  <c r="DI98" i="1"/>
  <c r="BJ98" i="1" s="1"/>
  <c r="BL98" i="1" s="1"/>
  <c r="U98" i="1"/>
  <c r="S101" i="1"/>
  <c r="Q101" i="1" s="1"/>
  <c r="T101" i="1" s="1"/>
  <c r="N101" i="1" s="1"/>
  <c r="O101" i="1" s="1"/>
  <c r="AC101" i="1"/>
  <c r="M107" i="1"/>
  <c r="AH107" i="1"/>
  <c r="AG107" i="1"/>
  <c r="AV107" i="1"/>
  <c r="AG83" i="1"/>
  <c r="BT85" i="1"/>
  <c r="BX85" i="1" s="1"/>
  <c r="BY85" i="1" s="1"/>
  <c r="P86" i="1"/>
  <c r="BT86" i="1"/>
  <c r="BX86" i="1" s="1"/>
  <c r="BY86" i="1" s="1"/>
  <c r="AC91" i="1"/>
  <c r="BT92" i="1"/>
  <c r="BX92" i="1" s="1"/>
  <c r="BY92" i="1" s="1"/>
  <c r="DI103" i="1"/>
  <c r="BJ103" i="1" s="1"/>
  <c r="BL103" i="1" s="1"/>
  <c r="U103" i="1"/>
  <c r="BS79" i="1"/>
  <c r="U81" i="1"/>
  <c r="AG81" i="1"/>
  <c r="AH83" i="1"/>
  <c r="U85" i="1"/>
  <c r="BU86" i="1"/>
  <c r="P87" i="1"/>
  <c r="BU92" i="1"/>
  <c r="V95" i="1"/>
  <c r="W95" i="1" s="1"/>
  <c r="AD95" i="1" s="1"/>
  <c r="AG96" i="1"/>
  <c r="M96" i="1"/>
  <c r="AF101" i="1"/>
  <c r="BM102" i="1"/>
  <c r="BU102" i="1"/>
  <c r="BS102" i="1"/>
  <c r="AH104" i="1"/>
  <c r="BU105" i="1"/>
  <c r="BT105" i="1"/>
  <c r="BX105" i="1" s="1"/>
  <c r="BY105" i="1" s="1"/>
  <c r="BS105" i="1"/>
  <c r="AH81" i="1"/>
  <c r="DI84" i="1"/>
  <c r="BJ84" i="1" s="1"/>
  <c r="BL84" i="1" s="1"/>
  <c r="AH87" i="1"/>
  <c r="BS87" i="1"/>
  <c r="P89" i="1"/>
  <c r="AG89" i="1"/>
  <c r="BU90" i="1"/>
  <c r="BS90" i="1"/>
  <c r="M94" i="1"/>
  <c r="AG94" i="1"/>
  <c r="DI94" i="1"/>
  <c r="BJ94" i="1" s="1"/>
  <c r="BL94" i="1" s="1"/>
  <c r="U94" i="1"/>
  <c r="DI96" i="1"/>
  <c r="BJ96" i="1" s="1"/>
  <c r="BL96" i="1" s="1"/>
  <c r="U96" i="1"/>
  <c r="DI97" i="1"/>
  <c r="BJ97" i="1" s="1"/>
  <c r="BL97" i="1" s="1"/>
  <c r="U97" i="1"/>
  <c r="Y98" i="1"/>
  <c r="AC99" i="1"/>
  <c r="BT102" i="1"/>
  <c r="BX102" i="1" s="1"/>
  <c r="BY102" i="1" s="1"/>
  <c r="DI104" i="1"/>
  <c r="BJ104" i="1" s="1"/>
  <c r="BL104" i="1" s="1"/>
  <c r="U104" i="1"/>
  <c r="P107" i="1"/>
  <c r="AD108" i="1"/>
  <c r="M86" i="1"/>
  <c r="AG86" i="1"/>
  <c r="DI93" i="1"/>
  <c r="BJ93" i="1" s="1"/>
  <c r="BL93" i="1" s="1"/>
  <c r="U93" i="1"/>
  <c r="DI105" i="1"/>
  <c r="BJ105" i="1" s="1"/>
  <c r="BL105" i="1" s="1"/>
  <c r="U105" i="1"/>
  <c r="BS81" i="1"/>
  <c r="BS82" i="1"/>
  <c r="AV83" i="1"/>
  <c r="M92" i="1"/>
  <c r="AG92" i="1"/>
  <c r="DI92" i="1"/>
  <c r="BJ92" i="1" s="1"/>
  <c r="BL92" i="1" s="1"/>
  <c r="U92" i="1"/>
  <c r="BM96" i="1"/>
  <c r="BS99" i="1"/>
  <c r="P104" i="1"/>
  <c r="M104" i="1"/>
  <c r="AG104" i="1"/>
  <c r="AC105" i="1"/>
  <c r="AV81" i="1"/>
  <c r="BT81" i="1"/>
  <c r="BX81" i="1" s="1"/>
  <c r="BY81" i="1" s="1"/>
  <c r="BT82" i="1"/>
  <c r="BX82" i="1" s="1"/>
  <c r="BY82" i="1" s="1"/>
  <c r="DI86" i="1"/>
  <c r="BJ86" i="1" s="1"/>
  <c r="BL86" i="1" s="1"/>
  <c r="U86" i="1"/>
  <c r="AV87" i="1"/>
  <c r="M88" i="1"/>
  <c r="AG88" i="1"/>
  <c r="BM97" i="1"/>
  <c r="BM98" i="1"/>
  <c r="BT99" i="1"/>
  <c r="BX99" i="1" s="1"/>
  <c r="BY99" i="1" s="1"/>
  <c r="DI102" i="1"/>
  <c r="BJ102" i="1" s="1"/>
  <c r="BL102" i="1" s="1"/>
  <c r="U102" i="1"/>
  <c r="M82" i="1"/>
  <c r="AV82" i="1"/>
  <c r="AG84" i="1"/>
  <c r="AC85" i="1"/>
  <c r="DI87" i="1"/>
  <c r="BJ87" i="1" s="1"/>
  <c r="BM87" i="1" s="1"/>
  <c r="U87" i="1"/>
  <c r="DI88" i="1"/>
  <c r="BJ88" i="1" s="1"/>
  <c r="BL88" i="1" s="1"/>
  <c r="U88" i="1"/>
  <c r="AG90" i="1"/>
  <c r="M90" i="1"/>
  <c r="AH98" i="1"/>
  <c r="AG102" i="1"/>
  <c r="M102" i="1"/>
  <c r="AC106" i="1"/>
  <c r="BM106" i="1"/>
  <c r="DI107" i="1"/>
  <c r="BJ107" i="1" s="1"/>
  <c r="BL107" i="1" s="1"/>
  <c r="U107" i="1"/>
  <c r="AH84" i="1"/>
  <c r="BU84" i="1"/>
  <c r="BS84" i="1"/>
  <c r="DI90" i="1"/>
  <c r="BJ90" i="1" s="1"/>
  <c r="BL90" i="1" s="1"/>
  <c r="U90" i="1"/>
  <c r="DI91" i="1"/>
  <c r="BJ91" i="1" s="1"/>
  <c r="BM91" i="1" s="1"/>
  <c r="U91" i="1"/>
  <c r="Y92" i="1"/>
  <c r="BU96" i="1"/>
  <c r="BS96" i="1"/>
  <c r="M100" i="1"/>
  <c r="AG100" i="1"/>
  <c r="DI100" i="1"/>
  <c r="BJ100" i="1" s="1"/>
  <c r="BL100" i="1" s="1"/>
  <c r="U100" i="1"/>
  <c r="BU103" i="1"/>
  <c r="BS103" i="1"/>
  <c r="P106" i="1"/>
  <c r="BT107" i="1"/>
  <c r="BX107" i="1" s="1"/>
  <c r="BY107" i="1" s="1"/>
  <c r="BU107" i="1"/>
  <c r="BS108" i="1"/>
  <c r="BT108" i="1"/>
  <c r="BX108" i="1" s="1"/>
  <c r="BY108" i="1" s="1"/>
  <c r="AG105" i="1"/>
  <c r="AC107" i="1"/>
  <c r="AG106" i="1"/>
  <c r="AV105" i="1"/>
  <c r="BS106" i="1"/>
  <c r="BT106" i="1"/>
  <c r="BX106" i="1" s="1"/>
  <c r="BY106" i="1" s="1"/>
  <c r="V87" i="1" l="1"/>
  <c r="W87" i="1" s="1"/>
  <c r="AE52" i="1"/>
  <c r="X52" i="1"/>
  <c r="AB52" i="1" s="1"/>
  <c r="V54" i="1"/>
  <c r="W54" i="1" s="1"/>
  <c r="V37" i="1"/>
  <c r="W37" i="1" s="1"/>
  <c r="V19" i="1"/>
  <c r="W19" i="1" s="1"/>
  <c r="BM104" i="1"/>
  <c r="V81" i="1"/>
  <c r="W81" i="1" s="1"/>
  <c r="BM90" i="1"/>
  <c r="BL91" i="1"/>
  <c r="BM63" i="1"/>
  <c r="V72" i="1"/>
  <c r="W72" i="1" s="1"/>
  <c r="V31" i="1"/>
  <c r="W31" i="1" s="1"/>
  <c r="V30" i="1"/>
  <c r="W30" i="1" s="1"/>
  <c r="V25" i="1"/>
  <c r="W25" i="1" s="1"/>
  <c r="V107" i="1"/>
  <c r="W107" i="1" s="1"/>
  <c r="V85" i="1"/>
  <c r="W85" i="1" s="1"/>
  <c r="V105" i="1"/>
  <c r="W105" i="1" s="1"/>
  <c r="V45" i="1"/>
  <c r="W45" i="1" s="1"/>
  <c r="V86" i="1"/>
  <c r="W86" i="1" s="1"/>
  <c r="AE83" i="1"/>
  <c r="AF83" i="1" s="1"/>
  <c r="X83" i="1"/>
  <c r="AB83" i="1" s="1"/>
  <c r="AD83" i="1"/>
  <c r="AE73" i="1"/>
  <c r="X73" i="1"/>
  <c r="AB73" i="1" s="1"/>
  <c r="AE67" i="1"/>
  <c r="X67" i="1"/>
  <c r="AB67" i="1" s="1"/>
  <c r="AD67" i="1"/>
  <c r="BL52" i="1"/>
  <c r="BL49" i="1"/>
  <c r="N34" i="1"/>
  <c r="O34" i="1" s="1"/>
  <c r="X33" i="1"/>
  <c r="AB33" i="1" s="1"/>
  <c r="AE33" i="1"/>
  <c r="AF33" i="1" s="1"/>
  <c r="V55" i="1"/>
  <c r="W55" i="1" s="1"/>
  <c r="V38" i="1"/>
  <c r="W38" i="1" s="1"/>
  <c r="V93" i="1"/>
  <c r="W93" i="1" s="1"/>
  <c r="V91" i="1"/>
  <c r="W91" i="1" s="1"/>
  <c r="V92" i="1"/>
  <c r="W92" i="1" s="1"/>
  <c r="V97" i="1"/>
  <c r="W97" i="1" s="1"/>
  <c r="X82" i="1"/>
  <c r="AB82" i="1" s="1"/>
  <c r="AE82" i="1"/>
  <c r="AF82" i="1" s="1"/>
  <c r="BM94" i="1"/>
  <c r="BM84" i="1"/>
  <c r="V63" i="1"/>
  <c r="W63" i="1" s="1"/>
  <c r="N59" i="1"/>
  <c r="O59" i="1" s="1"/>
  <c r="V44" i="1"/>
  <c r="W44" i="1" s="1"/>
  <c r="AE22" i="1"/>
  <c r="AF22" i="1" s="1"/>
  <c r="X22" i="1"/>
  <c r="AB22" i="1" s="1"/>
  <c r="V65" i="1"/>
  <c r="W65" i="1" s="1"/>
  <c r="V49" i="1"/>
  <c r="W49" i="1" s="1"/>
  <c r="AE42" i="1"/>
  <c r="AF42" i="1" s="1"/>
  <c r="X42" i="1"/>
  <c r="AB42" i="1" s="1"/>
  <c r="S42" i="1"/>
  <c r="Q42" i="1" s="1"/>
  <c r="T42" i="1" s="1"/>
  <c r="N42" i="1" s="1"/>
  <c r="O42" i="1" s="1"/>
  <c r="BM107" i="1"/>
  <c r="BL87" i="1"/>
  <c r="V61" i="1"/>
  <c r="W61" i="1" s="1"/>
  <c r="X26" i="1"/>
  <c r="AB26" i="1" s="1"/>
  <c r="AE26" i="1"/>
  <c r="AF26" i="1" s="1"/>
  <c r="AE29" i="1"/>
  <c r="AF29" i="1" s="1"/>
  <c r="X29" i="1"/>
  <c r="AB29" i="1" s="1"/>
  <c r="BM38" i="1"/>
  <c r="BM105" i="1"/>
  <c r="V75" i="1"/>
  <c r="W75" i="1" s="1"/>
  <c r="V99" i="1"/>
  <c r="W99" i="1" s="1"/>
  <c r="V90" i="1"/>
  <c r="W90" i="1" s="1"/>
  <c r="V96" i="1"/>
  <c r="W96" i="1" s="1"/>
  <c r="AE95" i="1"/>
  <c r="AF95" i="1" s="1"/>
  <c r="X95" i="1"/>
  <c r="AB95" i="1" s="1"/>
  <c r="V80" i="1"/>
  <c r="W80" i="1" s="1"/>
  <c r="V50" i="1"/>
  <c r="W50" i="1" s="1"/>
  <c r="S73" i="1"/>
  <c r="Q73" i="1" s="1"/>
  <c r="T73" i="1" s="1"/>
  <c r="N73" i="1" s="1"/>
  <c r="O73" i="1" s="1"/>
  <c r="AE59" i="1"/>
  <c r="AF59" i="1" s="1"/>
  <c r="X59" i="1"/>
  <c r="AB59" i="1" s="1"/>
  <c r="AE79" i="1"/>
  <c r="AF79" i="1" s="1"/>
  <c r="X79" i="1"/>
  <c r="AB79" i="1" s="1"/>
  <c r="X48" i="1"/>
  <c r="AB48" i="1" s="1"/>
  <c r="AE48" i="1"/>
  <c r="AF48" i="1" s="1"/>
  <c r="AD48" i="1"/>
  <c r="S26" i="1"/>
  <c r="Q26" i="1" s="1"/>
  <c r="T26" i="1" s="1"/>
  <c r="N26" i="1" s="1"/>
  <c r="O26" i="1" s="1"/>
  <c r="S20" i="1"/>
  <c r="Q20" i="1" s="1"/>
  <c r="T20" i="1" s="1"/>
  <c r="N20" i="1" s="1"/>
  <c r="O20" i="1" s="1"/>
  <c r="AE41" i="1"/>
  <c r="AF41" i="1" s="1"/>
  <c r="X41" i="1"/>
  <c r="AB41" i="1" s="1"/>
  <c r="X23" i="1"/>
  <c r="AB23" i="1" s="1"/>
  <c r="AE23" i="1"/>
  <c r="AF23" i="1" s="1"/>
  <c r="AE40" i="1"/>
  <c r="AF40" i="1" s="1"/>
  <c r="X40" i="1"/>
  <c r="AB40" i="1" s="1"/>
  <c r="V56" i="1"/>
  <c r="W56" i="1" s="1"/>
  <c r="AF108" i="1"/>
  <c r="BL78" i="1"/>
  <c r="V57" i="1"/>
  <c r="W57" i="1" s="1"/>
  <c r="BM93" i="1"/>
  <c r="V27" i="1"/>
  <c r="W27" i="1" s="1"/>
  <c r="AE46" i="1"/>
  <c r="AF46" i="1" s="1"/>
  <c r="X46" i="1"/>
  <c r="AB46" i="1" s="1"/>
  <c r="BM54" i="1"/>
  <c r="AF35" i="1"/>
  <c r="AE28" i="1"/>
  <c r="AF28" i="1" s="1"/>
  <c r="X28" i="1"/>
  <c r="AB28" i="1" s="1"/>
  <c r="S29" i="1"/>
  <c r="Q29" i="1" s="1"/>
  <c r="T29" i="1" s="1"/>
  <c r="N29" i="1" s="1"/>
  <c r="O29" i="1" s="1"/>
  <c r="X69" i="1"/>
  <c r="AB69" i="1" s="1"/>
  <c r="AE69" i="1"/>
  <c r="AF69" i="1" s="1"/>
  <c r="V51" i="1"/>
  <c r="W51" i="1" s="1"/>
  <c r="X17" i="1"/>
  <c r="AB17" i="1" s="1"/>
  <c r="AE17" i="1"/>
  <c r="AF17" i="1" s="1"/>
  <c r="V103" i="1"/>
  <c r="W103" i="1" s="1"/>
  <c r="V102" i="1"/>
  <c r="W102" i="1" s="1"/>
  <c r="V94" i="1"/>
  <c r="W94" i="1" s="1"/>
  <c r="BM92" i="1"/>
  <c r="V106" i="1"/>
  <c r="W106" i="1" s="1"/>
  <c r="V78" i="1"/>
  <c r="W78" i="1" s="1"/>
  <c r="AD73" i="1"/>
  <c r="X77" i="1"/>
  <c r="AB77" i="1" s="1"/>
  <c r="AE77" i="1"/>
  <c r="AF77" i="1" s="1"/>
  <c r="S40" i="1"/>
  <c r="Q40" i="1" s="1"/>
  <c r="T40" i="1" s="1"/>
  <c r="N40" i="1" s="1"/>
  <c r="O40" i="1" s="1"/>
  <c r="S48" i="1"/>
  <c r="Q48" i="1" s="1"/>
  <c r="T48" i="1" s="1"/>
  <c r="N48" i="1" s="1"/>
  <c r="O48" i="1" s="1"/>
  <c r="AE34" i="1"/>
  <c r="AF34" i="1" s="1"/>
  <c r="X34" i="1"/>
  <c r="AB34" i="1" s="1"/>
  <c r="AD34" i="1"/>
  <c r="AE36" i="1"/>
  <c r="AD36" i="1"/>
  <c r="X36" i="1"/>
  <c r="AB36" i="1" s="1"/>
  <c r="AD52" i="1"/>
  <c r="V39" i="1"/>
  <c r="W39" i="1" s="1"/>
  <c r="V88" i="1"/>
  <c r="W88" i="1" s="1"/>
  <c r="V104" i="1"/>
  <c r="W104" i="1" s="1"/>
  <c r="V98" i="1"/>
  <c r="W98" i="1" s="1"/>
  <c r="V64" i="1"/>
  <c r="W64" i="1" s="1"/>
  <c r="BM100" i="1"/>
  <c r="V66" i="1"/>
  <c r="W66" i="1" s="1"/>
  <c r="V60" i="1"/>
  <c r="W60" i="1" s="1"/>
  <c r="X70" i="1"/>
  <c r="AB70" i="1" s="1"/>
  <c r="AE70" i="1"/>
  <c r="AD70" i="1"/>
  <c r="X74" i="1"/>
  <c r="AB74" i="1" s="1"/>
  <c r="AE74" i="1"/>
  <c r="AF74" i="1" s="1"/>
  <c r="V21" i="1"/>
  <c r="W21" i="1" s="1"/>
  <c r="X62" i="1"/>
  <c r="AB62" i="1" s="1"/>
  <c r="AE62" i="1"/>
  <c r="AF62" i="1" s="1"/>
  <c r="AD62" i="1"/>
  <c r="S62" i="1"/>
  <c r="Q62" i="1" s="1"/>
  <c r="T62" i="1" s="1"/>
  <c r="N62" i="1" s="1"/>
  <c r="O62" i="1" s="1"/>
  <c r="AE53" i="1"/>
  <c r="AF53" i="1" s="1"/>
  <c r="X53" i="1"/>
  <c r="AB53" i="1" s="1"/>
  <c r="X20" i="1"/>
  <c r="AB20" i="1" s="1"/>
  <c r="AE20" i="1"/>
  <c r="AF20" i="1" s="1"/>
  <c r="BM72" i="1"/>
  <c r="BL43" i="1"/>
  <c r="S17" i="1"/>
  <c r="Q17" i="1" s="1"/>
  <c r="T17" i="1" s="1"/>
  <c r="N17" i="1" s="1"/>
  <c r="O17" i="1" s="1"/>
  <c r="X24" i="1"/>
  <c r="AB24" i="1" s="1"/>
  <c r="AE24" i="1"/>
  <c r="AF24" i="1" s="1"/>
  <c r="V18" i="1"/>
  <c r="W18" i="1" s="1"/>
  <c r="V100" i="1"/>
  <c r="W100" i="1" s="1"/>
  <c r="V58" i="1"/>
  <c r="W58" i="1" s="1"/>
  <c r="BM86" i="1"/>
  <c r="S70" i="1"/>
  <c r="Q70" i="1" s="1"/>
  <c r="T70" i="1" s="1"/>
  <c r="N70" i="1" s="1"/>
  <c r="O70" i="1" s="1"/>
  <c r="V43" i="1"/>
  <c r="W43" i="1" s="1"/>
  <c r="S52" i="1"/>
  <c r="Q52" i="1" s="1"/>
  <c r="T52" i="1" s="1"/>
  <c r="N52" i="1" s="1"/>
  <c r="O52" i="1" s="1"/>
  <c r="AD29" i="1"/>
  <c r="X32" i="1"/>
  <c r="AB32" i="1" s="1"/>
  <c r="AE32" i="1"/>
  <c r="AF32" i="1" s="1"/>
  <c r="AD33" i="1"/>
  <c r="X71" i="1"/>
  <c r="AB71" i="1" s="1"/>
  <c r="AE71" i="1"/>
  <c r="AD71" i="1"/>
  <c r="S71" i="1"/>
  <c r="Q71" i="1" s="1"/>
  <c r="T71" i="1" s="1"/>
  <c r="N71" i="1" s="1"/>
  <c r="O71" i="1" s="1"/>
  <c r="AE47" i="1"/>
  <c r="AF47" i="1" s="1"/>
  <c r="X47" i="1"/>
  <c r="AB47" i="1" s="1"/>
  <c r="AD26" i="1"/>
  <c r="AE94" i="1" l="1"/>
  <c r="X94" i="1"/>
  <c r="AB94" i="1" s="1"/>
  <c r="S94" i="1"/>
  <c r="Q94" i="1" s="1"/>
  <c r="T94" i="1" s="1"/>
  <c r="N94" i="1" s="1"/>
  <c r="O94" i="1" s="1"/>
  <c r="AD94" i="1"/>
  <c r="AF70" i="1"/>
  <c r="AE97" i="1"/>
  <c r="X97" i="1"/>
  <c r="AB97" i="1" s="1"/>
  <c r="S97" i="1"/>
  <c r="Q97" i="1" s="1"/>
  <c r="T97" i="1" s="1"/>
  <c r="N97" i="1" s="1"/>
  <c r="O97" i="1" s="1"/>
  <c r="AD97" i="1"/>
  <c r="AF71" i="1"/>
  <c r="X30" i="1"/>
  <c r="AB30" i="1" s="1"/>
  <c r="AE30" i="1"/>
  <c r="AF30" i="1" s="1"/>
  <c r="S30" i="1"/>
  <c r="Q30" i="1" s="1"/>
  <c r="T30" i="1" s="1"/>
  <c r="N30" i="1" s="1"/>
  <c r="O30" i="1" s="1"/>
  <c r="AD30" i="1"/>
  <c r="X60" i="1"/>
  <c r="AB60" i="1" s="1"/>
  <c r="AE60" i="1"/>
  <c r="S60" i="1"/>
  <c r="Q60" i="1" s="1"/>
  <c r="T60" i="1" s="1"/>
  <c r="N60" i="1" s="1"/>
  <c r="O60" i="1" s="1"/>
  <c r="AD60" i="1"/>
  <c r="AE88" i="1"/>
  <c r="X88" i="1"/>
  <c r="AB88" i="1" s="1"/>
  <c r="AD88" i="1"/>
  <c r="S88" i="1"/>
  <c r="Q88" i="1" s="1"/>
  <c r="T88" i="1" s="1"/>
  <c r="N88" i="1" s="1"/>
  <c r="O88" i="1" s="1"/>
  <c r="X86" i="1"/>
  <c r="AB86" i="1" s="1"/>
  <c r="AE86" i="1"/>
  <c r="AF86" i="1" s="1"/>
  <c r="AD86" i="1"/>
  <c r="S86" i="1"/>
  <c r="Q86" i="1" s="1"/>
  <c r="T86" i="1" s="1"/>
  <c r="N86" i="1" s="1"/>
  <c r="O86" i="1" s="1"/>
  <c r="X19" i="1"/>
  <c r="AB19" i="1" s="1"/>
  <c r="AE19" i="1"/>
  <c r="AF19" i="1" s="1"/>
  <c r="AD19" i="1"/>
  <c r="S19" i="1"/>
  <c r="Q19" i="1" s="1"/>
  <c r="T19" i="1" s="1"/>
  <c r="N19" i="1" s="1"/>
  <c r="O19" i="1" s="1"/>
  <c r="X56" i="1"/>
  <c r="AB56" i="1" s="1"/>
  <c r="AE56" i="1"/>
  <c r="S56" i="1"/>
  <c r="Q56" i="1" s="1"/>
  <c r="T56" i="1" s="1"/>
  <c r="N56" i="1" s="1"/>
  <c r="O56" i="1" s="1"/>
  <c r="AD56" i="1"/>
  <c r="AE103" i="1"/>
  <c r="AF103" i="1" s="1"/>
  <c r="X103" i="1"/>
  <c r="AB103" i="1" s="1"/>
  <c r="AD103" i="1"/>
  <c r="S103" i="1"/>
  <c r="Q103" i="1" s="1"/>
  <c r="T103" i="1" s="1"/>
  <c r="N103" i="1" s="1"/>
  <c r="O103" i="1" s="1"/>
  <c r="X90" i="1"/>
  <c r="AB90" i="1" s="1"/>
  <c r="AE90" i="1"/>
  <c r="AF90" i="1" s="1"/>
  <c r="AD90" i="1"/>
  <c r="S90" i="1"/>
  <c r="Q90" i="1" s="1"/>
  <c r="T90" i="1" s="1"/>
  <c r="N90" i="1" s="1"/>
  <c r="O90" i="1" s="1"/>
  <c r="AE61" i="1"/>
  <c r="X61" i="1"/>
  <c r="AB61" i="1" s="1"/>
  <c r="AD61" i="1"/>
  <c r="S61" i="1"/>
  <c r="Q61" i="1" s="1"/>
  <c r="T61" i="1" s="1"/>
  <c r="N61" i="1" s="1"/>
  <c r="O61" i="1" s="1"/>
  <c r="AE92" i="1"/>
  <c r="AF92" i="1" s="1"/>
  <c r="X92" i="1"/>
  <c r="AB92" i="1" s="1"/>
  <c r="AD92" i="1"/>
  <c r="S92" i="1"/>
  <c r="Q92" i="1" s="1"/>
  <c r="T92" i="1" s="1"/>
  <c r="N92" i="1" s="1"/>
  <c r="O92" i="1" s="1"/>
  <c r="X37" i="1"/>
  <c r="AB37" i="1" s="1"/>
  <c r="AE37" i="1"/>
  <c r="S37" i="1"/>
  <c r="Q37" i="1" s="1"/>
  <c r="T37" i="1" s="1"/>
  <c r="N37" i="1" s="1"/>
  <c r="O37" i="1" s="1"/>
  <c r="AD37" i="1"/>
  <c r="AE81" i="1"/>
  <c r="AD81" i="1"/>
  <c r="X81" i="1"/>
  <c r="AB81" i="1" s="1"/>
  <c r="S81" i="1"/>
  <c r="Q81" i="1" s="1"/>
  <c r="T81" i="1" s="1"/>
  <c r="N81" i="1" s="1"/>
  <c r="O81" i="1" s="1"/>
  <c r="AE39" i="1"/>
  <c r="AF39" i="1" s="1"/>
  <c r="X39" i="1"/>
  <c r="AB39" i="1" s="1"/>
  <c r="AD39" i="1"/>
  <c r="S39" i="1"/>
  <c r="Q39" i="1" s="1"/>
  <c r="T39" i="1" s="1"/>
  <c r="N39" i="1" s="1"/>
  <c r="O39" i="1" s="1"/>
  <c r="AE99" i="1"/>
  <c r="AD99" i="1"/>
  <c r="X99" i="1"/>
  <c r="AB99" i="1" s="1"/>
  <c r="S99" i="1"/>
  <c r="Q99" i="1" s="1"/>
  <c r="T99" i="1" s="1"/>
  <c r="N99" i="1" s="1"/>
  <c r="O99" i="1" s="1"/>
  <c r="X44" i="1"/>
  <c r="AB44" i="1" s="1"/>
  <c r="AE44" i="1"/>
  <c r="AD44" i="1"/>
  <c r="S44" i="1"/>
  <c r="Q44" i="1" s="1"/>
  <c r="T44" i="1" s="1"/>
  <c r="N44" i="1" s="1"/>
  <c r="O44" i="1" s="1"/>
  <c r="X45" i="1"/>
  <c r="AB45" i="1" s="1"/>
  <c r="AE45" i="1"/>
  <c r="AF45" i="1" s="1"/>
  <c r="AD45" i="1"/>
  <c r="S45" i="1"/>
  <c r="Q45" i="1" s="1"/>
  <c r="T45" i="1" s="1"/>
  <c r="N45" i="1" s="1"/>
  <c r="O45" i="1" s="1"/>
  <c r="X31" i="1"/>
  <c r="AB31" i="1" s="1"/>
  <c r="AE31" i="1"/>
  <c r="AD31" i="1"/>
  <c r="S31" i="1"/>
  <c r="Q31" i="1" s="1"/>
  <c r="T31" i="1" s="1"/>
  <c r="N31" i="1" s="1"/>
  <c r="O31" i="1" s="1"/>
  <c r="AE58" i="1"/>
  <c r="X58" i="1"/>
  <c r="AB58" i="1" s="1"/>
  <c r="AD58" i="1"/>
  <c r="S58" i="1"/>
  <c r="Q58" i="1" s="1"/>
  <c r="T58" i="1" s="1"/>
  <c r="N58" i="1" s="1"/>
  <c r="O58" i="1" s="1"/>
  <c r="X18" i="1"/>
  <c r="AB18" i="1" s="1"/>
  <c r="AE18" i="1"/>
  <c r="AF18" i="1" s="1"/>
  <c r="S18" i="1"/>
  <c r="Q18" i="1" s="1"/>
  <c r="T18" i="1" s="1"/>
  <c r="N18" i="1" s="1"/>
  <c r="O18" i="1" s="1"/>
  <c r="AD18" i="1"/>
  <c r="X66" i="1"/>
  <c r="AB66" i="1" s="1"/>
  <c r="AE66" i="1"/>
  <c r="AF66" i="1" s="1"/>
  <c r="AD66" i="1"/>
  <c r="S66" i="1"/>
  <c r="Q66" i="1" s="1"/>
  <c r="T66" i="1" s="1"/>
  <c r="N66" i="1" s="1"/>
  <c r="O66" i="1" s="1"/>
  <c r="AE91" i="1"/>
  <c r="X91" i="1"/>
  <c r="AB91" i="1" s="1"/>
  <c r="AD91" i="1"/>
  <c r="S91" i="1"/>
  <c r="Q91" i="1" s="1"/>
  <c r="T91" i="1" s="1"/>
  <c r="N91" i="1" s="1"/>
  <c r="O91" i="1" s="1"/>
  <c r="AE105" i="1"/>
  <c r="AF105" i="1" s="1"/>
  <c r="X105" i="1"/>
  <c r="AB105" i="1" s="1"/>
  <c r="S105" i="1"/>
  <c r="Q105" i="1" s="1"/>
  <c r="T105" i="1" s="1"/>
  <c r="N105" i="1" s="1"/>
  <c r="O105" i="1" s="1"/>
  <c r="AD105" i="1"/>
  <c r="AE65" i="1"/>
  <c r="X65" i="1"/>
  <c r="AB65" i="1" s="1"/>
  <c r="S65" i="1"/>
  <c r="Q65" i="1" s="1"/>
  <c r="T65" i="1" s="1"/>
  <c r="N65" i="1" s="1"/>
  <c r="O65" i="1" s="1"/>
  <c r="AD65" i="1"/>
  <c r="AE96" i="1"/>
  <c r="X96" i="1"/>
  <c r="AB96" i="1" s="1"/>
  <c r="S96" i="1"/>
  <c r="Q96" i="1" s="1"/>
  <c r="T96" i="1" s="1"/>
  <c r="N96" i="1" s="1"/>
  <c r="O96" i="1" s="1"/>
  <c r="AD96" i="1"/>
  <c r="X78" i="1"/>
  <c r="AB78" i="1" s="1"/>
  <c r="AE78" i="1"/>
  <c r="AF78" i="1" s="1"/>
  <c r="AD78" i="1"/>
  <c r="S78" i="1"/>
  <c r="Q78" i="1" s="1"/>
  <c r="T78" i="1" s="1"/>
  <c r="N78" i="1" s="1"/>
  <c r="O78" i="1" s="1"/>
  <c r="X27" i="1"/>
  <c r="AB27" i="1" s="1"/>
  <c r="AE27" i="1"/>
  <c r="AD27" i="1"/>
  <c r="S27" i="1"/>
  <c r="Q27" i="1" s="1"/>
  <c r="T27" i="1" s="1"/>
  <c r="N27" i="1" s="1"/>
  <c r="O27" i="1" s="1"/>
  <c r="AE93" i="1"/>
  <c r="X93" i="1"/>
  <c r="AB93" i="1" s="1"/>
  <c r="AD93" i="1"/>
  <c r="S93" i="1"/>
  <c r="Q93" i="1" s="1"/>
  <c r="T93" i="1" s="1"/>
  <c r="N93" i="1" s="1"/>
  <c r="O93" i="1" s="1"/>
  <c r="X72" i="1"/>
  <c r="AB72" i="1" s="1"/>
  <c r="AE72" i="1"/>
  <c r="AF72" i="1" s="1"/>
  <c r="AD72" i="1"/>
  <c r="S72" i="1"/>
  <c r="Q72" i="1" s="1"/>
  <c r="T72" i="1" s="1"/>
  <c r="N72" i="1" s="1"/>
  <c r="O72" i="1" s="1"/>
  <c r="X54" i="1"/>
  <c r="AB54" i="1" s="1"/>
  <c r="AE54" i="1"/>
  <c r="AF54" i="1" s="1"/>
  <c r="AD54" i="1"/>
  <c r="S54" i="1"/>
  <c r="Q54" i="1" s="1"/>
  <c r="T54" i="1" s="1"/>
  <c r="N54" i="1" s="1"/>
  <c r="O54" i="1" s="1"/>
  <c r="X25" i="1"/>
  <c r="AB25" i="1" s="1"/>
  <c r="AE25" i="1"/>
  <c r="S25" i="1"/>
  <c r="Q25" i="1" s="1"/>
  <c r="T25" i="1" s="1"/>
  <c r="N25" i="1" s="1"/>
  <c r="O25" i="1" s="1"/>
  <c r="AD25" i="1"/>
  <c r="AE64" i="1"/>
  <c r="AF64" i="1" s="1"/>
  <c r="X64" i="1"/>
  <c r="AB64" i="1" s="1"/>
  <c r="AD64" i="1"/>
  <c r="S64" i="1"/>
  <c r="Q64" i="1" s="1"/>
  <c r="T64" i="1" s="1"/>
  <c r="N64" i="1" s="1"/>
  <c r="O64" i="1" s="1"/>
  <c r="X106" i="1"/>
  <c r="AB106" i="1" s="1"/>
  <c r="AE106" i="1"/>
  <c r="S106" i="1"/>
  <c r="Q106" i="1" s="1"/>
  <c r="T106" i="1" s="1"/>
  <c r="N106" i="1" s="1"/>
  <c r="O106" i="1" s="1"/>
  <c r="AD106" i="1"/>
  <c r="X51" i="1"/>
  <c r="AB51" i="1" s="1"/>
  <c r="AE51" i="1"/>
  <c r="AD51" i="1"/>
  <c r="S51" i="1"/>
  <c r="Q51" i="1" s="1"/>
  <c r="T51" i="1" s="1"/>
  <c r="N51" i="1" s="1"/>
  <c r="O51" i="1" s="1"/>
  <c r="X50" i="1"/>
  <c r="AB50" i="1" s="1"/>
  <c r="AE50" i="1"/>
  <c r="AF50" i="1" s="1"/>
  <c r="AD50" i="1"/>
  <c r="S50" i="1"/>
  <c r="Q50" i="1" s="1"/>
  <c r="T50" i="1" s="1"/>
  <c r="N50" i="1" s="1"/>
  <c r="O50" i="1" s="1"/>
  <c r="X75" i="1"/>
  <c r="AB75" i="1" s="1"/>
  <c r="AE75" i="1"/>
  <c r="AD75" i="1"/>
  <c r="S75" i="1"/>
  <c r="Q75" i="1" s="1"/>
  <c r="T75" i="1" s="1"/>
  <c r="N75" i="1" s="1"/>
  <c r="O75" i="1" s="1"/>
  <c r="AE63" i="1"/>
  <c r="X63" i="1"/>
  <c r="AB63" i="1" s="1"/>
  <c r="AD63" i="1"/>
  <c r="S63" i="1"/>
  <c r="Q63" i="1" s="1"/>
  <c r="T63" i="1" s="1"/>
  <c r="N63" i="1" s="1"/>
  <c r="O63" i="1" s="1"/>
  <c r="AF67" i="1"/>
  <c r="AE104" i="1"/>
  <c r="AF104" i="1" s="1"/>
  <c r="X104" i="1"/>
  <c r="AB104" i="1" s="1"/>
  <c r="AD104" i="1"/>
  <c r="S104" i="1"/>
  <c r="Q104" i="1" s="1"/>
  <c r="T104" i="1" s="1"/>
  <c r="N104" i="1" s="1"/>
  <c r="O104" i="1" s="1"/>
  <c r="X102" i="1"/>
  <c r="AB102" i="1" s="1"/>
  <c r="AE102" i="1"/>
  <c r="AD102" i="1"/>
  <c r="S102" i="1"/>
  <c r="Q102" i="1" s="1"/>
  <c r="T102" i="1" s="1"/>
  <c r="N102" i="1" s="1"/>
  <c r="O102" i="1" s="1"/>
  <c r="AE100" i="1"/>
  <c r="X100" i="1"/>
  <c r="AB100" i="1" s="1"/>
  <c r="AD100" i="1"/>
  <c r="S100" i="1"/>
  <c r="Q100" i="1" s="1"/>
  <c r="T100" i="1" s="1"/>
  <c r="N100" i="1" s="1"/>
  <c r="O100" i="1" s="1"/>
  <c r="X21" i="1"/>
  <c r="AB21" i="1" s="1"/>
  <c r="AE21" i="1"/>
  <c r="AF21" i="1" s="1"/>
  <c r="S21" i="1"/>
  <c r="Q21" i="1" s="1"/>
  <c r="T21" i="1" s="1"/>
  <c r="N21" i="1" s="1"/>
  <c r="O21" i="1" s="1"/>
  <c r="AD21" i="1"/>
  <c r="AF36" i="1"/>
  <c r="AE85" i="1"/>
  <c r="AF85" i="1" s="1"/>
  <c r="X85" i="1"/>
  <c r="AB85" i="1" s="1"/>
  <c r="S85" i="1"/>
  <c r="Q85" i="1" s="1"/>
  <c r="T85" i="1" s="1"/>
  <c r="N85" i="1" s="1"/>
  <c r="O85" i="1" s="1"/>
  <c r="AD85" i="1"/>
  <c r="AF52" i="1"/>
  <c r="X43" i="1"/>
  <c r="AB43" i="1" s="1"/>
  <c r="AE43" i="1"/>
  <c r="AF43" i="1" s="1"/>
  <c r="S43" i="1"/>
  <c r="Q43" i="1" s="1"/>
  <c r="T43" i="1" s="1"/>
  <c r="N43" i="1" s="1"/>
  <c r="O43" i="1" s="1"/>
  <c r="AD43" i="1"/>
  <c r="AE98" i="1"/>
  <c r="AF98" i="1" s="1"/>
  <c r="X98" i="1"/>
  <c r="AB98" i="1" s="1"/>
  <c r="AD98" i="1"/>
  <c r="S98" i="1"/>
  <c r="Q98" i="1" s="1"/>
  <c r="T98" i="1" s="1"/>
  <c r="N98" i="1" s="1"/>
  <c r="O98" i="1" s="1"/>
  <c r="AE57" i="1"/>
  <c r="AF57" i="1" s="1"/>
  <c r="X57" i="1"/>
  <c r="AB57" i="1" s="1"/>
  <c r="AD57" i="1"/>
  <c r="S57" i="1"/>
  <c r="Q57" i="1" s="1"/>
  <c r="T57" i="1" s="1"/>
  <c r="N57" i="1" s="1"/>
  <c r="O57" i="1" s="1"/>
  <c r="X80" i="1"/>
  <c r="AB80" i="1" s="1"/>
  <c r="S80" i="1"/>
  <c r="Q80" i="1" s="1"/>
  <c r="T80" i="1" s="1"/>
  <c r="N80" i="1" s="1"/>
  <c r="O80" i="1" s="1"/>
  <c r="AE80" i="1"/>
  <c r="AF80" i="1" s="1"/>
  <c r="AD80" i="1"/>
  <c r="X38" i="1"/>
  <c r="AB38" i="1" s="1"/>
  <c r="AE38" i="1"/>
  <c r="S38" i="1"/>
  <c r="Q38" i="1" s="1"/>
  <c r="T38" i="1" s="1"/>
  <c r="N38" i="1" s="1"/>
  <c r="O38" i="1" s="1"/>
  <c r="AD38" i="1"/>
  <c r="AF73" i="1"/>
  <c r="AE55" i="1"/>
  <c r="AF55" i="1" s="1"/>
  <c r="X55" i="1"/>
  <c r="AB55" i="1" s="1"/>
  <c r="AD55" i="1"/>
  <c r="S55" i="1"/>
  <c r="Q55" i="1" s="1"/>
  <c r="T55" i="1" s="1"/>
  <c r="N55" i="1" s="1"/>
  <c r="O55" i="1" s="1"/>
  <c r="X49" i="1"/>
  <c r="AB49" i="1" s="1"/>
  <c r="AE49" i="1"/>
  <c r="AF49" i="1" s="1"/>
  <c r="S49" i="1"/>
  <c r="Q49" i="1" s="1"/>
  <c r="T49" i="1" s="1"/>
  <c r="N49" i="1" s="1"/>
  <c r="O49" i="1" s="1"/>
  <c r="AD49" i="1"/>
  <c r="X107" i="1"/>
  <c r="AB107" i="1" s="1"/>
  <c r="AE107" i="1"/>
  <c r="AD107" i="1"/>
  <c r="S107" i="1"/>
  <c r="Q107" i="1" s="1"/>
  <c r="T107" i="1" s="1"/>
  <c r="N107" i="1" s="1"/>
  <c r="O107" i="1" s="1"/>
  <c r="AE87" i="1"/>
  <c r="X87" i="1"/>
  <c r="AB87" i="1" s="1"/>
  <c r="S87" i="1"/>
  <c r="Q87" i="1" s="1"/>
  <c r="T87" i="1" s="1"/>
  <c r="N87" i="1" s="1"/>
  <c r="O87" i="1" s="1"/>
  <c r="AD87" i="1"/>
  <c r="AF100" i="1" l="1"/>
  <c r="AF51" i="1"/>
  <c r="AF25" i="1"/>
  <c r="AF44" i="1"/>
  <c r="AF56" i="1"/>
  <c r="AF87" i="1"/>
  <c r="AF63" i="1"/>
  <c r="AF93" i="1"/>
  <c r="AF96" i="1"/>
  <c r="AF91" i="1"/>
  <c r="AF58" i="1"/>
  <c r="AF81" i="1"/>
  <c r="AF61" i="1"/>
  <c r="AF88" i="1"/>
  <c r="AF97" i="1"/>
  <c r="AF102" i="1"/>
  <c r="AF107" i="1"/>
  <c r="AF75" i="1"/>
  <c r="AF106" i="1"/>
  <c r="AF27" i="1"/>
  <c r="AF31" i="1"/>
  <c r="AF37" i="1"/>
  <c r="AF60" i="1"/>
  <c r="AF38" i="1"/>
  <c r="AF65" i="1"/>
  <c r="AF99" i="1"/>
  <c r="AF94" i="1"/>
</calcChain>
</file>

<file path=xl/sharedStrings.xml><?xml version="1.0" encoding="utf-8"?>
<sst xmlns="http://schemas.openxmlformats.org/spreadsheetml/2006/main" count="2367" uniqueCount="813">
  <si>
    <t>File opened</t>
  </si>
  <si>
    <t>2025-10-28 12:57:48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</si>
  <si>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</si>
  <si>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</si>
  <si>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</si>
  <si>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</si>
  <si>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</si>
  <si>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</si>
  <si>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</si>
  <si>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</si>
  <si>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</si>
  <si>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</si>
  <si>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</si>
  <si>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</si>
  <si>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</si>
  <si>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</si>
  <si>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</si>
  <si>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Mon Oct 27 10:35</t>
  </si>
  <si>
    <t>H2O rangematch</t>
  </si>
  <si>
    <t>Mon Oct 27 10:45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</si>
  <si>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</si>
  <si>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</si>
  <si>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</si>
  <si>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</si>
  <si>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</si>
  <si>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</si>
  <si>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</si>
  <si>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</si>
  <si>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</si>
  <si>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12:57:48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</si>
  <si>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</si>
  <si>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</si>
  <si>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</si>
  <si>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</si>
  <si>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</si>
  <si>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</si>
  <si>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</si>
  <si>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</si>
  <si>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</si>
  <si>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</si>
  <si>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</si>
  <si>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</si>
  <si>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</si>
  <si>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</si>
  <si>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</si>
  <si>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</si>
  <si>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</si>
  <si>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</si>
  <si>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</si>
  <si>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</si>
  <si>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</si>
  <si>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</si>
  <si>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</si>
  <si>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</si>
  <si>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</si>
  <si>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</si>
  <si>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</si>
  <si>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</si>
  <si>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</si>
  <si>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</si>
  <si>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</si>
  <si>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</si>
  <si>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</si>
  <si>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</si>
  <si>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</si>
  <si>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</si>
  <si>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</si>
  <si>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</si>
  <si>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</si>
  <si>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</si>
  <si>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</si>
  <si>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</si>
  <si>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</si>
  <si>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</si>
  <si>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</si>
  <si>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</si>
  <si>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</si>
  <si>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</si>
  <si>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</si>
  <si>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</si>
  <si>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</si>
  <si>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</si>
  <si>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2.30856 207.605 366.39 592.547 807.811 1019.56 1230.41 1383.72</t>
  </si>
  <si>
    <t>Fs_true</t>
  </si>
  <si>
    <t>0.45515 211.096 388.796 610.011 800.085 1004.58 1201.01 1401.25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</si>
  <si>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</si>
  <si>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</si>
  <si>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</si>
  <si>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</si>
  <si>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</si>
  <si>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</si>
  <si>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</si>
  <si>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</si>
  <si>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</si>
  <si>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</si>
  <si>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</si>
  <si>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</si>
  <si>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</si>
  <si>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</si>
  <si>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</si>
  <si>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</si>
  <si>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</si>
  <si>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</si>
  <si>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</si>
  <si>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</si>
  <si>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</si>
  <si>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</si>
  <si>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</si>
  <si>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</si>
  <si>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</si>
  <si>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</si>
  <si>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</si>
  <si>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</si>
  <si>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</si>
  <si>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</si>
  <si>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</si>
  <si>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</si>
  <si>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</si>
  <si>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</si>
  <si>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</si>
  <si>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</si>
  <si>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</si>
  <si>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</si>
  <si>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</si>
  <si>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</si>
  <si>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</si>
  <si>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</si>
  <si>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</si>
  <si>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</si>
  <si>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</si>
  <si>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</si>
  <si>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</si>
  <si>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</si>
  <si>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</si>
  <si>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</si>
  <si>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</si>
  <si>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</si>
  <si>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</si>
  <si>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</si>
  <si>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</si>
  <si>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</si>
  <si>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</si>
  <si>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</si>
  <si>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</si>
  <si>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</si>
  <si>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</si>
  <si>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</si>
  <si>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</si>
  <si>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</si>
  <si>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</si>
  <si>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</si>
  <si>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</si>
  <si>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</si>
  <si>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</si>
  <si>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</si>
  <si>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</si>
  <si>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</si>
  <si>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</si>
  <si>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</si>
  <si>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</si>
  <si>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</si>
  <si>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</si>
  <si>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</si>
  <si>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</si>
  <si>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</si>
  <si>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</si>
  <si>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</si>
  <si>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</si>
  <si>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</si>
  <si>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</si>
  <si>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</si>
  <si>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</si>
  <si>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</si>
  <si>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</si>
  <si>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</si>
  <si>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</si>
  <si>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</si>
  <si>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</si>
  <si>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</si>
  <si>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</si>
  <si>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</si>
  <si>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</si>
  <si>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</si>
  <si>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</si>
  <si>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</si>
  <si>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</si>
  <si>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</si>
  <si>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</si>
  <si>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</si>
  <si>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</si>
  <si>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</si>
  <si>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</si>
  <si>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</si>
  <si>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</si>
  <si>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</si>
  <si>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</si>
  <si>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</si>
  <si>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</si>
  <si>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</si>
  <si>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</si>
  <si>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</si>
  <si>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</si>
  <si>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</si>
  <si>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</si>
  <si>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</si>
  <si>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</si>
  <si>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</si>
  <si>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</si>
  <si>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</si>
  <si>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</si>
  <si>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</si>
  <si>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</si>
  <si>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</si>
  <si>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</si>
  <si>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</si>
  <si>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</si>
  <si>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</si>
  <si>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</si>
  <si>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</si>
  <si>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</si>
  <si>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</si>
  <si>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</si>
  <si>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</si>
  <si>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</si>
  <si>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</si>
  <si>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</si>
  <si>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</si>
  <si>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</si>
  <si>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</si>
  <si>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</si>
  <si>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</si>
  <si>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</si>
  <si>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</si>
  <si>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</si>
  <si>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</si>
  <si>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</si>
  <si>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</si>
  <si>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</si>
  <si>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</si>
  <si>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</si>
  <si>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</si>
  <si>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</si>
  <si>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</si>
  <si>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</si>
  <si>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</si>
  <si>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</si>
  <si>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</si>
  <si>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</si>
  <si>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</si>
  <si>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</si>
  <si>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</si>
  <si>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</si>
  <si>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</si>
  <si>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</si>
  <si>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</si>
  <si>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</si>
  <si>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</si>
  <si>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</si>
  <si>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</si>
  <si>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</si>
  <si>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</si>
  <si>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</si>
  <si>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</si>
  <si>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</si>
  <si>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</si>
  <si>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</si>
  <si>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</si>
  <si>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</si>
  <si>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</si>
  <si>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</si>
  <si>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</si>
  <si>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</si>
  <si>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</si>
  <si>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</si>
  <si>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</si>
  <si>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</si>
  <si>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</si>
  <si>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</si>
  <si>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</si>
  <si>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</si>
  <si>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</si>
  <si>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</si>
  <si>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</si>
  <si>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</si>
  <si>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</si>
  <si>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</si>
  <si>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</si>
  <si>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</si>
  <si>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</si>
  <si>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</si>
  <si>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</si>
  <si>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</si>
  <si>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</si>
  <si>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</si>
  <si>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</si>
  <si>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</si>
  <si>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</si>
  <si>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</si>
  <si>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</si>
  <si>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</si>
  <si>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</si>
  <si>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</si>
  <si>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</si>
  <si>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</si>
  <si>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</si>
  <si>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</si>
  <si>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</si>
  <si>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</si>
  <si>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</si>
  <si>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</si>
  <si>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</si>
  <si>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</si>
  <si>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</si>
  <si>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</si>
  <si>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</si>
  <si>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</si>
  <si>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</si>
  <si>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</si>
  <si>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</si>
  <si>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</si>
  <si>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</si>
  <si>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</si>
  <si>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</si>
  <si>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</si>
  <si>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</si>
  <si>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</si>
  <si>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</si>
  <si>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</si>
  <si>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</si>
  <si>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</si>
  <si>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</si>
  <si>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</si>
  <si>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</si>
  <si>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</si>
  <si>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</si>
  <si>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</si>
  <si>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</si>
  <si>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</si>
  <si>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</si>
  <si>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</si>
  <si>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</si>
  <si>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</si>
  <si>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</si>
  <si>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</si>
  <si>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</si>
  <si>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</si>
  <si>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</si>
  <si>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</si>
  <si>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</si>
  <si>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</si>
  <si>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</si>
  <si>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</si>
  <si>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</si>
  <si>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</si>
  <si>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</si>
  <si>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</si>
  <si>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</si>
  <si>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</si>
  <si>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</si>
  <si>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</si>
  <si>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</si>
  <si>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</si>
  <si>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</si>
  <si>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</si>
  <si>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</si>
  <si>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</si>
  <si>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</si>
  <si>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</si>
  <si>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</si>
  <si>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</si>
  <si>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</si>
  <si>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</si>
  <si>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</si>
  <si>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</si>
  <si>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</si>
  <si>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</si>
  <si>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</si>
  <si>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</si>
  <si>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</si>
  <si>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</si>
  <si>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</si>
  <si>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</si>
  <si>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</si>
  <si>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</si>
  <si>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</si>
  <si>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</si>
  <si>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</si>
  <si>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</si>
  <si>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</si>
  <si>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</si>
  <si>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</si>
  <si>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</si>
  <si>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</si>
  <si>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</si>
  <si>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</si>
  <si>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</si>
  <si>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</si>
  <si>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</si>
  <si>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</si>
  <si>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</si>
  <si>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</si>
  <si>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</si>
  <si>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</si>
  <si>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</si>
  <si>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</si>
  <si>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</si>
  <si>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</si>
  <si>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</si>
  <si>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</si>
  <si>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</si>
  <si>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</si>
  <si>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</si>
  <si>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</si>
  <si>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</si>
  <si>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</si>
  <si>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</si>
  <si>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</si>
  <si>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</si>
  <si>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</si>
  <si>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</si>
  <si>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</si>
  <si>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</si>
  <si>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</si>
  <si>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</si>
  <si>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</si>
  <si>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</si>
  <si>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</si>
  <si>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</si>
  <si>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</si>
  <si>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</si>
  <si>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</si>
  <si>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</si>
  <si>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</si>
  <si>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20251028 13:50:50</t>
  </si>
  <si>
    <t>13:50:50</t>
  </si>
  <si>
    <t>gg_24</t>
  </si>
  <si>
    <t>albert</t>
  </si>
  <si>
    <t>MPF-366-20251026-13_59_01</t>
  </si>
  <si>
    <t>MPF-367-20251028-13_50_21</t>
  </si>
  <si>
    <t>DARK-368-20251028-13_50_29</t>
  </si>
  <si>
    <t>0: Broadleaf</t>
  </si>
  <si>
    <t>--:--:--</t>
  </si>
  <si>
    <t>1/3</t>
  </si>
  <si>
    <t>11111111</t>
  </si>
  <si>
    <t>oooooooo</t>
  </si>
  <si>
    <t>on</t>
  </si>
  <si>
    <t>20251028 13:52:59</t>
  </si>
  <si>
    <t>13:52:59</t>
  </si>
  <si>
    <t>MPF-369-20251028-13_52_31</t>
  </si>
  <si>
    <t>DARK-370-20251028-13_52_38</t>
  </si>
  <si>
    <t>20251028 13:56:32</t>
  </si>
  <si>
    <t>13:56:32</t>
  </si>
  <si>
    <t>MPF-371-20251028-13_56_04</t>
  </si>
  <si>
    <t>DARK-372-20251028-13_56_11</t>
  </si>
  <si>
    <t>20251028 13:58:42</t>
  </si>
  <si>
    <t>13:58:42</t>
  </si>
  <si>
    <t>MPF-373-20251028-13_58_13</t>
  </si>
  <si>
    <t>DARK-374-20251028-13_58_21</t>
  </si>
  <si>
    <t>20251028 14:00:51</t>
  </si>
  <si>
    <t>14:00:51</t>
  </si>
  <si>
    <t>MPF-375-20251028-14_00_23</t>
  </si>
  <si>
    <t>DARK-376-20251028-14_00_30</t>
  </si>
  <si>
    <t>20251028 14:03:01</t>
  </si>
  <si>
    <t>14:03:01</t>
  </si>
  <si>
    <t>MPF-377-20251028-14_02_32</t>
  </si>
  <si>
    <t>DARK-378-20251028-14_02_40</t>
  </si>
  <si>
    <t>20251028 14:04:48</t>
  </si>
  <si>
    <t>14:04:48</t>
  </si>
  <si>
    <t>MPF-379-20251028-14_04_19</t>
  </si>
  <si>
    <t>DARK-380-20251028-14_04_27</t>
  </si>
  <si>
    <t>3/3</t>
  </si>
  <si>
    <t>20251028 14:06:57</t>
  </si>
  <si>
    <t>14:06:57</t>
  </si>
  <si>
    <t>MPF-381-20251028-14_06_29</t>
  </si>
  <si>
    <t>DARK-382-20251028-14_06_36</t>
  </si>
  <si>
    <t>20251028 14:08:07</t>
  </si>
  <si>
    <t>14:08:07</t>
  </si>
  <si>
    <t>MPF-383-20251028-14_07_38</t>
  </si>
  <si>
    <t>DARK-384-20251028-14_07_46</t>
  </si>
  <si>
    <t>2/3</t>
  </si>
  <si>
    <t>20251028 14:09:44</t>
  </si>
  <si>
    <t>14:09:44</t>
  </si>
  <si>
    <t>MPF-385-20251028-14_09_15</t>
  </si>
  <si>
    <t>DARK-386-20251028-14_09_23</t>
  </si>
  <si>
    <t>20251028 14:11:30</t>
  </si>
  <si>
    <t>14:11:30</t>
  </si>
  <si>
    <t>MPF-387-20251028-14_11_02</t>
  </si>
  <si>
    <t>DARK-388-20251028-14_11_09</t>
  </si>
  <si>
    <t>20251028 14:13:40</t>
  </si>
  <si>
    <t>14:13:40</t>
  </si>
  <si>
    <t>MPF-389-20251028-14_13_11</t>
  </si>
  <si>
    <t>-</t>
  </si>
  <si>
    <t>0/3</t>
  </si>
  <si>
    <t>20251028 14:28:09</t>
  </si>
  <si>
    <t>14:28:09</t>
  </si>
  <si>
    <t>gg_26</t>
  </si>
  <si>
    <t>MPF-390-20251028-14_27_41</t>
  </si>
  <si>
    <t>DARK-391-20251028-14_27_48</t>
  </si>
  <si>
    <t>20251028 14:30:19</t>
  </si>
  <si>
    <t>14:30:19</t>
  </si>
  <si>
    <t>MPF-392-20251028-14_29_50</t>
  </si>
  <si>
    <t>DARK-393-20251028-14_29_58</t>
  </si>
  <si>
    <t>20251028 14:32:28</t>
  </si>
  <si>
    <t>14:32:28</t>
  </si>
  <si>
    <t>MPF-394-20251028-14_32_00</t>
  </si>
  <si>
    <t>DARK-395-20251028-14_32_07</t>
  </si>
  <si>
    <t>20251028 14:34:38</t>
  </si>
  <si>
    <t>14:34:38</t>
  </si>
  <si>
    <t>MPF-396-20251028-14_34_09</t>
  </si>
  <si>
    <t>DARK-397-20251028-14_34_17</t>
  </si>
  <si>
    <t>20251028 14:36:06</t>
  </si>
  <si>
    <t>14:36:06</t>
  </si>
  <si>
    <t>MPF-398-20251028-14_35_37</t>
  </si>
  <si>
    <t>DARK-399-20251028-14_35_45</t>
  </si>
  <si>
    <t>20251028 14:37:15</t>
  </si>
  <si>
    <t>14:37:15</t>
  </si>
  <si>
    <t>MPF-400-20251028-14_36_47</t>
  </si>
  <si>
    <t>DARK-401-20251028-14_36_54</t>
  </si>
  <si>
    <t>20251028 14:39:25</t>
  </si>
  <si>
    <t>14:39:25</t>
  </si>
  <si>
    <t>MPF-402-20251028-14_38_56</t>
  </si>
  <si>
    <t>DARK-403-20251028-14_39_04</t>
  </si>
  <si>
    <t>20251028 14:41:34</t>
  </si>
  <si>
    <t>14:41:34</t>
  </si>
  <si>
    <t>MPF-404-20251028-14_41_06</t>
  </si>
  <si>
    <t>DARK-405-20251028-14_41_13</t>
  </si>
  <si>
    <t>20251028 14:43:02</t>
  </si>
  <si>
    <t>14:43:02</t>
  </si>
  <si>
    <t>MPF-406-20251028-14_42_34</t>
  </si>
  <si>
    <t>DARK-407-20251028-14_42_41</t>
  </si>
  <si>
    <t>20251028 14:45:12</t>
  </si>
  <si>
    <t>14:45:12</t>
  </si>
  <si>
    <t>MPF-408-20251028-14_44_43</t>
  </si>
  <si>
    <t>20251028 14:56:40</t>
  </si>
  <si>
    <t>14:56:40</t>
  </si>
  <si>
    <t>gg_34</t>
  </si>
  <si>
    <t>MPF-409-20251028-14_56_12</t>
  </si>
  <si>
    <t>DARK-410-20251028-14_56_19</t>
  </si>
  <si>
    <t>20251028 14:58:50</t>
  </si>
  <si>
    <t>14:58:50</t>
  </si>
  <si>
    <t>MPF-411-20251028-14_58_21</t>
  </si>
  <si>
    <t>DARK-412-20251028-14_58_29</t>
  </si>
  <si>
    <t>20251028 15:00:59</t>
  </si>
  <si>
    <t>15:00:59</t>
  </si>
  <si>
    <t>MPF-413-20251028-15_00_31</t>
  </si>
  <si>
    <t>DARK-414-20251028-15_00_38</t>
  </si>
  <si>
    <t>20251028 15:03:09</t>
  </si>
  <si>
    <t>15:03:09</t>
  </si>
  <si>
    <t>MPF-415-20251028-15_02_40</t>
  </si>
  <si>
    <t>DARK-416-20251028-15_02_48</t>
  </si>
  <si>
    <t>20251028 15:05:18</t>
  </si>
  <si>
    <t>15:05:18</t>
  </si>
  <si>
    <t>MPF-417-20251028-15_04_50</t>
  </si>
  <si>
    <t>DARK-418-20251028-15_04_57</t>
  </si>
  <si>
    <t>20251028 15:07:28</t>
  </si>
  <si>
    <t>15:07:28</t>
  </si>
  <si>
    <t>MPF-419-20251028-15_06_59</t>
  </si>
  <si>
    <t>DARK-420-20251028-15_07_07</t>
  </si>
  <si>
    <t>20251028 15:09:37</t>
  </si>
  <si>
    <t>15:09:37</t>
  </si>
  <si>
    <t>MPF-421-20251028-15_09_09</t>
  </si>
  <si>
    <t>DARK-422-20251028-15_09_16</t>
  </si>
  <si>
    <t>20251028 15:11:47</t>
  </si>
  <si>
    <t>15:11:47</t>
  </si>
  <si>
    <t>MPF-423-20251028-15_11_18</t>
  </si>
  <si>
    <t>DARK-424-20251028-15_11_26</t>
  </si>
  <si>
    <t>20251028 15:13:56</t>
  </si>
  <si>
    <t>15:13:56</t>
  </si>
  <si>
    <t>MPF-425-20251028-15_13_28</t>
  </si>
  <si>
    <t>DARK-426-20251028-15_13_35</t>
  </si>
  <si>
    <t>20251028 15:16:06</t>
  </si>
  <si>
    <t>15:16:06</t>
  </si>
  <si>
    <t>MPF-427-20251028-15_15_37</t>
  </si>
  <si>
    <t>20251028 15:22:31</t>
  </si>
  <si>
    <t>15:22:31</t>
  </si>
  <si>
    <t>gg_36</t>
  </si>
  <si>
    <t>MPF-428-20251028-15_22_03</t>
  </si>
  <si>
    <t>DARK-429-20251028-15_22_10</t>
  </si>
  <si>
    <t>20251028 15:24:41</t>
  </si>
  <si>
    <t>15:24:41</t>
  </si>
  <si>
    <t>MPF-430-20251028-15_24_12</t>
  </si>
  <si>
    <t>DARK-431-20251028-15_24_20</t>
  </si>
  <si>
    <t>20251028 15:26:50</t>
  </si>
  <si>
    <t>15:26:50</t>
  </si>
  <si>
    <t>MPF-432-20251028-15_26_22</t>
  </si>
  <si>
    <t>DARK-433-20251028-15_26_29</t>
  </si>
  <si>
    <t>20251028 15:29:00</t>
  </si>
  <si>
    <t>15:29:00</t>
  </si>
  <si>
    <t>MPF-434-20251028-15_28_31</t>
  </si>
  <si>
    <t>DARK-435-20251028-15_28_39</t>
  </si>
  <si>
    <t>20251028 15:31:09</t>
  </si>
  <si>
    <t>15:31:09</t>
  </si>
  <si>
    <t>MPF-436-20251028-15_30_41</t>
  </si>
  <si>
    <t>DARK-437-20251028-15_30_48</t>
  </si>
  <si>
    <t>20251028 15:33:12</t>
  </si>
  <si>
    <t>15:33:12</t>
  </si>
  <si>
    <t>MPF-438-20251028-15_32_43</t>
  </si>
  <si>
    <t>DARK-439-20251028-15_32_51</t>
  </si>
  <si>
    <t>20251028 15:35:21</t>
  </si>
  <si>
    <t>15:35:21</t>
  </si>
  <si>
    <t>MPF-440-20251028-15_34_53</t>
  </si>
  <si>
    <t>DARK-441-20251028-15_35_00</t>
  </si>
  <si>
    <t>20251028 15:36:37</t>
  </si>
  <si>
    <t>15:36:37</t>
  </si>
  <si>
    <t>MPF-442-20251028-15_36_08</t>
  </si>
  <si>
    <t>DARK-443-20251028-15_36_16</t>
  </si>
  <si>
    <t>20251028 15:38:27</t>
  </si>
  <si>
    <t>15:38:27</t>
  </si>
  <si>
    <t>MPF-444-20251028-15_37_59</t>
  </si>
  <si>
    <t>DARK-445-20251028-15_38_06</t>
  </si>
  <si>
    <t>20251028 15:40:23</t>
  </si>
  <si>
    <t>15:40:23</t>
  </si>
  <si>
    <t>MPF-446-20251028-15_39_54</t>
  </si>
  <si>
    <t>20251028 16:05:47</t>
  </si>
  <si>
    <t>16:05:47</t>
  </si>
  <si>
    <t>gg_22</t>
  </si>
  <si>
    <t>MPF-447-20251028-16_05_19</t>
  </si>
  <si>
    <t>DARK-448-20251028-16_05_26</t>
  </si>
  <si>
    <t>20251028 16:07:57</t>
  </si>
  <si>
    <t>16:07:57</t>
  </si>
  <si>
    <t>MPF-449-20251028-16_07_28</t>
  </si>
  <si>
    <t>DARK-450-20251028-16_07_36</t>
  </si>
  <si>
    <t>20251028 16:10:06</t>
  </si>
  <si>
    <t>16:10:06</t>
  </si>
  <si>
    <t>MPF-451-20251028-16_09_38</t>
  </si>
  <si>
    <t>DARK-452-20251028-16_09_45</t>
  </si>
  <si>
    <t>20251028 16:12:16</t>
  </si>
  <si>
    <t>16:12:16</t>
  </si>
  <si>
    <t>MPF-453-20251028-16_11_48</t>
  </si>
  <si>
    <t>DARK-454-20251028-16_11_55</t>
  </si>
  <si>
    <t>20251028 16:14:02</t>
  </si>
  <si>
    <t>16:14:02</t>
  </si>
  <si>
    <t>MPF-455-20251028-16_13_34</t>
  </si>
  <si>
    <t>DARK-456-20251028-16_13_41</t>
  </si>
  <si>
    <t>20251028 16:16:12</t>
  </si>
  <si>
    <t>16:16:12</t>
  </si>
  <si>
    <t>MPF-457-20251028-16_15_44</t>
  </si>
  <si>
    <t>DARK-458-20251028-16_15_51</t>
  </si>
  <si>
    <t>20251028 16:17:28</t>
  </si>
  <si>
    <t>16:17:28</t>
  </si>
  <si>
    <t>MPF-459-20251028-16_17_00</t>
  </si>
  <si>
    <t>DARK-460-20251028-16_17_07</t>
  </si>
  <si>
    <t>20251028 16:19:04</t>
  </si>
  <si>
    <t>16:19:04</t>
  </si>
  <si>
    <t>MPF-461-20251028-16_18_36</t>
  </si>
  <si>
    <t>DARK-462-20251028-16_18_43</t>
  </si>
  <si>
    <t>20251028 16:20:51</t>
  </si>
  <si>
    <t>16:20:51</t>
  </si>
  <si>
    <t>MPF-463-20251028-16_20_23</t>
  </si>
  <si>
    <t>DARK-464-20251028-16_20_30</t>
  </si>
  <si>
    <t>20251028 16:23:01</t>
  </si>
  <si>
    <t>16:23:01</t>
  </si>
  <si>
    <t>MPF-465-20251028-16_22_33</t>
  </si>
  <si>
    <t>20251028 16:37:20</t>
  </si>
  <si>
    <t>16:37:20</t>
  </si>
  <si>
    <t>gg_38</t>
  </si>
  <si>
    <t>MPF-466-20251028-16_36_52</t>
  </si>
  <si>
    <t>DARK-467-20251028-16_36_59</t>
  </si>
  <si>
    <t>20251028 16:39:30</t>
  </si>
  <si>
    <t>16:39:30</t>
  </si>
  <si>
    <t>MPF-468-20251028-16_39_02</t>
  </si>
  <si>
    <t>DARK-469-20251028-16_39_09</t>
  </si>
  <si>
    <t>20251028 16:41:40</t>
  </si>
  <si>
    <t>16:41:40</t>
  </si>
  <si>
    <t>MPF-470-20251028-16_41_12</t>
  </si>
  <si>
    <t>DARK-471-20251028-16_41_19</t>
  </si>
  <si>
    <t>20251028 16:43:31</t>
  </si>
  <si>
    <t>16:43:31</t>
  </si>
  <si>
    <t>MPF-472-20251028-16_43_03</t>
  </si>
  <si>
    <t>DARK-473-20251028-16_43_10</t>
  </si>
  <si>
    <t>20251028 16:45:40</t>
  </si>
  <si>
    <t>16:45:40</t>
  </si>
  <si>
    <t>MPF-474-20251028-16_45_12</t>
  </si>
  <si>
    <t>DARK-475-20251028-16_45_19</t>
  </si>
  <si>
    <t>20251028 16:46:50</t>
  </si>
  <si>
    <t>16:46:50</t>
  </si>
  <si>
    <t>MPF-476-20251028-16_46_22</t>
  </si>
  <si>
    <t>DARK-477-20251028-16_46_29</t>
  </si>
  <si>
    <t>20251028 16:48:59</t>
  </si>
  <si>
    <t>16:48:59</t>
  </si>
  <si>
    <t>MPF-478-20251028-16_48_31</t>
  </si>
  <si>
    <t>DARK-479-20251028-16_48_38</t>
  </si>
  <si>
    <t>20251028 16:51:09</t>
  </si>
  <si>
    <t>16:51:09</t>
  </si>
  <si>
    <t>MPF-480-20251028-16_50_41</t>
  </si>
  <si>
    <t>DARK-481-20251028-16_50_48</t>
  </si>
  <si>
    <t>20251028 16:52:52</t>
  </si>
  <si>
    <t>16:52:52</t>
  </si>
  <si>
    <t>MPF-482-20251028-16_52_24</t>
  </si>
  <si>
    <t>DARK-483-20251028-16_52_31</t>
  </si>
  <si>
    <t>20251028 16:55:02</t>
  </si>
  <si>
    <t>16:55:02</t>
  </si>
  <si>
    <t>MPF-484-20251028-16_54_34</t>
  </si>
  <si>
    <t>20251028 17:04:49</t>
  </si>
  <si>
    <t>17:04:49</t>
  </si>
  <si>
    <t>gg_12</t>
  </si>
  <si>
    <t>MPF-485-20251028-17_04_21</t>
  </si>
  <si>
    <t>DARK-486-20251028-17_04_28</t>
  </si>
  <si>
    <t>20251028 17:06:59</t>
  </si>
  <si>
    <t>17:06:59</t>
  </si>
  <si>
    <t>MPF-487-20251028-17_06_31</t>
  </si>
  <si>
    <t>DARK-488-20251028-17_06_38</t>
  </si>
  <si>
    <t>20251028 17:09:08</t>
  </si>
  <si>
    <t>17:09:08</t>
  </si>
  <si>
    <t>MPF-489-20251028-17_08_40</t>
  </si>
  <si>
    <t>DARK-490-20251028-17_08_48</t>
  </si>
  <si>
    <t>20251028 17:11:18</t>
  </si>
  <si>
    <t>17:11:18</t>
  </si>
  <si>
    <t>MPF-491-20251028-17_10_50</t>
  </si>
  <si>
    <t>DARK-492-20251028-17_10_57</t>
  </si>
  <si>
    <t>20251028 17:13:27</t>
  </si>
  <si>
    <t>17:13:27</t>
  </si>
  <si>
    <t>MPF-493-20251028-17_12_59</t>
  </si>
  <si>
    <t>DARK-494-20251028-17_13_07</t>
  </si>
  <si>
    <t>20251028 17:14:37</t>
  </si>
  <si>
    <t>17:14:37</t>
  </si>
  <si>
    <t>MPF-495-20251028-17_14_09</t>
  </si>
  <si>
    <t>DARK-496-20251028-17_14_16</t>
  </si>
  <si>
    <t>20251028 17:16:46</t>
  </si>
  <si>
    <t>17:16:46</t>
  </si>
  <si>
    <t>MPF-497-20251028-17_16_18</t>
  </si>
  <si>
    <t>DARK-498-20251028-17_16_26</t>
  </si>
  <si>
    <t>20251028 17:17:57</t>
  </si>
  <si>
    <t>17:17:57</t>
  </si>
  <si>
    <t>MPF-499-20251028-17_17_29</t>
  </si>
  <si>
    <t>DARK-500-20251028-17_17_37</t>
  </si>
  <si>
    <t>20251028 17:19:28</t>
  </si>
  <si>
    <t>17:19:28</t>
  </si>
  <si>
    <t>MPF-501-20251028-17_19_00</t>
  </si>
  <si>
    <t>DARK-502-20251028-17_19_07</t>
  </si>
  <si>
    <t>20251028 17:21:37</t>
  </si>
  <si>
    <t>17:21:37</t>
  </si>
  <si>
    <t>MPF-503-20251028-17_21_09</t>
  </si>
  <si>
    <t>20251028 17:32:21</t>
  </si>
  <si>
    <t>17:32:21</t>
  </si>
  <si>
    <t>gg_18</t>
  </si>
  <si>
    <t>MPF-504-20251028-17_31_53</t>
  </si>
  <si>
    <t>DARK-505-20251028-17_32_01</t>
  </si>
  <si>
    <t>20251028 17:34:31</t>
  </si>
  <si>
    <t>17:34:31</t>
  </si>
  <si>
    <t>MPF-506-20251028-17_34_03</t>
  </si>
  <si>
    <t>DARK-507-20251028-17_34_11</t>
  </si>
  <si>
    <t>20251028 17:36:41</t>
  </si>
  <si>
    <t>17:36:41</t>
  </si>
  <si>
    <t>MPF-508-20251028-17_36_13</t>
  </si>
  <si>
    <t>DARK-509-20251028-17_36_20</t>
  </si>
  <si>
    <t>20251028 17:38:50</t>
  </si>
  <si>
    <t>17:38:50</t>
  </si>
  <si>
    <t>MPF-510-20251028-17_38_22</t>
  </si>
  <si>
    <t>DARK-511-20251028-17_38_30</t>
  </si>
  <si>
    <t>20251028 17:41:00</t>
  </si>
  <si>
    <t>17:41:00</t>
  </si>
  <si>
    <t>MPF-512-20251028-17_40_32</t>
  </si>
  <si>
    <t>DARK-513-20251028-17_40_39</t>
  </si>
  <si>
    <t>20251028 17:43:09</t>
  </si>
  <si>
    <t>17:43:09</t>
  </si>
  <si>
    <t>MPF-514-20251028-17_42_41</t>
  </si>
  <si>
    <t>DARK-515-20251028-17_42_49</t>
  </si>
  <si>
    <t>20251028 17:45:19</t>
  </si>
  <si>
    <t>17:45:19</t>
  </si>
  <si>
    <t>MPF-516-20251028-17_44_51</t>
  </si>
  <si>
    <t>DARK-517-20251028-17_44_58</t>
  </si>
  <si>
    <t>20251028 17:46:28</t>
  </si>
  <si>
    <t>17:46:28</t>
  </si>
  <si>
    <t>MPF-518-20251028-17_46_00</t>
  </si>
  <si>
    <t>DARK-519-20251028-17_46_08</t>
  </si>
  <si>
    <t>20251028 17:47:40</t>
  </si>
  <si>
    <t>17:47:40</t>
  </si>
  <si>
    <t>MPF-520-20251028-17_47_12</t>
  </si>
  <si>
    <t>DARK-521-20251028-17_47_19</t>
  </si>
  <si>
    <t>20251028 17:49:49</t>
  </si>
  <si>
    <t>17:49:49</t>
  </si>
  <si>
    <t>MPF-522-20251028-17_49_21</t>
  </si>
  <si>
    <t>20251028 18:00:35</t>
  </si>
  <si>
    <t>18:00:35</t>
  </si>
  <si>
    <t>gg_6</t>
  </si>
  <si>
    <t>MPF-523-20251028-18_00_07</t>
  </si>
  <si>
    <t>DARK-524-20251028-18_00_15</t>
  </si>
  <si>
    <t>20251028 18:02:45</t>
  </si>
  <si>
    <t>18:02:45</t>
  </si>
  <si>
    <t>MPF-525-20251028-18_02_17</t>
  </si>
  <si>
    <t>DARK-526-20251028-18_02_24</t>
  </si>
  <si>
    <t>20251028 18:04:40</t>
  </si>
  <si>
    <t>18:04:40</t>
  </si>
  <si>
    <t>MPF-527-20251028-18_04_12</t>
  </si>
  <si>
    <t>DARK-528-20251028-18_04_19</t>
  </si>
  <si>
    <t>20251028 18:06:49</t>
  </si>
  <si>
    <t>18:06:49</t>
  </si>
  <si>
    <t>MPF-529-20251028-18_06_21</t>
  </si>
  <si>
    <t>DARK-530-20251028-18_06_29</t>
  </si>
  <si>
    <t>20251028 18:08:59</t>
  </si>
  <si>
    <t>18:08:59</t>
  </si>
  <si>
    <t>MPF-531-20251028-18_08_31</t>
  </si>
  <si>
    <t>DARK-532-20251028-18_08_38</t>
  </si>
  <si>
    <t>20251028 18:10:17</t>
  </si>
  <si>
    <t>18:10:17</t>
  </si>
  <si>
    <t>MPF-533-20251028-18_09_49</t>
  </si>
  <si>
    <t>DARK-534-20251028-18_09_56</t>
  </si>
  <si>
    <t>20251028 18:11:29</t>
  </si>
  <si>
    <t>18:11:29</t>
  </si>
  <si>
    <t>MPF-535-20251028-18_11_01</t>
  </si>
  <si>
    <t>DARK-536-20251028-18_11_09</t>
  </si>
  <si>
    <t>20251028 18:12:40</t>
  </si>
  <si>
    <t>18:12:40</t>
  </si>
  <si>
    <t>MPF-537-20251028-18_12_12</t>
  </si>
  <si>
    <t>DARK-538-20251028-18_12_20</t>
  </si>
  <si>
    <t>20251028 18:14:50</t>
  </si>
  <si>
    <t>18:14:50</t>
  </si>
  <si>
    <t>MPF-539-20251028-18_14_22</t>
  </si>
  <si>
    <t>DARK-540-20251028-18_14_29</t>
  </si>
  <si>
    <t>20251028 18:16:20</t>
  </si>
  <si>
    <t>18:16:20</t>
  </si>
  <si>
    <t>MPF-541-20251028-18_15_52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</si>
</sst>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K108"/>
  <sheetViews>
    <sheetView tabSelected="1" topLeftCell="AW6" workbookViewId="0">
      <selection activeCell="BF17" sqref="BF17"/>
    </sheetView>
  </sheetViews>
  <sheetFormatPr defaultRowHeight="14.4" x14ac:dyDescent="0.3"/>
  <sheetData>
    <row r="2" spans="1:297" x14ac:dyDescent="0.3">
      <c r="A2" t="s">
        <v>31</v>
      </c>
      <c r="B2" t="s">
        <v>32</v>
      </c>
      <c r="C2" t="s">
        <v>33</v>
      </c>
    </row>
    <row r="3" spans="1:297" x14ac:dyDescent="0.3">
      <c r="B3">
        <v>4</v>
      </c>
      <c r="C3">
        <v>21</v>
      </c>
    </row>
    <row r="4" spans="1:297" x14ac:dyDescent="0.3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 x14ac:dyDescent="0.3">
      <c r="B5" t="s">
        <v>21</v>
      </c>
      <c r="C5" t="s">
        <v>37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7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 x14ac:dyDescent="0.3">
      <c r="B7">
        <v>0</v>
      </c>
      <c r="C7">
        <v>0</v>
      </c>
      <c r="D7">
        <v>0</v>
      </c>
      <c r="E7">
        <v>1</v>
      </c>
    </row>
    <row r="8" spans="1:297" x14ac:dyDescent="0.3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 x14ac:dyDescent="0.3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7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 x14ac:dyDescent="0.3">
      <c r="B11">
        <v>0</v>
      </c>
      <c r="C11">
        <v>1</v>
      </c>
      <c r="D11">
        <v>0</v>
      </c>
      <c r="E11">
        <v>0</v>
      </c>
      <c r="F11">
        <v>1</v>
      </c>
    </row>
    <row r="12" spans="1:297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 x14ac:dyDescent="0.3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0</v>
      </c>
    </row>
    <row r="14" spans="1:297" x14ac:dyDescent="0.3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 x14ac:dyDescent="0.3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 x14ac:dyDescent="0.3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 x14ac:dyDescent="0.3">
      <c r="A17">
        <v>1</v>
      </c>
      <c r="B17">
        <v>1761677450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1761677442</v>
      </c>
      <c r="J17">
        <f t="shared" ref="J17:J48" si="0">(K17)/1000</f>
        <v>1.2120935925440993E-3</v>
      </c>
      <c r="K17">
        <f t="shared" ref="K17:K48" si="1">IF(DP17, AN17, AH17)</f>
        <v>1.2120935925440992</v>
      </c>
      <c r="L17">
        <f t="shared" ref="L17:L48" si="2">IF(DP17, AI17, AG17)</f>
        <v>6.4981759860868653</v>
      </c>
      <c r="M17">
        <f t="shared" ref="M17:M48" si="3">DR17 - IF(AU17&gt;1, L17*DL17*100/(AW17), 0)</f>
        <v>411.6783225806451</v>
      </c>
      <c r="N17">
        <f t="shared" ref="N17:N48" si="4">((T17-J17/2)*M17-L17)/(T17+J17/2)</f>
        <v>270.56736119735206</v>
      </c>
      <c r="O17">
        <f t="shared" ref="O17:O48" si="5">N17*(DY17+DZ17)/1000</f>
        <v>24.627290077059431</v>
      </c>
      <c r="P17">
        <f t="shared" ref="P17:P48" si="6">(DR17 - IF(AU17&gt;1, L17*DL17*100/(AW17), 0))*(DY17+DZ17)/1000</f>
        <v>37.471339572387471</v>
      </c>
      <c r="Q17">
        <f t="shared" ref="Q17:Q48" si="7">2/((1/S17-1/R17)+SIGN(S17)*SQRT((1/S17-1/R17)*(1/S17-1/R17) + 4*DM17/((DM17+1)*(DM17+1))*(2*1/S17*1/R17-1/R17*1/R17)))</f>
        <v>7.9437329596126316E-2</v>
      </c>
      <c r="R17">
        <f t="shared" ref="R17:R48" si="8">IF(LEFT(DN17,1)&lt;&gt;"0",IF(LEFT(DN17,1)="1",3,DO17),$D$5+$E$5*(EF17*DY17/($K$5*1000))+$F$5*(EF17*DY17/($K$5*1000))*MAX(MIN(DL17,$J$5),$I$5)*MAX(MIN(DL17,$J$5),$I$5)+$G$5*MAX(MIN(DL17,$J$5),$I$5)*(EF17*DY17/($K$5*1000))+$H$5*(EF17*DY17/($K$5*1000))*(EF17*DY17/($K$5*1000)))</f>
        <v>2.7673791069446239</v>
      </c>
      <c r="S17">
        <f t="shared" ref="S17:S48" si="9">J17*(1000-(1000*0.61365*EXP(17.502*W17/(240.97+W17))/(DY17+DZ17)+DT17)/2)/(1000*0.61365*EXP(17.502*W17/(240.97+W17))/(DY17+DZ17)-DT17)</f>
        <v>7.81919603176746E-2</v>
      </c>
      <c r="T17">
        <f t="shared" ref="T17:T48" si="10">1/((DM17+1)/(Q17/1.6)+1/(R17/1.37)) + DM17/((DM17+1)/(Q17/1.6) + DM17/(R17/1.37))</f>
        <v>4.8980240296408767E-2</v>
      </c>
      <c r="U17">
        <f t="shared" ref="U17:U48" si="11">(DH17*DK17)</f>
        <v>544.86199702303657</v>
      </c>
      <c r="V17">
        <f t="shared" ref="V17:V48" si="12">(EA17+(U17+2*0.95*0.0000000567*(((EA17+$B$7)+273)^4-(EA17+273)^4)-44100*J17)/(1.84*29.3*R17+8*0.95*0.0000000567*(EA17+273)^3))</f>
        <v>20.140515234283832</v>
      </c>
      <c r="W17">
        <f t="shared" ref="W17:W48" si="13">($C$7*EB17+$D$7*EC17+$E$7*V17)</f>
        <v>20.140515234283832</v>
      </c>
      <c r="X17">
        <f t="shared" ref="X17:X48" si="14">0.61365*EXP(17.502*W17/(240.97+W17))</f>
        <v>2.367110102179566</v>
      </c>
      <c r="Y17">
        <f t="shared" ref="Y17:Y48" si="15">(Z17/AA17*100)</f>
        <v>50.302036802321204</v>
      </c>
      <c r="Z17">
        <f t="shared" ref="Z17:Z48" si="16">DT17*(DY17+DZ17)/1000</f>
        <v>0.98210720950331132</v>
      </c>
      <c r="AA17">
        <f t="shared" ref="AA17:AA48" si="17">0.61365*EXP(17.502*EA17/(240.97+EA17))</f>
        <v>1.9524203629424239</v>
      </c>
      <c r="AB17">
        <f t="shared" ref="AB17:AB48" si="18">(X17-DT17*(DY17+DZ17)/1000)</f>
        <v>1.3850028926762548</v>
      </c>
      <c r="AC17">
        <f t="shared" ref="AC17:AC48" si="19">(-J17*44100)</f>
        <v>-53.453327431194779</v>
      </c>
      <c r="AD17">
        <f t="shared" ref="AD17:AD48" si="20">2*29.3*R17*0.92*(EA17-W17)</f>
        <v>-459.05056571034504</v>
      </c>
      <c r="AE17">
        <f t="shared" ref="AE17:AE48" si="21">2*0.95*0.0000000567*(((EA17+$B$7)+273)^4-(W17+273)^4)</f>
        <v>-32.876612387752921</v>
      </c>
      <c r="AF17">
        <f t="shared" ref="AF17:AF48" si="22">U17+AE17+AC17+AD17</f>
        <v>-0.5185085062561825</v>
      </c>
      <c r="AG17">
        <f t="shared" ref="AG17:AG48" si="23">DX17*AU17*(DS17-DR17*(1000-AU17*DU17)/(1000-AU17*DT17))/(100*DL17)</f>
        <v>6.4417686570355075</v>
      </c>
      <c r="AH17">
        <f t="shared" ref="AH17:AH48" si="24">1000*DX17*AU17*(DT17-DU17)/(100*DL17*(1000-AU17*DT17))</f>
        <v>1.2151850605082544</v>
      </c>
      <c r="AI17">
        <f t="shared" ref="AI17:AI48" si="25">(AJ17 - AK17 - DY17*1000/(8.314*(EA17+273.15)) * AM17/DX17 * AL17) * DX17/(100*DL17) * (1000 - DU17)/1000</f>
        <v>6.4981759860868653</v>
      </c>
      <c r="AJ17">
        <v>423.92756279047632</v>
      </c>
      <c r="AK17">
        <v>416.12961212121189</v>
      </c>
      <c r="AL17">
        <v>-1.498694372300965E-2</v>
      </c>
      <c r="AM17">
        <v>64.84</v>
      </c>
      <c r="AN17">
        <f t="shared" ref="AN17:AN48" si="26">(AP17 - AO17 + DY17*1000/(8.314*(EA17+273.15)) * AR17/DX17 * AQ17) * DX17/(100*DL17) * 1000/(1000 - AP17)</f>
        <v>1.2120935925440992</v>
      </c>
      <c r="AO17">
        <v>9.3379088552419827</v>
      </c>
      <c r="AP17">
        <v>10.77743566433567</v>
      </c>
      <c r="AQ17">
        <v>-9.8718284652253563E-5</v>
      </c>
      <c r="AR17">
        <v>96.213721469384424</v>
      </c>
      <c r="AS17">
        <v>0</v>
      </c>
      <c r="AT17">
        <v>0</v>
      </c>
      <c r="AU17">
        <f t="shared" ref="AU17:AU48" si="27">IF(AS17*$H$13&gt;=AW17,1,(AW17/(AW17-AS17*$H$13)))</f>
        <v>1</v>
      </c>
      <c r="AV17">
        <f t="shared" ref="AV17:AV48" si="28">(AU17-1)*100</f>
        <v>0</v>
      </c>
      <c r="AW17">
        <f t="shared" ref="AW17:AW48" si="29">MAX(0,($B$13+$C$13*EF17)/(1+$D$13*EF17)*DY17/(EA17+273)*$E$13)</f>
        <v>49781.9414520672</v>
      </c>
      <c r="AX17" t="s">
        <v>437</v>
      </c>
      <c r="AY17">
        <v>5023.29</v>
      </c>
      <c r="AZ17">
        <v>678.98399999999992</v>
      </c>
      <c r="BA17">
        <v>1598.7134001116131</v>
      </c>
      <c r="BB17">
        <f t="shared" ref="BB17:BB48" si="30">1-AZ17/BA17</f>
        <v>0.57529348290156501</v>
      </c>
      <c r="BC17">
        <v>-0.67640696176369675</v>
      </c>
      <c r="BD17" t="s">
        <v>438</v>
      </c>
      <c r="BE17">
        <v>5052.32</v>
      </c>
      <c r="BF17">
        <v>1570.1912</v>
      </c>
      <c r="BG17">
        <v>1658.3091354217879</v>
      </c>
      <c r="BH17">
        <f t="shared" ref="BH17:BH48" si="31">1-BF17/BG17</f>
        <v>5.3137218833070765E-2</v>
      </c>
      <c r="BI17">
        <v>0.5</v>
      </c>
      <c r="BJ17">
        <f>DI17</f>
        <v>2540.5353753587519</v>
      </c>
      <c r="BK17">
        <f t="shared" ref="BK17:BK48" si="32">L17</f>
        <v>6.4981759860868653</v>
      </c>
      <c r="BL17">
        <f>BH17*BI17*BJ17</f>
        <v>67.49849209679779</v>
      </c>
      <c r="BM17">
        <f t="shared" ref="BM17:BM48" si="33">(BK17-BC17)/BJ17</f>
        <v>2.8240437104078624E-3</v>
      </c>
      <c r="BN17">
        <f t="shared" ref="BN17:BN48" si="34">(BA17-BG17)/BG17</f>
        <v>-3.5937651211827154E-2</v>
      </c>
      <c r="BO17">
        <f t="shared" ref="BO17:BO48" si="35">AZ17/(BB17+AZ17/BG17)</f>
        <v>689.50792825975236</v>
      </c>
      <c r="BP17" t="s">
        <v>439</v>
      </c>
      <c r="BQ17">
        <v>805.53</v>
      </c>
      <c r="BR17">
        <f t="shared" ref="BR17:BR48" si="36">IF(BQ17&lt;&gt;0, BQ17, BO17)</f>
        <v>805.53</v>
      </c>
      <c r="BS17">
        <f t="shared" ref="BS17:BS48" si="37">1-BR17/BG17</f>
        <v>0.51424617835496944</v>
      </c>
      <c r="BT17">
        <f t="shared" ref="BT17:BT48" si="38">(BG17-BF17)/(BG17-BR17)</f>
        <v>0.10333031351453557</v>
      </c>
      <c r="BU17">
        <f t="shared" ref="BU17:BU48" si="39">(BA17-BG17)/(BA17-BR17)</f>
        <v>-7.5134874610069777E-2</v>
      </c>
      <c r="BV17">
        <f t="shared" ref="BV17:BV48" si="40">(BG17-BF17)/(BG17-AZ17)</f>
        <v>8.9978222997244117E-2</v>
      </c>
      <c r="BW17">
        <f t="shared" ref="BW17:BW48" si="41">(BA17-BG17)/(BA17-AZ17)</f>
        <v>-6.4797031934547986E-2</v>
      </c>
      <c r="BX17">
        <f t="shared" ref="BX17:BX48" si="42">(BT17*BR17/BF17)</f>
        <v>5.3009892964222351E-2</v>
      </c>
      <c r="BY17">
        <f t="shared" ref="BY17:BY48" si="43">(1-BX17)</f>
        <v>0.94699010703577768</v>
      </c>
      <c r="BZ17">
        <v>367</v>
      </c>
      <c r="CA17">
        <v>290.00000000000011</v>
      </c>
      <c r="CB17">
        <v>1616.37</v>
      </c>
      <c r="CC17">
        <v>175</v>
      </c>
      <c r="CD17">
        <v>5052.32</v>
      </c>
      <c r="CE17">
        <v>1615.01</v>
      </c>
      <c r="CF17">
        <v>1.36</v>
      </c>
      <c r="CG17">
        <v>300.00000000000011</v>
      </c>
      <c r="CH17">
        <v>23.9</v>
      </c>
      <c r="CI17">
        <v>1658.3091354217879</v>
      </c>
      <c r="CJ17">
        <v>2.7496716521630788</v>
      </c>
      <c r="CK17">
        <v>-21.876989136463688</v>
      </c>
      <c r="CL17">
        <v>1.280080816985145</v>
      </c>
      <c r="CM17">
        <v>0.91252159450911985</v>
      </c>
      <c r="CN17">
        <v>-2.5270525027808631E-3</v>
      </c>
      <c r="CO17">
        <v>289.99999999999989</v>
      </c>
      <c r="CP17">
        <v>1613.4</v>
      </c>
      <c r="CQ17">
        <v>645</v>
      </c>
      <c r="CR17">
        <v>5051.76</v>
      </c>
      <c r="CS17">
        <v>1615</v>
      </c>
      <c r="CT17">
        <v>-1.6</v>
      </c>
      <c r="DH17">
        <f t="shared" ref="DH17:DH48" si="44">$B$11*EG17+$C$11*EH17+$F$11*ES17*(1-EV17)</f>
        <v>3097.0838709677419</v>
      </c>
      <c r="DI17">
        <f t="shared" ref="DI17:DI48" si="45">DH17*DJ17</f>
        <v>2540.5353753587519</v>
      </c>
      <c r="DJ17">
        <f t="shared" ref="DJ17:DJ48" si="46">($B$11*$D$9+$C$11*$D$9+$F$11*((FF17+EX17)/MAX(FF17+EX17+FG17, 0.1)*$I$9+FG17/MAX(FF17+EX17+FG17, 0.1)*$J$9))/($B$11+$C$11+$F$11)</f>
        <v>0.82029918504109289</v>
      </c>
      <c r="DK17">
        <f t="shared" ref="DK17:DK48" si="47">($B$11*$K$9+$C$11*$K$9+$F$11*((FF17+EX17)/MAX(FF17+EX17+FG17, 0.1)*$P$9+FG17/MAX(FF17+EX17+FG17, 0.1)*$Q$9))/($B$11+$C$11+$F$11)</f>
        <v>0.17592742712930931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1761677442</v>
      </c>
      <c r="DR17">
        <v>411.6783225806451</v>
      </c>
      <c r="DS17">
        <v>420.00861290322592</v>
      </c>
      <c r="DT17">
        <v>10.7899064516129</v>
      </c>
      <c r="DU17">
        <v>9.3474445161290323</v>
      </c>
      <c r="DV17">
        <v>410.85583870967741</v>
      </c>
      <c r="DW17">
        <v>10.70735161290323</v>
      </c>
      <c r="DX17">
        <v>500.00903225806462</v>
      </c>
      <c r="DY17">
        <v>90.997212903225815</v>
      </c>
      <c r="DZ17">
        <v>2.370687096774194E-2</v>
      </c>
      <c r="EA17">
        <v>17.06366451612903</v>
      </c>
      <c r="EB17">
        <v>17.965348387096778</v>
      </c>
      <c r="EC17">
        <v>999.90000000000032</v>
      </c>
      <c r="ED17">
        <v>0</v>
      </c>
      <c r="EE17">
        <v>0</v>
      </c>
      <c r="EF17">
        <v>10003.54419354839</v>
      </c>
      <c r="EG17">
        <v>0</v>
      </c>
      <c r="EH17">
        <v>1097.054516129032</v>
      </c>
      <c r="EI17">
        <v>-8.3304529032258063</v>
      </c>
      <c r="EJ17">
        <v>416.16861290322578</v>
      </c>
      <c r="EK17">
        <v>423.97177419354819</v>
      </c>
      <c r="EL17">
        <v>1.4424664516129031</v>
      </c>
      <c r="EM17">
        <v>420.00861290322592</v>
      </c>
      <c r="EN17">
        <v>9.3474445161290323</v>
      </c>
      <c r="EO17">
        <v>0.98185183870967729</v>
      </c>
      <c r="EP17">
        <v>0.85059135483870973</v>
      </c>
      <c r="EQ17">
        <v>6.6498196774193561</v>
      </c>
      <c r="ER17">
        <v>4.5808196774193544</v>
      </c>
      <c r="ES17">
        <v>2000.0293548387101</v>
      </c>
      <c r="ET17">
        <v>0.98000596774193549</v>
      </c>
      <c r="EU17">
        <v>1.9994041935483878E-2</v>
      </c>
      <c r="EV17">
        <v>0</v>
      </c>
      <c r="EW17">
        <v>1570.3003225806449</v>
      </c>
      <c r="EX17">
        <v>5.0005600000000019</v>
      </c>
      <c r="EY17">
        <v>31233.47741935484</v>
      </c>
      <c r="EZ17">
        <v>17295.170967741939</v>
      </c>
      <c r="FA17">
        <v>37.98967741935482</v>
      </c>
      <c r="FB17">
        <v>38.49783870967741</v>
      </c>
      <c r="FC17">
        <v>37.672999999999988</v>
      </c>
      <c r="FD17">
        <v>37.003806451612903</v>
      </c>
      <c r="FE17">
        <v>37.751774193548371</v>
      </c>
      <c r="FF17">
        <v>1955.137419354839</v>
      </c>
      <c r="FG17">
        <v>39.891935483870988</v>
      </c>
      <c r="FH17">
        <v>0</v>
      </c>
      <c r="FI17">
        <v>1761677489.8</v>
      </c>
      <c r="FJ17">
        <v>0</v>
      </c>
      <c r="FK17">
        <v>1570.1912</v>
      </c>
      <c r="FL17">
        <v>-8.1461538506339899</v>
      </c>
      <c r="FM17">
        <v>-203.78461565660751</v>
      </c>
      <c r="FN17">
        <v>31230.76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-8.3123063414634135</v>
      </c>
      <c r="GD17">
        <v>-0.22309087108014211</v>
      </c>
      <c r="GE17">
        <v>4.9492657832228351E-2</v>
      </c>
      <c r="GF17">
        <v>1</v>
      </c>
      <c r="GG17">
        <v>1570.649411764706</v>
      </c>
      <c r="GH17">
        <v>-8.5246753231527563</v>
      </c>
      <c r="GI17">
        <v>0.87034118116192238</v>
      </c>
      <c r="GJ17">
        <v>0</v>
      </c>
      <c r="GK17">
        <v>1.4321839024390239</v>
      </c>
      <c r="GL17">
        <v>0.212339163763064</v>
      </c>
      <c r="GM17">
        <v>2.2712044497551841E-2</v>
      </c>
      <c r="GN17">
        <v>0</v>
      </c>
      <c r="GO17">
        <v>1</v>
      </c>
      <c r="GP17">
        <v>3</v>
      </c>
      <c r="GQ17" t="s">
        <v>442</v>
      </c>
      <c r="GR17">
        <v>3.13219</v>
      </c>
      <c r="GS17">
        <v>2.7015600000000002</v>
      </c>
      <c r="GT17">
        <v>8.5702500000000001E-2</v>
      </c>
      <c r="GU17">
        <v>8.7610499999999994E-2</v>
      </c>
      <c r="GV17">
        <v>6.0977099999999999E-2</v>
      </c>
      <c r="GW17">
        <v>5.5092299999999997E-2</v>
      </c>
      <c r="GX17">
        <v>27743.5</v>
      </c>
      <c r="GY17">
        <v>26737.8</v>
      </c>
      <c r="GZ17">
        <v>30869.5</v>
      </c>
      <c r="HA17">
        <v>29539.5</v>
      </c>
      <c r="HB17">
        <v>39965.9</v>
      </c>
      <c r="HC17">
        <v>36743.599999999999</v>
      </c>
      <c r="HD17">
        <v>47159.1</v>
      </c>
      <c r="HE17">
        <v>43901.7</v>
      </c>
      <c r="HF17">
        <v>1.8836299999999999</v>
      </c>
      <c r="HG17">
        <v>1.9106000000000001</v>
      </c>
      <c r="HH17">
        <v>8.2440700000000006E-2</v>
      </c>
      <c r="HI17">
        <v>0</v>
      </c>
      <c r="HJ17">
        <v>16.605599999999999</v>
      </c>
      <c r="HK17">
        <v>999.9</v>
      </c>
      <c r="HL17">
        <v>39.1</v>
      </c>
      <c r="HM17">
        <v>28.7</v>
      </c>
      <c r="HN17">
        <v>16.983499999999999</v>
      </c>
      <c r="HO17">
        <v>63.908000000000001</v>
      </c>
      <c r="HP17">
        <v>19.583300000000001</v>
      </c>
      <c r="HQ17">
        <v>1</v>
      </c>
      <c r="HR17">
        <v>-0.18845300000000001</v>
      </c>
      <c r="HS17">
        <v>4.5107900000000001</v>
      </c>
      <c r="HT17">
        <v>20.1495</v>
      </c>
      <c r="HU17">
        <v>5.2355600000000004</v>
      </c>
      <c r="HV17">
        <v>11.974</v>
      </c>
      <c r="HW17">
        <v>4.9725999999999999</v>
      </c>
      <c r="HX17">
        <v>3.2909999999999999</v>
      </c>
      <c r="HY17">
        <v>9999</v>
      </c>
      <c r="HZ17">
        <v>9999</v>
      </c>
      <c r="IA17">
        <v>9999</v>
      </c>
      <c r="IB17">
        <v>999.9</v>
      </c>
      <c r="IC17">
        <v>4.9729000000000001</v>
      </c>
      <c r="ID17">
        <v>1.87714</v>
      </c>
      <c r="IE17">
        <v>1.87517</v>
      </c>
      <c r="IF17">
        <v>1.87805</v>
      </c>
      <c r="IG17">
        <v>1.87477</v>
      </c>
      <c r="IH17">
        <v>1.87836</v>
      </c>
      <c r="II17">
        <v>1.8754599999999999</v>
      </c>
      <c r="IJ17">
        <v>1.8766499999999999</v>
      </c>
      <c r="IK17">
        <v>0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0.82199999999999995</v>
      </c>
      <c r="IY17">
        <v>8.2400000000000001E-2</v>
      </c>
      <c r="IZ17">
        <v>6.1933660764125778E-2</v>
      </c>
      <c r="JA17">
        <v>2.058711587971173E-3</v>
      </c>
      <c r="JB17">
        <v>-6.1309262243104059E-7</v>
      </c>
      <c r="JC17">
        <v>2.6183910446277612E-10</v>
      </c>
      <c r="JD17">
        <v>3.5078820932035488E-4</v>
      </c>
      <c r="JE17">
        <v>-4.3284922736758413E-3</v>
      </c>
      <c r="JF17">
        <v>1.4186339569364E-3</v>
      </c>
      <c r="JG17">
        <v>-2.7770646863349432E-5</v>
      </c>
      <c r="JH17">
        <v>2</v>
      </c>
      <c r="JI17">
        <v>2136</v>
      </c>
      <c r="JJ17">
        <v>1</v>
      </c>
      <c r="JK17">
        <v>19</v>
      </c>
      <c r="JL17">
        <v>29361290.800000001</v>
      </c>
      <c r="JM17">
        <v>29361290.800000001</v>
      </c>
      <c r="JN17">
        <v>1.09619</v>
      </c>
      <c r="JO17">
        <v>2.5280800000000001</v>
      </c>
      <c r="JP17">
        <v>1.39893</v>
      </c>
      <c r="JQ17">
        <v>2.3290999999999999</v>
      </c>
      <c r="JR17">
        <v>1.4489700000000001</v>
      </c>
      <c r="JS17">
        <v>2.5756800000000002</v>
      </c>
      <c r="JT17">
        <v>34.967399999999998</v>
      </c>
      <c r="JU17">
        <v>23.8248</v>
      </c>
      <c r="JV17">
        <v>18</v>
      </c>
      <c r="JW17">
        <v>479.49700000000001</v>
      </c>
      <c r="JX17">
        <v>465.40499999999997</v>
      </c>
      <c r="JY17">
        <v>11.581899999999999</v>
      </c>
      <c r="JZ17">
        <v>24.609500000000001</v>
      </c>
      <c r="KA17">
        <v>29.9999</v>
      </c>
      <c r="KB17">
        <v>24.175999999999998</v>
      </c>
      <c r="KC17">
        <v>24.219100000000001</v>
      </c>
      <c r="KD17">
        <v>21.978200000000001</v>
      </c>
      <c r="KE17">
        <v>42.259599999999999</v>
      </c>
      <c r="KF17">
        <v>50.797499999999999</v>
      </c>
      <c r="KG17">
        <v>11.569800000000001</v>
      </c>
      <c r="KH17">
        <v>420</v>
      </c>
      <c r="KI17">
        <v>9.3863099999999999</v>
      </c>
      <c r="KJ17">
        <v>101.96899999999999</v>
      </c>
      <c r="KK17">
        <v>100.974</v>
      </c>
    </row>
    <row r="18" spans="1:297" x14ac:dyDescent="0.3">
      <c r="A18">
        <v>2</v>
      </c>
      <c r="B18">
        <v>1761677579.5</v>
      </c>
      <c r="C18">
        <v>129.5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1761677571.75</v>
      </c>
      <c r="J18">
        <f t="shared" si="0"/>
        <v>7.9743221191631397E-4</v>
      </c>
      <c r="K18">
        <f t="shared" si="1"/>
        <v>0.79743221191631397</v>
      </c>
      <c r="L18">
        <f t="shared" si="2"/>
        <v>4.1316659593884255</v>
      </c>
      <c r="M18">
        <f t="shared" si="3"/>
        <v>414.46399999999988</v>
      </c>
      <c r="N18">
        <f t="shared" si="4"/>
        <v>291.4299821078564</v>
      </c>
      <c r="O18">
        <f t="shared" si="5"/>
        <v>26.526524223402898</v>
      </c>
      <c r="P18">
        <f t="shared" si="6"/>
        <v>37.7253200106897</v>
      </c>
      <c r="Q18">
        <f t="shared" si="7"/>
        <v>5.7961571259516155E-2</v>
      </c>
      <c r="R18">
        <f t="shared" si="8"/>
        <v>2.7688431112312717</v>
      </c>
      <c r="S18">
        <f t="shared" si="9"/>
        <v>5.7295850728488348E-2</v>
      </c>
      <c r="T18">
        <f t="shared" si="10"/>
        <v>3.5869081858502613E-2</v>
      </c>
      <c r="U18">
        <f t="shared" si="11"/>
        <v>227.5050534160587</v>
      </c>
      <c r="V18">
        <f t="shared" si="12"/>
        <v>19.64863339471691</v>
      </c>
      <c r="W18">
        <f t="shared" si="13"/>
        <v>19.64863339471691</v>
      </c>
      <c r="X18">
        <f t="shared" si="14"/>
        <v>2.2960383156756512</v>
      </c>
      <c r="Y18">
        <f t="shared" si="15"/>
        <v>49.411521096640918</v>
      </c>
      <c r="Z18">
        <f t="shared" si="16"/>
        <v>1.0525152869341488</v>
      </c>
      <c r="AA18">
        <f t="shared" si="17"/>
        <v>2.1301009634485846</v>
      </c>
      <c r="AB18">
        <f t="shared" si="18"/>
        <v>1.2435230287415024</v>
      </c>
      <c r="AC18">
        <f t="shared" si="19"/>
        <v>-35.166760545509447</v>
      </c>
      <c r="AD18">
        <f t="shared" si="20"/>
        <v>-179.50979888579309</v>
      </c>
      <c r="AE18">
        <f t="shared" si="21"/>
        <v>-12.908111261543235</v>
      </c>
      <c r="AF18">
        <f t="shared" si="22"/>
        <v>-7.9617276787075753E-2</v>
      </c>
      <c r="AG18">
        <f t="shared" si="23"/>
        <v>4.2401133887141862</v>
      </c>
      <c r="AH18">
        <f t="shared" si="24"/>
        <v>0.81751769940786778</v>
      </c>
      <c r="AI18">
        <f t="shared" si="25"/>
        <v>4.1316659593884255</v>
      </c>
      <c r="AJ18">
        <v>424.52294779047628</v>
      </c>
      <c r="AK18">
        <v>419.41364848484841</v>
      </c>
      <c r="AL18">
        <v>2.0253852813877291E-2</v>
      </c>
      <c r="AM18">
        <v>64.84</v>
      </c>
      <c r="AN18">
        <f t="shared" si="26"/>
        <v>0.79743221191631397</v>
      </c>
      <c r="AO18">
        <v>10.64125053164763</v>
      </c>
      <c r="AP18">
        <v>11.58539650349651</v>
      </c>
      <c r="AQ18">
        <v>2.2394943606899139E-4</v>
      </c>
      <c r="AR18">
        <v>96.213721469384424</v>
      </c>
      <c r="AS18">
        <v>1</v>
      </c>
      <c r="AT18">
        <v>0</v>
      </c>
      <c r="AU18">
        <f t="shared" si="27"/>
        <v>1</v>
      </c>
      <c r="AV18">
        <f t="shared" si="28"/>
        <v>0</v>
      </c>
      <c r="AW18">
        <f t="shared" si="29"/>
        <v>49586.879751504181</v>
      </c>
      <c r="AX18" t="s">
        <v>437</v>
      </c>
      <c r="AY18">
        <v>5023.29</v>
      </c>
      <c r="AZ18">
        <v>678.98399999999992</v>
      </c>
      <c r="BA18">
        <v>1598.7134001116131</v>
      </c>
      <c r="BB18">
        <f t="shared" si="30"/>
        <v>0.57529348290156501</v>
      </c>
      <c r="BC18">
        <v>-0.67640696176369675</v>
      </c>
      <c r="BD18" t="s">
        <v>448</v>
      </c>
      <c r="BE18">
        <v>5034.13</v>
      </c>
      <c r="BF18">
        <v>994.58119999999997</v>
      </c>
      <c r="BG18">
        <v>1683.7600935979569</v>
      </c>
      <c r="BH18">
        <f t="shared" si="31"/>
        <v>0.4093094356009348</v>
      </c>
      <c r="BI18">
        <v>0.5</v>
      </c>
      <c r="BJ18">
        <f t="shared" ref="BJ17:BJ48" si="48">DI18</f>
        <v>1048.9600730135019</v>
      </c>
      <c r="BK18">
        <f t="shared" si="32"/>
        <v>4.1316659593884255</v>
      </c>
      <c r="BL18">
        <f t="shared" ref="BL17:BL48" si="49">BH18*BI18*BJ18</f>
        <v>214.6746277265359</v>
      </c>
      <c r="BM18">
        <f t="shared" si="33"/>
        <v>4.583656751909789E-3</v>
      </c>
      <c r="BN18">
        <f t="shared" si="34"/>
        <v>-5.0509982870903622E-2</v>
      </c>
      <c r="BO18">
        <f t="shared" si="35"/>
        <v>693.86881760514325</v>
      </c>
      <c r="BP18" t="s">
        <v>449</v>
      </c>
      <c r="BQ18">
        <v>748.8</v>
      </c>
      <c r="BR18">
        <f t="shared" si="36"/>
        <v>748.8</v>
      </c>
      <c r="BS18">
        <f t="shared" si="37"/>
        <v>0.55528106239890729</v>
      </c>
      <c r="BT18">
        <f t="shared" si="38"/>
        <v>0.73712118658008885</v>
      </c>
      <c r="BU18">
        <f t="shared" si="39"/>
        <v>-0.10006512837093204</v>
      </c>
      <c r="BV18">
        <f t="shared" si="40"/>
        <v>0.68590295687679792</v>
      </c>
      <c r="BW18">
        <f t="shared" si="41"/>
        <v>-9.2469256148627083E-2</v>
      </c>
      <c r="BX18">
        <f t="shared" si="42"/>
        <v>0.55496358116478628</v>
      </c>
      <c r="BY18">
        <f t="shared" si="43"/>
        <v>0.44503641883521372</v>
      </c>
      <c r="BZ18">
        <v>369</v>
      </c>
      <c r="CA18">
        <v>290.00000000000011</v>
      </c>
      <c r="CB18">
        <v>1641.1</v>
      </c>
      <c r="CC18">
        <v>255</v>
      </c>
      <c r="CD18">
        <v>5034.13</v>
      </c>
      <c r="CE18">
        <v>1641.3</v>
      </c>
      <c r="CF18">
        <v>-0.2</v>
      </c>
      <c r="CG18">
        <v>300.00000000000011</v>
      </c>
      <c r="CH18">
        <v>23.9</v>
      </c>
      <c r="CI18">
        <v>1683.7600935979569</v>
      </c>
      <c r="CJ18">
        <v>1.586522823923276</v>
      </c>
      <c r="CK18">
        <v>-21.3747459366169</v>
      </c>
      <c r="CL18">
        <v>0.69593437045251016</v>
      </c>
      <c r="CM18">
        <v>0.97117365546151257</v>
      </c>
      <c r="CN18">
        <v>-4.0213844271412653E-3</v>
      </c>
      <c r="CO18">
        <v>289.99999999999989</v>
      </c>
      <c r="CP18">
        <v>1639.02</v>
      </c>
      <c r="CQ18">
        <v>615</v>
      </c>
      <c r="CR18">
        <v>5034.32</v>
      </c>
      <c r="CS18">
        <v>1641.3</v>
      </c>
      <c r="CT18">
        <v>-2.2799999999999998</v>
      </c>
      <c r="DH18">
        <f t="shared" si="44"/>
        <v>1276.95</v>
      </c>
      <c r="DI18">
        <f t="shared" si="45"/>
        <v>1048.9600730135019</v>
      </c>
      <c r="DJ18">
        <f t="shared" si="46"/>
        <v>0.82145743608872857</v>
      </c>
      <c r="DK18">
        <f t="shared" si="47"/>
        <v>0.1781628516512461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1761677571.75</v>
      </c>
      <c r="DR18">
        <v>414.46399999999988</v>
      </c>
      <c r="DS18">
        <v>419.95833333333331</v>
      </c>
      <c r="DT18">
        <v>11.56331333333333</v>
      </c>
      <c r="DU18">
        <v>10.593706666666669</v>
      </c>
      <c r="DV18">
        <v>413.63679999999988</v>
      </c>
      <c r="DW18">
        <v>11.46792333333334</v>
      </c>
      <c r="DX18">
        <v>500.03646666666668</v>
      </c>
      <c r="DY18">
        <v>90.997600000000006</v>
      </c>
      <c r="DZ18">
        <v>2.4346443333333339E-2</v>
      </c>
      <c r="EA18">
        <v>18.446079999999998</v>
      </c>
      <c r="EB18">
        <v>18.080880000000001</v>
      </c>
      <c r="EC18">
        <v>999.9000000000002</v>
      </c>
      <c r="ED18">
        <v>0</v>
      </c>
      <c r="EE18">
        <v>0</v>
      </c>
      <c r="EF18">
        <v>10012.147000000001</v>
      </c>
      <c r="EG18">
        <v>0</v>
      </c>
      <c r="EH18">
        <v>1096.94</v>
      </c>
      <c r="EI18">
        <v>-5.4943400000000002</v>
      </c>
      <c r="EJ18">
        <v>419.31263333333322</v>
      </c>
      <c r="EK18">
        <v>424.45483333333328</v>
      </c>
      <c r="EL18">
        <v>0.96961629999999999</v>
      </c>
      <c r="EM18">
        <v>419.95833333333331</v>
      </c>
      <c r="EN18">
        <v>10.593706666666669</v>
      </c>
      <c r="EO18">
        <v>1.052235</v>
      </c>
      <c r="EP18">
        <v>0.96400180000000013</v>
      </c>
      <c r="EQ18">
        <v>7.6604406666666671</v>
      </c>
      <c r="ER18">
        <v>6.3832629999999986</v>
      </c>
      <c r="ES18">
        <v>180.01</v>
      </c>
      <c r="ET18">
        <v>0.90004566666666674</v>
      </c>
      <c r="EU18">
        <v>9.9954000000000001E-2</v>
      </c>
      <c r="EV18">
        <v>0</v>
      </c>
      <c r="EW18">
        <v>994.44910000000004</v>
      </c>
      <c r="EX18">
        <v>5.0005600000000019</v>
      </c>
      <c r="EY18">
        <v>1838.1396666666669</v>
      </c>
      <c r="EZ18">
        <v>1478.6516666666671</v>
      </c>
      <c r="FA18">
        <v>35.1477</v>
      </c>
      <c r="FB18">
        <v>39.324766666666662</v>
      </c>
      <c r="FC18">
        <v>37.443433333333331</v>
      </c>
      <c r="FD18">
        <v>37.993566666666659</v>
      </c>
      <c r="FE18">
        <v>37.210099999999997</v>
      </c>
      <c r="FF18">
        <v>157.5173333333334</v>
      </c>
      <c r="FG18">
        <v>17.489999999999998</v>
      </c>
      <c r="FH18">
        <v>0</v>
      </c>
      <c r="FI18">
        <v>127.2000000476837</v>
      </c>
      <c r="FJ18">
        <v>0</v>
      </c>
      <c r="FK18">
        <v>994.58119999999997</v>
      </c>
      <c r="FL18">
        <v>22.277230756008311</v>
      </c>
      <c r="FM18">
        <v>33.907692266426757</v>
      </c>
      <c r="FN18">
        <v>1838.2755999999999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-5.5085822499999999</v>
      </c>
      <c r="GD18">
        <v>0.3123326454033884</v>
      </c>
      <c r="GE18">
        <v>3.9264643350443072E-2</v>
      </c>
      <c r="GF18">
        <v>1</v>
      </c>
      <c r="GG18">
        <v>993.43585294117634</v>
      </c>
      <c r="GH18">
        <v>21.046035145280399</v>
      </c>
      <c r="GI18">
        <v>2.084798454532427</v>
      </c>
      <c r="GJ18">
        <v>0</v>
      </c>
      <c r="GK18">
        <v>0.97833399999999993</v>
      </c>
      <c r="GL18">
        <v>-0.30985933958724171</v>
      </c>
      <c r="GM18">
        <v>3.5258555821247137E-2</v>
      </c>
      <c r="GN18">
        <v>0</v>
      </c>
      <c r="GO18">
        <v>1</v>
      </c>
      <c r="GP18">
        <v>3</v>
      </c>
      <c r="GQ18" t="s">
        <v>442</v>
      </c>
      <c r="GR18">
        <v>3.1321300000000001</v>
      </c>
      <c r="GS18">
        <v>2.7017500000000001</v>
      </c>
      <c r="GT18">
        <v>8.6170999999999998E-2</v>
      </c>
      <c r="GU18">
        <v>8.76059E-2</v>
      </c>
      <c r="GV18">
        <v>6.43928E-2</v>
      </c>
      <c r="GW18">
        <v>6.1016399999999998E-2</v>
      </c>
      <c r="GX18">
        <v>27734.5</v>
      </c>
      <c r="GY18">
        <v>26741</v>
      </c>
      <c r="GZ18">
        <v>30874.6</v>
      </c>
      <c r="HA18">
        <v>29542.3</v>
      </c>
      <c r="HB18">
        <v>39825.1</v>
      </c>
      <c r="HC18">
        <v>36515</v>
      </c>
      <c r="HD18">
        <v>47166.400000000001</v>
      </c>
      <c r="HE18">
        <v>43906.8</v>
      </c>
      <c r="HF18">
        <v>1.88385</v>
      </c>
      <c r="HG18">
        <v>1.9145000000000001</v>
      </c>
      <c r="HH18">
        <v>3.6846799999999999E-2</v>
      </c>
      <c r="HI18">
        <v>0</v>
      </c>
      <c r="HJ18">
        <v>17.294</v>
      </c>
      <c r="HK18">
        <v>999.9</v>
      </c>
      <c r="HL18">
        <v>37.6</v>
      </c>
      <c r="HM18">
        <v>28.8</v>
      </c>
      <c r="HN18">
        <v>16.426100000000002</v>
      </c>
      <c r="HO18">
        <v>63.938000000000002</v>
      </c>
      <c r="HP18">
        <v>19.4511</v>
      </c>
      <c r="HQ18">
        <v>1</v>
      </c>
      <c r="HR18">
        <v>-0.19389000000000001</v>
      </c>
      <c r="HS18">
        <v>3.0091100000000002</v>
      </c>
      <c r="HT18">
        <v>20.1937</v>
      </c>
      <c r="HU18">
        <v>5.2388500000000002</v>
      </c>
      <c r="HV18">
        <v>11.9778</v>
      </c>
      <c r="HW18">
        <v>4.9730499999999997</v>
      </c>
      <c r="HX18">
        <v>3.2908499999999998</v>
      </c>
      <c r="HY18">
        <v>9999</v>
      </c>
      <c r="HZ18">
        <v>9999</v>
      </c>
      <c r="IA18">
        <v>9999</v>
      </c>
      <c r="IB18">
        <v>999.9</v>
      </c>
      <c r="IC18">
        <v>4.9729099999999997</v>
      </c>
      <c r="ID18">
        <v>1.8771899999999999</v>
      </c>
      <c r="IE18">
        <v>1.8753</v>
      </c>
      <c r="IF18">
        <v>1.8780600000000001</v>
      </c>
      <c r="IG18">
        <v>1.8748499999999999</v>
      </c>
      <c r="IH18">
        <v>1.87842</v>
      </c>
      <c r="II18">
        <v>1.8755500000000001</v>
      </c>
      <c r="IJ18">
        <v>1.8766799999999999</v>
      </c>
      <c r="IK18">
        <v>0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0.82699999999999996</v>
      </c>
      <c r="IY18">
        <v>9.5899999999999999E-2</v>
      </c>
      <c r="IZ18">
        <v>6.1933660764125778E-2</v>
      </c>
      <c r="JA18">
        <v>2.058711587971173E-3</v>
      </c>
      <c r="JB18">
        <v>-6.1309262243104059E-7</v>
      </c>
      <c r="JC18">
        <v>2.6183910446277612E-10</v>
      </c>
      <c r="JD18">
        <v>3.5078820932035488E-4</v>
      </c>
      <c r="JE18">
        <v>-4.3284922736758413E-3</v>
      </c>
      <c r="JF18">
        <v>1.4186339569364E-3</v>
      </c>
      <c r="JG18">
        <v>-2.7770646863349432E-5</v>
      </c>
      <c r="JH18">
        <v>2</v>
      </c>
      <c r="JI18">
        <v>2136</v>
      </c>
      <c r="JJ18">
        <v>1</v>
      </c>
      <c r="JK18">
        <v>19</v>
      </c>
      <c r="JL18">
        <v>29361293</v>
      </c>
      <c r="JM18">
        <v>29361293</v>
      </c>
      <c r="JN18">
        <v>1.09741</v>
      </c>
      <c r="JO18">
        <v>2.5293000000000001</v>
      </c>
      <c r="JP18">
        <v>1.39893</v>
      </c>
      <c r="JQ18">
        <v>2.3278799999999999</v>
      </c>
      <c r="JR18">
        <v>1.4489700000000001</v>
      </c>
      <c r="JS18">
        <v>2.5598100000000001</v>
      </c>
      <c r="JT18">
        <v>34.990400000000001</v>
      </c>
      <c r="JU18">
        <v>23.921099999999999</v>
      </c>
      <c r="JV18">
        <v>18</v>
      </c>
      <c r="JW18">
        <v>479.39499999999998</v>
      </c>
      <c r="JX18">
        <v>467.77199999999999</v>
      </c>
      <c r="JY18">
        <v>14.212199999999999</v>
      </c>
      <c r="JZ18">
        <v>24.465599999999998</v>
      </c>
      <c r="KA18">
        <v>29.988600000000002</v>
      </c>
      <c r="KB18">
        <v>24.144500000000001</v>
      </c>
      <c r="KC18">
        <v>24.206900000000001</v>
      </c>
      <c r="KD18">
        <v>21.995699999999999</v>
      </c>
      <c r="KE18">
        <v>33.81</v>
      </c>
      <c r="KF18">
        <v>47.032699999999998</v>
      </c>
      <c r="KG18">
        <v>15.4336</v>
      </c>
      <c r="KH18">
        <v>420</v>
      </c>
      <c r="KI18">
        <v>10.611800000000001</v>
      </c>
      <c r="KJ18">
        <v>101.985</v>
      </c>
      <c r="KK18">
        <v>100.985</v>
      </c>
    </row>
    <row r="19" spans="1:297" x14ac:dyDescent="0.3">
      <c r="A19">
        <v>3</v>
      </c>
      <c r="B19">
        <v>1761677792.5</v>
      </c>
      <c r="C19">
        <v>342.5</v>
      </c>
      <c r="D19" t="s">
        <v>450</v>
      </c>
      <c r="E19" t="s">
        <v>451</v>
      </c>
      <c r="F19">
        <v>5</v>
      </c>
      <c r="G19" t="s">
        <v>435</v>
      </c>
      <c r="H19" t="s">
        <v>436</v>
      </c>
      <c r="I19">
        <v>1761677784.5</v>
      </c>
      <c r="J19">
        <f t="shared" si="0"/>
        <v>1.4106448564391169E-3</v>
      </c>
      <c r="K19">
        <f t="shared" si="1"/>
        <v>1.4106448564391167</v>
      </c>
      <c r="L19">
        <f t="shared" si="2"/>
        <v>6.8784584289925013</v>
      </c>
      <c r="M19">
        <f t="shared" si="3"/>
        <v>410.9651612903225</v>
      </c>
      <c r="N19">
        <f t="shared" si="4"/>
        <v>278.70012631737495</v>
      </c>
      <c r="O19">
        <f t="shared" si="5"/>
        <v>25.369254310618526</v>
      </c>
      <c r="P19">
        <f t="shared" si="6"/>
        <v>37.408952149902817</v>
      </c>
      <c r="Q19">
        <f t="shared" si="7"/>
        <v>9.0476124086993917E-2</v>
      </c>
      <c r="R19">
        <f t="shared" si="8"/>
        <v>2.7680447416167411</v>
      </c>
      <c r="S19">
        <f t="shared" si="9"/>
        <v>8.8864752878588971E-2</v>
      </c>
      <c r="T19">
        <f t="shared" si="10"/>
        <v>5.5682855456191144E-2</v>
      </c>
      <c r="U19">
        <f t="shared" si="11"/>
        <v>544.8026522505503</v>
      </c>
      <c r="V19">
        <f t="shared" si="12"/>
        <v>20.176415656374861</v>
      </c>
      <c r="W19">
        <f t="shared" si="13"/>
        <v>20.176415656374861</v>
      </c>
      <c r="X19">
        <f t="shared" si="14"/>
        <v>2.3723720010177964</v>
      </c>
      <c r="Y19">
        <f t="shared" si="15"/>
        <v>48.568657719039749</v>
      </c>
      <c r="Z19">
        <f t="shared" si="16"/>
        <v>0.95380242756527578</v>
      </c>
      <c r="AA19">
        <f t="shared" si="17"/>
        <v>1.963822910410326</v>
      </c>
      <c r="AB19">
        <f t="shared" si="18"/>
        <v>1.4185695734525208</v>
      </c>
      <c r="AC19">
        <f t="shared" si="19"/>
        <v>-62.20943816896505</v>
      </c>
      <c r="AD19">
        <f t="shared" si="20"/>
        <v>-450.79448946068777</v>
      </c>
      <c r="AE19">
        <f t="shared" si="21"/>
        <v>-32.298761065529668</v>
      </c>
      <c r="AF19">
        <f t="shared" si="22"/>
        <v>-0.50003644463220098</v>
      </c>
      <c r="AG19">
        <f t="shared" si="23"/>
        <v>6.8859298238998647</v>
      </c>
      <c r="AH19">
        <f t="shared" si="24"/>
        <v>1.4659479874157038</v>
      </c>
      <c r="AI19">
        <f t="shared" si="25"/>
        <v>6.8784584289925013</v>
      </c>
      <c r="AJ19">
        <v>423.69267106666689</v>
      </c>
      <c r="AK19">
        <v>415.36138787878798</v>
      </c>
      <c r="AL19">
        <v>1.1079896103920711E-3</v>
      </c>
      <c r="AM19">
        <v>64.84</v>
      </c>
      <c r="AN19">
        <f t="shared" si="26"/>
        <v>1.4106448564391167</v>
      </c>
      <c r="AO19">
        <v>8.8257354893598876</v>
      </c>
      <c r="AP19">
        <v>10.49412097902098</v>
      </c>
      <c r="AQ19">
        <v>8.8423351998612675E-4</v>
      </c>
      <c r="AR19">
        <v>96.213721469384424</v>
      </c>
      <c r="AS19">
        <v>0</v>
      </c>
      <c r="AT19">
        <v>0</v>
      </c>
      <c r="AU19">
        <f t="shared" si="27"/>
        <v>1</v>
      </c>
      <c r="AV19">
        <f t="shared" si="28"/>
        <v>0</v>
      </c>
      <c r="AW19">
        <f t="shared" si="29"/>
        <v>49785.024545143307</v>
      </c>
      <c r="AX19" t="s">
        <v>437</v>
      </c>
      <c r="AY19">
        <v>5023.29</v>
      </c>
      <c r="AZ19">
        <v>678.98399999999992</v>
      </c>
      <c r="BA19">
        <v>1598.7134001116131</v>
      </c>
      <c r="BB19">
        <f t="shared" si="30"/>
        <v>0.57529348290156501</v>
      </c>
      <c r="BC19">
        <v>-0.67640696176369675</v>
      </c>
      <c r="BD19" t="s">
        <v>452</v>
      </c>
      <c r="BE19">
        <v>5050.3100000000004</v>
      </c>
      <c r="BF19">
        <v>1544.175384615384</v>
      </c>
      <c r="BG19">
        <v>1627.121714299964</v>
      </c>
      <c r="BH19">
        <f t="shared" si="31"/>
        <v>5.0977335595491002E-2</v>
      </c>
      <c r="BI19">
        <v>0.5</v>
      </c>
      <c r="BJ19">
        <f t="shared" si="48"/>
        <v>2540.2574230698156</v>
      </c>
      <c r="BK19">
        <f t="shared" si="32"/>
        <v>6.8784584289925013</v>
      </c>
      <c r="BL19">
        <f t="shared" si="49"/>
        <v>64.747777577383573</v>
      </c>
      <c r="BM19">
        <f t="shared" si="33"/>
        <v>2.9740550395189469E-3</v>
      </c>
      <c r="BN19">
        <f t="shared" si="34"/>
        <v>-1.7459243484174762E-2</v>
      </c>
      <c r="BO19">
        <f t="shared" si="35"/>
        <v>684.05631484975424</v>
      </c>
      <c r="BP19" t="s">
        <v>453</v>
      </c>
      <c r="BQ19">
        <v>812.6</v>
      </c>
      <c r="BR19">
        <f t="shared" si="36"/>
        <v>812.6</v>
      </c>
      <c r="BS19">
        <f t="shared" si="37"/>
        <v>0.50059052567582218</v>
      </c>
      <c r="BT19">
        <f t="shared" si="38"/>
        <v>0.10183439953576646</v>
      </c>
      <c r="BU19">
        <f t="shared" si="39"/>
        <v>-3.6137679607442741E-2</v>
      </c>
      <c r="BV19">
        <f t="shared" si="40"/>
        <v>8.7483419796059364E-2</v>
      </c>
      <c r="BW19">
        <f t="shared" si="41"/>
        <v>-3.0887687383814678E-2</v>
      </c>
      <c r="BX19">
        <f t="shared" si="42"/>
        <v>5.3588882381631127E-2</v>
      </c>
      <c r="BY19">
        <f t="shared" si="43"/>
        <v>0.94641111761836882</v>
      </c>
      <c r="BZ19">
        <v>371</v>
      </c>
      <c r="CA19">
        <v>290.00000000000011</v>
      </c>
      <c r="CB19">
        <v>1589.73</v>
      </c>
      <c r="CC19">
        <v>95</v>
      </c>
      <c r="CD19">
        <v>5050.3100000000004</v>
      </c>
      <c r="CE19">
        <v>1588.38</v>
      </c>
      <c r="CF19">
        <v>1.35</v>
      </c>
      <c r="CG19">
        <v>300.00000000000011</v>
      </c>
      <c r="CH19">
        <v>23.9</v>
      </c>
      <c r="CI19">
        <v>1627.121714299964</v>
      </c>
      <c r="CJ19">
        <v>2.4466456499762792</v>
      </c>
      <c r="CK19">
        <v>-19.567539968373609</v>
      </c>
      <c r="CL19">
        <v>1.138324914356069</v>
      </c>
      <c r="CM19">
        <v>0.91344348953732435</v>
      </c>
      <c r="CN19">
        <v>-2.52592169076752E-3</v>
      </c>
      <c r="CO19">
        <v>289.99999999999989</v>
      </c>
      <c r="CP19">
        <v>1586.37</v>
      </c>
      <c r="CQ19">
        <v>705</v>
      </c>
      <c r="CR19">
        <v>5048.4799999999996</v>
      </c>
      <c r="CS19">
        <v>1588.36</v>
      </c>
      <c r="CT19">
        <v>-1.99</v>
      </c>
      <c r="DH19">
        <f t="shared" si="44"/>
        <v>3096.7448387096779</v>
      </c>
      <c r="DI19">
        <f t="shared" si="45"/>
        <v>2540.2574230698156</v>
      </c>
      <c r="DJ19">
        <f t="shared" si="46"/>
        <v>0.82029923528612902</v>
      </c>
      <c r="DK19">
        <f t="shared" si="47"/>
        <v>0.17592752410222906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1761677784.5</v>
      </c>
      <c r="DR19">
        <v>410.9651612903225</v>
      </c>
      <c r="DS19">
        <v>419.95009677419353</v>
      </c>
      <c r="DT19">
        <v>10.478229032258071</v>
      </c>
      <c r="DU19">
        <v>8.7377419354838715</v>
      </c>
      <c r="DV19">
        <v>410.14400000000001</v>
      </c>
      <c r="DW19">
        <v>10.400690322580649</v>
      </c>
      <c r="DX19">
        <v>500.06258064516129</v>
      </c>
      <c r="DY19">
        <v>91.0021548387097</v>
      </c>
      <c r="DZ19">
        <v>2.490943225806452E-2</v>
      </c>
      <c r="EA19">
        <v>17.155629032258059</v>
      </c>
      <c r="EB19">
        <v>18.095706451612902</v>
      </c>
      <c r="EC19">
        <v>999.90000000000032</v>
      </c>
      <c r="ED19">
        <v>0</v>
      </c>
      <c r="EE19">
        <v>0</v>
      </c>
      <c r="EF19">
        <v>10006.930967741941</v>
      </c>
      <c r="EG19">
        <v>0</v>
      </c>
      <c r="EH19">
        <v>1096.662903225807</v>
      </c>
      <c r="EI19">
        <v>-8.9849925806451623</v>
      </c>
      <c r="EJ19">
        <v>415.31687096774192</v>
      </c>
      <c r="EK19">
        <v>423.6520000000001</v>
      </c>
      <c r="EL19">
        <v>1.740481935483871</v>
      </c>
      <c r="EM19">
        <v>419.95009677419353</v>
      </c>
      <c r="EN19">
        <v>8.7377419354838715</v>
      </c>
      <c r="EO19">
        <v>0.95354096774193542</v>
      </c>
      <c r="EP19">
        <v>0.7951533870967743</v>
      </c>
      <c r="EQ19">
        <v>6.2251793548387093</v>
      </c>
      <c r="ER19">
        <v>3.620371612903226</v>
      </c>
      <c r="ES19">
        <v>2000.0819354838709</v>
      </c>
      <c r="ET19">
        <v>0.98000125806451599</v>
      </c>
      <c r="EU19">
        <v>1.999860322580645E-2</v>
      </c>
      <c r="EV19">
        <v>0</v>
      </c>
      <c r="EW19">
        <v>1544.2858064516131</v>
      </c>
      <c r="EX19">
        <v>5.0005600000000019</v>
      </c>
      <c r="EY19">
        <v>30872.7</v>
      </c>
      <c r="EZ19">
        <v>17295.583870967741</v>
      </c>
      <c r="FA19">
        <v>39.37283870967741</v>
      </c>
      <c r="FB19">
        <v>41.556129032258049</v>
      </c>
      <c r="FC19">
        <v>39.610612903225793</v>
      </c>
      <c r="FD19">
        <v>41.106677419354831</v>
      </c>
      <c r="FE19">
        <v>39.886870967741928</v>
      </c>
      <c r="FF19">
        <v>1955.181935483871</v>
      </c>
      <c r="FG19">
        <v>39.899677419354859</v>
      </c>
      <c r="FH19">
        <v>0</v>
      </c>
      <c r="FI19">
        <v>211.19999980926511</v>
      </c>
      <c r="FJ19">
        <v>0</v>
      </c>
      <c r="FK19">
        <v>1544.175384615384</v>
      </c>
      <c r="FL19">
        <v>-7.761367520551798</v>
      </c>
      <c r="FM19">
        <v>-209.95213685537809</v>
      </c>
      <c r="FN19">
        <v>30869.911538461551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-8.9961500000000001</v>
      </c>
      <c r="GD19">
        <v>0.20731272045029411</v>
      </c>
      <c r="GE19">
        <v>3.8934049108717207E-2</v>
      </c>
      <c r="GF19">
        <v>1</v>
      </c>
      <c r="GG19">
        <v>1544.5870588235291</v>
      </c>
      <c r="GH19">
        <v>-7.9608861713210954</v>
      </c>
      <c r="GI19">
        <v>0.8139863035838637</v>
      </c>
      <c r="GJ19">
        <v>0</v>
      </c>
      <c r="GK19">
        <v>1.8048522499999999</v>
      </c>
      <c r="GL19">
        <v>-1.473483489681048</v>
      </c>
      <c r="GM19">
        <v>0.14593014869257651</v>
      </c>
      <c r="GN19">
        <v>0</v>
      </c>
      <c r="GO19">
        <v>1</v>
      </c>
      <c r="GP19">
        <v>3</v>
      </c>
      <c r="GQ19" t="s">
        <v>442</v>
      </c>
      <c r="GR19">
        <v>3.1321500000000002</v>
      </c>
      <c r="GS19">
        <v>2.7025899999999998</v>
      </c>
      <c r="GT19">
        <v>8.5598300000000002E-2</v>
      </c>
      <c r="GU19">
        <v>8.7591000000000002E-2</v>
      </c>
      <c r="GV19">
        <v>5.9784799999999999E-2</v>
      </c>
      <c r="GW19">
        <v>5.30985E-2</v>
      </c>
      <c r="GX19">
        <v>27747.5</v>
      </c>
      <c r="GY19">
        <v>26736.6</v>
      </c>
      <c r="GZ19">
        <v>30870.5</v>
      </c>
      <c r="HA19">
        <v>29537.599999999999</v>
      </c>
      <c r="HB19">
        <v>40018.1</v>
      </c>
      <c r="HC19">
        <v>36820.6</v>
      </c>
      <c r="HD19">
        <v>47160.2</v>
      </c>
      <c r="HE19">
        <v>43900.1</v>
      </c>
      <c r="HF19">
        <v>1.88493</v>
      </c>
      <c r="HG19">
        <v>1.9063699999999999</v>
      </c>
      <c r="HH19">
        <v>7.8275800000000006E-2</v>
      </c>
      <c r="HI19">
        <v>0</v>
      </c>
      <c r="HJ19">
        <v>16.791399999999999</v>
      </c>
      <c r="HK19">
        <v>999.9</v>
      </c>
      <c r="HL19">
        <v>35.9</v>
      </c>
      <c r="HM19">
        <v>28.9</v>
      </c>
      <c r="HN19">
        <v>15.775399999999999</v>
      </c>
      <c r="HO19">
        <v>64.417900000000003</v>
      </c>
      <c r="HP19">
        <v>19.6755</v>
      </c>
      <c r="HQ19">
        <v>1</v>
      </c>
      <c r="HR19">
        <v>-0.18163399999999999</v>
      </c>
      <c r="HS19">
        <v>6.4837300000000004</v>
      </c>
      <c r="HT19">
        <v>20.0867</v>
      </c>
      <c r="HU19">
        <v>5.2391500000000004</v>
      </c>
      <c r="HV19">
        <v>11.98</v>
      </c>
      <c r="HW19">
        <v>4.9733000000000001</v>
      </c>
      <c r="HX19">
        <v>3.2909999999999999</v>
      </c>
      <c r="HY19">
        <v>9999</v>
      </c>
      <c r="HZ19">
        <v>9999</v>
      </c>
      <c r="IA19">
        <v>9999</v>
      </c>
      <c r="IB19">
        <v>999.9</v>
      </c>
      <c r="IC19">
        <v>4.97288</v>
      </c>
      <c r="ID19">
        <v>1.8771500000000001</v>
      </c>
      <c r="IE19">
        <v>1.87531</v>
      </c>
      <c r="IF19">
        <v>1.87805</v>
      </c>
      <c r="IG19">
        <v>1.8748499999999999</v>
      </c>
      <c r="IH19">
        <v>1.87839</v>
      </c>
      <c r="II19">
        <v>1.8755200000000001</v>
      </c>
      <c r="IJ19">
        <v>1.8766799999999999</v>
      </c>
      <c r="IK19">
        <v>0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0.82099999999999995</v>
      </c>
      <c r="IY19">
        <v>7.7799999999999994E-2</v>
      </c>
      <c r="IZ19">
        <v>6.1933660764125778E-2</v>
      </c>
      <c r="JA19">
        <v>2.058711587971173E-3</v>
      </c>
      <c r="JB19">
        <v>-6.1309262243104059E-7</v>
      </c>
      <c r="JC19">
        <v>2.6183910446277612E-10</v>
      </c>
      <c r="JD19">
        <v>3.5078820932035488E-4</v>
      </c>
      <c r="JE19">
        <v>-4.3284922736758413E-3</v>
      </c>
      <c r="JF19">
        <v>1.4186339569364E-3</v>
      </c>
      <c r="JG19">
        <v>-2.7770646863349432E-5</v>
      </c>
      <c r="JH19">
        <v>2</v>
      </c>
      <c r="JI19">
        <v>2136</v>
      </c>
      <c r="JJ19">
        <v>1</v>
      </c>
      <c r="JK19">
        <v>19</v>
      </c>
      <c r="JL19">
        <v>29361296.5</v>
      </c>
      <c r="JM19">
        <v>29361296.5</v>
      </c>
      <c r="JN19">
        <v>1.09619</v>
      </c>
      <c r="JO19">
        <v>2.5354000000000001</v>
      </c>
      <c r="JP19">
        <v>1.39893</v>
      </c>
      <c r="JQ19">
        <v>2.32544</v>
      </c>
      <c r="JR19">
        <v>1.4489700000000001</v>
      </c>
      <c r="JS19">
        <v>2.47803</v>
      </c>
      <c r="JT19">
        <v>35.151600000000002</v>
      </c>
      <c r="JU19">
        <v>23.737300000000001</v>
      </c>
      <c r="JV19">
        <v>18</v>
      </c>
      <c r="JW19">
        <v>480.29</v>
      </c>
      <c r="JX19">
        <v>462.91800000000001</v>
      </c>
      <c r="JY19">
        <v>10.9137</v>
      </c>
      <c r="JZ19">
        <v>24.607199999999999</v>
      </c>
      <c r="KA19">
        <v>30.000399999999999</v>
      </c>
      <c r="KB19">
        <v>24.1907</v>
      </c>
      <c r="KC19">
        <v>24.240200000000002</v>
      </c>
      <c r="KD19">
        <v>21.9742</v>
      </c>
      <c r="KE19">
        <v>39.503</v>
      </c>
      <c r="KF19">
        <v>41.741900000000001</v>
      </c>
      <c r="KG19">
        <v>10.885999999999999</v>
      </c>
      <c r="KH19">
        <v>420</v>
      </c>
      <c r="KI19">
        <v>9.0375899999999998</v>
      </c>
      <c r="KJ19">
        <v>101.97199999999999</v>
      </c>
      <c r="KK19">
        <v>100.96899999999999</v>
      </c>
    </row>
    <row r="20" spans="1:297" x14ac:dyDescent="0.3">
      <c r="A20">
        <v>4</v>
      </c>
      <c r="B20">
        <v>1761677922</v>
      </c>
      <c r="C20">
        <v>472</v>
      </c>
      <c r="D20" t="s">
        <v>454</v>
      </c>
      <c r="E20" t="s">
        <v>455</v>
      </c>
      <c r="F20">
        <v>5</v>
      </c>
      <c r="G20" t="s">
        <v>435</v>
      </c>
      <c r="H20" t="s">
        <v>436</v>
      </c>
      <c r="I20">
        <v>1761677914.25</v>
      </c>
      <c r="J20">
        <f t="shared" si="0"/>
        <v>1.3923041374795397E-3</v>
      </c>
      <c r="K20">
        <f t="shared" si="1"/>
        <v>1.3923041374795397</v>
      </c>
      <c r="L20">
        <f t="shared" si="2"/>
        <v>6.7577052892692668</v>
      </c>
      <c r="M20">
        <f t="shared" si="3"/>
        <v>411.25529999999992</v>
      </c>
      <c r="N20">
        <f t="shared" si="4"/>
        <v>284.02350536141495</v>
      </c>
      <c r="O20">
        <f t="shared" si="5"/>
        <v>25.853774300895875</v>
      </c>
      <c r="P20">
        <f t="shared" si="6"/>
        <v>37.4352879446282</v>
      </c>
      <c r="Q20">
        <f t="shared" si="7"/>
        <v>9.2514559308636946E-2</v>
      </c>
      <c r="R20">
        <f t="shared" si="8"/>
        <v>2.7673101111861991</v>
      </c>
      <c r="S20">
        <f t="shared" si="9"/>
        <v>9.0830051598095221E-2</v>
      </c>
      <c r="T20">
        <f t="shared" si="10"/>
        <v>5.6917573854423704E-2</v>
      </c>
      <c r="U20">
        <f t="shared" si="11"/>
        <v>509.75662221867242</v>
      </c>
      <c r="V20">
        <f t="shared" si="12"/>
        <v>20.053863932060178</v>
      </c>
      <c r="W20">
        <f t="shared" si="13"/>
        <v>20.053863932060178</v>
      </c>
      <c r="X20">
        <f t="shared" si="14"/>
        <v>2.3544517893094419</v>
      </c>
      <c r="Y20">
        <f t="shared" si="15"/>
        <v>49.854532628458706</v>
      </c>
      <c r="Z20">
        <f t="shared" si="16"/>
        <v>0.98472305179633735</v>
      </c>
      <c r="AA20">
        <f t="shared" si="17"/>
        <v>1.9751926251821346</v>
      </c>
      <c r="AB20">
        <f t="shared" si="18"/>
        <v>1.3697287375131046</v>
      </c>
      <c r="AC20">
        <f t="shared" si="19"/>
        <v>-61.400612462847704</v>
      </c>
      <c r="AD20">
        <f t="shared" si="20"/>
        <v>-418.77985148374745</v>
      </c>
      <c r="AE20">
        <f t="shared" si="21"/>
        <v>-30.007981295550906</v>
      </c>
      <c r="AF20">
        <f t="shared" si="22"/>
        <v>-0.43182302347366885</v>
      </c>
      <c r="AG20">
        <f t="shared" si="23"/>
        <v>6.7429921630342866</v>
      </c>
      <c r="AH20">
        <f t="shared" si="24"/>
        <v>1.3223323129052251</v>
      </c>
      <c r="AI20">
        <f t="shared" si="25"/>
        <v>6.7577052892692668</v>
      </c>
      <c r="AJ20">
        <v>423.94767401428578</v>
      </c>
      <c r="AK20">
        <v>415.77606060606058</v>
      </c>
      <c r="AL20">
        <v>-2.5800865800971141E-3</v>
      </c>
      <c r="AM20">
        <v>64.84</v>
      </c>
      <c r="AN20">
        <f t="shared" si="26"/>
        <v>1.3923041374795397</v>
      </c>
      <c r="AO20">
        <v>9.2651905440991946</v>
      </c>
      <c r="AP20">
        <v>10.868159440559451</v>
      </c>
      <c r="AQ20">
        <v>6.824299046239905E-3</v>
      </c>
      <c r="AR20">
        <v>96.213721469384424</v>
      </c>
      <c r="AS20">
        <v>0</v>
      </c>
      <c r="AT20">
        <v>0</v>
      </c>
      <c r="AU20">
        <f t="shared" si="27"/>
        <v>1</v>
      </c>
      <c r="AV20">
        <f t="shared" si="28"/>
        <v>0</v>
      </c>
      <c r="AW20">
        <f t="shared" si="29"/>
        <v>49748.697024704903</v>
      </c>
      <c r="AX20" t="s">
        <v>437</v>
      </c>
      <c r="AY20">
        <v>5023.29</v>
      </c>
      <c r="AZ20">
        <v>678.98399999999992</v>
      </c>
      <c r="BA20">
        <v>1598.7134001116131</v>
      </c>
      <c r="BB20">
        <f t="shared" si="30"/>
        <v>0.57529348290156501</v>
      </c>
      <c r="BC20">
        <v>-0.67640696176369675</v>
      </c>
      <c r="BD20" t="s">
        <v>456</v>
      </c>
      <c r="BE20">
        <v>5052.6400000000003</v>
      </c>
      <c r="BF20">
        <v>1528.356</v>
      </c>
      <c r="BG20">
        <v>1617.073875692995</v>
      </c>
      <c r="BH20">
        <f t="shared" si="31"/>
        <v>5.4863217461215252E-2</v>
      </c>
      <c r="BI20">
        <v>0.5</v>
      </c>
      <c r="BJ20">
        <f t="shared" si="48"/>
        <v>2376.1545123758237</v>
      </c>
      <c r="BK20">
        <f t="shared" si="32"/>
        <v>6.7577052892692668</v>
      </c>
      <c r="BL20">
        <f t="shared" si="49"/>
        <v>65.181740866961349</v>
      </c>
      <c r="BM20">
        <f t="shared" si="33"/>
        <v>3.1286316661284313E-3</v>
      </c>
      <c r="BN20">
        <f t="shared" si="34"/>
        <v>-1.1354135304123675E-2</v>
      </c>
      <c r="BO20">
        <f t="shared" si="35"/>
        <v>682.27404502021739</v>
      </c>
      <c r="BP20" t="s">
        <v>457</v>
      </c>
      <c r="BQ20">
        <v>814.47</v>
      </c>
      <c r="BR20">
        <f t="shared" si="36"/>
        <v>814.47</v>
      </c>
      <c r="BS20">
        <f t="shared" si="37"/>
        <v>0.49633098880472615</v>
      </c>
      <c r="BT20">
        <f t="shared" si="38"/>
        <v>0.11053756202758555</v>
      </c>
      <c r="BU20">
        <f t="shared" si="39"/>
        <v>-2.3411705573510574E-2</v>
      </c>
      <c r="BV20">
        <f t="shared" si="40"/>
        <v>9.4572895403498988E-2</v>
      </c>
      <c r="BW20">
        <f t="shared" si="41"/>
        <v>-1.9962910372500663E-2</v>
      </c>
      <c r="BX20">
        <f t="shared" si="42"/>
        <v>5.8906124060498742E-2</v>
      </c>
      <c r="BY20">
        <f t="shared" si="43"/>
        <v>0.94109387593950122</v>
      </c>
      <c r="BZ20">
        <v>373</v>
      </c>
      <c r="CA20">
        <v>290.00000000000011</v>
      </c>
      <c r="CB20">
        <v>1581.99</v>
      </c>
      <c r="CC20">
        <v>115</v>
      </c>
      <c r="CD20">
        <v>5052.6400000000003</v>
      </c>
      <c r="CE20">
        <v>1580.12</v>
      </c>
      <c r="CF20">
        <v>1.87</v>
      </c>
      <c r="CG20">
        <v>300.00000000000011</v>
      </c>
      <c r="CH20">
        <v>23.9</v>
      </c>
      <c r="CI20">
        <v>1617.073875692995</v>
      </c>
      <c r="CJ20">
        <v>2.0468761857982831</v>
      </c>
      <c r="CK20">
        <v>-18.670641504934849</v>
      </c>
      <c r="CL20">
        <v>0.94727911958685806</v>
      </c>
      <c r="CM20">
        <v>0.93276899808227254</v>
      </c>
      <c r="CN20">
        <v>-2.6926066740823179E-3</v>
      </c>
      <c r="CO20">
        <v>289.99999999999989</v>
      </c>
      <c r="CP20">
        <v>1578.65</v>
      </c>
      <c r="CQ20">
        <v>675</v>
      </c>
      <c r="CR20">
        <v>5051.26</v>
      </c>
      <c r="CS20">
        <v>1580.11</v>
      </c>
      <c r="CT20">
        <v>-1.46</v>
      </c>
      <c r="DH20">
        <f t="shared" si="44"/>
        <v>2896.586666666667</v>
      </c>
      <c r="DI20">
        <f t="shared" si="45"/>
        <v>2376.1545123758237</v>
      </c>
      <c r="DJ20">
        <f t="shared" si="46"/>
        <v>0.82032916180970128</v>
      </c>
      <c r="DK20">
        <f t="shared" si="47"/>
        <v>0.1759852822927235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1761677914.25</v>
      </c>
      <c r="DR20">
        <v>411.25529999999992</v>
      </c>
      <c r="DS20">
        <v>419.99869999999999</v>
      </c>
      <c r="DT20">
        <v>10.81793666666667</v>
      </c>
      <c r="DU20">
        <v>9.2484419999999989</v>
      </c>
      <c r="DV20">
        <v>410.4336333333332</v>
      </c>
      <c r="DW20">
        <v>10.73494333333333</v>
      </c>
      <c r="DX20">
        <v>500.0440333333334</v>
      </c>
      <c r="DY20">
        <v>91.00257000000002</v>
      </c>
      <c r="DZ20">
        <v>2.431268E-2</v>
      </c>
      <c r="EA20">
        <v>17.24686333333333</v>
      </c>
      <c r="EB20">
        <v>18.023736666666661</v>
      </c>
      <c r="EC20">
        <v>999.9000000000002</v>
      </c>
      <c r="ED20">
        <v>0</v>
      </c>
      <c r="EE20">
        <v>0</v>
      </c>
      <c r="EF20">
        <v>10002.548000000001</v>
      </c>
      <c r="EG20">
        <v>0</v>
      </c>
      <c r="EH20">
        <v>1096.560666666667</v>
      </c>
      <c r="EI20">
        <v>-8.7433623333333319</v>
      </c>
      <c r="EJ20">
        <v>415.75290000000012</v>
      </c>
      <c r="EK20">
        <v>423.91930000000002</v>
      </c>
      <c r="EL20">
        <v>1.5695043333333329</v>
      </c>
      <c r="EM20">
        <v>419.99869999999999</v>
      </c>
      <c r="EN20">
        <v>9.2484419999999989</v>
      </c>
      <c r="EO20">
        <v>0.98446093333333329</v>
      </c>
      <c r="EP20">
        <v>0.84163196666666673</v>
      </c>
      <c r="EQ20">
        <v>6.6883480000000013</v>
      </c>
      <c r="ER20">
        <v>4.4295293333333339</v>
      </c>
      <c r="ES20">
        <v>1800.0260000000001</v>
      </c>
      <c r="ET20">
        <v>0.97799346666666642</v>
      </c>
      <c r="EU20">
        <v>2.200650333333333E-2</v>
      </c>
      <c r="EV20">
        <v>0</v>
      </c>
      <c r="EW20">
        <v>1528.368666666667</v>
      </c>
      <c r="EX20">
        <v>5.0005600000000019</v>
      </c>
      <c r="EY20">
        <v>27369.49</v>
      </c>
      <c r="EZ20">
        <v>15551.36666666667</v>
      </c>
      <c r="FA20">
        <v>37.955966666666669</v>
      </c>
      <c r="FB20">
        <v>38.953966666666673</v>
      </c>
      <c r="FC20">
        <v>38.201833333333333</v>
      </c>
      <c r="FD20">
        <v>37.647666666666659</v>
      </c>
      <c r="FE20">
        <v>38.112166666666653</v>
      </c>
      <c r="FF20">
        <v>1755.5260000000001</v>
      </c>
      <c r="FG20">
        <v>39.5</v>
      </c>
      <c r="FH20">
        <v>0</v>
      </c>
      <c r="FI20">
        <v>127.2000000476837</v>
      </c>
      <c r="FJ20">
        <v>0</v>
      </c>
      <c r="FK20">
        <v>1528.356</v>
      </c>
      <c r="FL20">
        <v>-5.8284615354632638</v>
      </c>
      <c r="FM20">
        <v>-134.43076930598221</v>
      </c>
      <c r="FN20">
        <v>27368.736000000001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-8.7341850000000001</v>
      </c>
      <c r="GD20">
        <v>-5.031557223262996E-2</v>
      </c>
      <c r="GE20">
        <v>4.7336343648406033E-2</v>
      </c>
      <c r="GF20">
        <v>1</v>
      </c>
      <c r="GG20">
        <v>1528.598529411765</v>
      </c>
      <c r="GH20">
        <v>-4.5682200156689676</v>
      </c>
      <c r="GI20">
        <v>0.48764821187686619</v>
      </c>
      <c r="GJ20">
        <v>0</v>
      </c>
      <c r="GK20">
        <v>1.55628075</v>
      </c>
      <c r="GL20">
        <v>0.23850923076922781</v>
      </c>
      <c r="GM20">
        <v>2.3871188741608589E-2</v>
      </c>
      <c r="GN20">
        <v>0</v>
      </c>
      <c r="GO20">
        <v>1</v>
      </c>
      <c r="GP20">
        <v>3</v>
      </c>
      <c r="GQ20" t="s">
        <v>442</v>
      </c>
      <c r="GR20">
        <v>3.1323799999999999</v>
      </c>
      <c r="GS20">
        <v>2.7025899999999998</v>
      </c>
      <c r="GT20">
        <v>8.5636900000000002E-2</v>
      </c>
      <c r="GU20">
        <v>8.75943E-2</v>
      </c>
      <c r="GV20">
        <v>6.1373400000000002E-2</v>
      </c>
      <c r="GW20">
        <v>5.48938E-2</v>
      </c>
      <c r="GX20">
        <v>27746.7</v>
      </c>
      <c r="GY20">
        <v>26734.9</v>
      </c>
      <c r="GZ20">
        <v>30870.799999999999</v>
      </c>
      <c r="HA20">
        <v>29535.7</v>
      </c>
      <c r="HB20">
        <v>39950.699999999997</v>
      </c>
      <c r="HC20">
        <v>36748</v>
      </c>
      <c r="HD20">
        <v>47161.2</v>
      </c>
      <c r="HE20">
        <v>43897.599999999999</v>
      </c>
      <c r="HF20">
        <v>1.88425</v>
      </c>
      <c r="HG20">
        <v>1.9064000000000001</v>
      </c>
      <c r="HH20">
        <v>7.7322100000000005E-2</v>
      </c>
      <c r="HI20">
        <v>0</v>
      </c>
      <c r="HJ20">
        <v>16.728300000000001</v>
      </c>
      <c r="HK20">
        <v>999.9</v>
      </c>
      <c r="HL20">
        <v>34.9</v>
      </c>
      <c r="HM20">
        <v>28.9</v>
      </c>
      <c r="HN20">
        <v>15.3353</v>
      </c>
      <c r="HO20">
        <v>64.797899999999998</v>
      </c>
      <c r="HP20">
        <v>19.595400000000001</v>
      </c>
      <c r="HQ20">
        <v>1</v>
      </c>
      <c r="HR20">
        <v>-0.186585</v>
      </c>
      <c r="HS20">
        <v>4.9388899999999998</v>
      </c>
      <c r="HT20">
        <v>20.1386</v>
      </c>
      <c r="HU20">
        <v>5.2355600000000004</v>
      </c>
      <c r="HV20">
        <v>11.974</v>
      </c>
      <c r="HW20">
        <v>4.9730499999999997</v>
      </c>
      <c r="HX20">
        <v>3.2909999999999999</v>
      </c>
      <c r="HY20">
        <v>9999</v>
      </c>
      <c r="HZ20">
        <v>9999</v>
      </c>
      <c r="IA20">
        <v>9999</v>
      </c>
      <c r="IB20">
        <v>999.9</v>
      </c>
      <c r="IC20">
        <v>4.9728899999999996</v>
      </c>
      <c r="ID20">
        <v>1.8771599999999999</v>
      </c>
      <c r="IE20">
        <v>1.87527</v>
      </c>
      <c r="IF20">
        <v>1.87805</v>
      </c>
      <c r="IG20">
        <v>1.8748499999999999</v>
      </c>
      <c r="IH20">
        <v>1.8784099999999999</v>
      </c>
      <c r="II20">
        <v>1.8754999999999999</v>
      </c>
      <c r="IJ20">
        <v>1.8766799999999999</v>
      </c>
      <c r="IK20">
        <v>0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0.82199999999999995</v>
      </c>
      <c r="IY20">
        <v>8.3900000000000002E-2</v>
      </c>
      <c r="IZ20">
        <v>6.1933660764125778E-2</v>
      </c>
      <c r="JA20">
        <v>2.058711587971173E-3</v>
      </c>
      <c r="JB20">
        <v>-6.1309262243104059E-7</v>
      </c>
      <c r="JC20">
        <v>2.6183910446277612E-10</v>
      </c>
      <c r="JD20">
        <v>3.5078820932035488E-4</v>
      </c>
      <c r="JE20">
        <v>-4.3284922736758413E-3</v>
      </c>
      <c r="JF20">
        <v>1.4186339569364E-3</v>
      </c>
      <c r="JG20">
        <v>-2.7770646863349432E-5</v>
      </c>
      <c r="JH20">
        <v>2</v>
      </c>
      <c r="JI20">
        <v>2136</v>
      </c>
      <c r="JJ20">
        <v>1</v>
      </c>
      <c r="JK20">
        <v>19</v>
      </c>
      <c r="JL20">
        <v>29361298.699999999</v>
      </c>
      <c r="JM20">
        <v>29361298.699999999</v>
      </c>
      <c r="JN20">
        <v>1.09619</v>
      </c>
      <c r="JO20">
        <v>2.52441</v>
      </c>
      <c r="JP20">
        <v>1.39893</v>
      </c>
      <c r="JQ20">
        <v>2.32544</v>
      </c>
      <c r="JR20">
        <v>1.4489700000000001</v>
      </c>
      <c r="JS20">
        <v>2.5830099999999998</v>
      </c>
      <c r="JT20">
        <v>35.244</v>
      </c>
      <c r="JU20">
        <v>23.807300000000001</v>
      </c>
      <c r="JV20">
        <v>18</v>
      </c>
      <c r="JW20">
        <v>480.14400000000001</v>
      </c>
      <c r="JX20">
        <v>463.22199999999998</v>
      </c>
      <c r="JY20">
        <v>11.5947</v>
      </c>
      <c r="JZ20">
        <v>24.6004</v>
      </c>
      <c r="KA20">
        <v>29.9998</v>
      </c>
      <c r="KB20">
        <v>24.220800000000001</v>
      </c>
      <c r="KC20">
        <v>24.274000000000001</v>
      </c>
      <c r="KD20">
        <v>21.982700000000001</v>
      </c>
      <c r="KE20">
        <v>36.322200000000002</v>
      </c>
      <c r="KF20">
        <v>38.349200000000003</v>
      </c>
      <c r="KG20">
        <v>11.5847</v>
      </c>
      <c r="KH20">
        <v>420</v>
      </c>
      <c r="KI20">
        <v>9.2575199999999995</v>
      </c>
      <c r="KJ20">
        <v>101.974</v>
      </c>
      <c r="KK20">
        <v>100.96299999999999</v>
      </c>
    </row>
    <row r="21" spans="1:297" x14ac:dyDescent="0.3">
      <c r="A21">
        <v>5</v>
      </c>
      <c r="B21">
        <v>1761678051.5</v>
      </c>
      <c r="C21">
        <v>601.5</v>
      </c>
      <c r="D21" t="s">
        <v>458</v>
      </c>
      <c r="E21" t="s">
        <v>459</v>
      </c>
      <c r="F21">
        <v>5</v>
      </c>
      <c r="G21" t="s">
        <v>435</v>
      </c>
      <c r="H21" t="s">
        <v>436</v>
      </c>
      <c r="I21">
        <v>1761678043.75</v>
      </c>
      <c r="J21">
        <f t="shared" si="0"/>
        <v>1.4685826934107262E-3</v>
      </c>
      <c r="K21">
        <f t="shared" si="1"/>
        <v>1.4685826934107262</v>
      </c>
      <c r="L21">
        <f t="shared" si="2"/>
        <v>6.5980549861316105</v>
      </c>
      <c r="M21">
        <f t="shared" si="3"/>
        <v>411.38383333333331</v>
      </c>
      <c r="N21">
        <f t="shared" si="4"/>
        <v>296.94220260240678</v>
      </c>
      <c r="O21">
        <f t="shared" si="5"/>
        <v>27.027891107560716</v>
      </c>
      <c r="P21">
        <f t="shared" si="6"/>
        <v>37.444449974771352</v>
      </c>
      <c r="Q21">
        <f t="shared" si="7"/>
        <v>0.10124804852164004</v>
      </c>
      <c r="R21">
        <f t="shared" si="8"/>
        <v>2.7677489560785475</v>
      </c>
      <c r="S21">
        <f t="shared" si="9"/>
        <v>9.9234533199506952E-2</v>
      </c>
      <c r="T21">
        <f t="shared" si="10"/>
        <v>6.2199154446701974E-2</v>
      </c>
      <c r="U21">
        <f t="shared" si="11"/>
        <v>457.30138038027371</v>
      </c>
      <c r="V21">
        <f t="shared" si="12"/>
        <v>19.836164111419095</v>
      </c>
      <c r="W21">
        <f t="shared" si="13"/>
        <v>19.836164111419095</v>
      </c>
      <c r="X21">
        <f t="shared" si="14"/>
        <v>2.3229108136763257</v>
      </c>
      <c r="Y21">
        <f t="shared" si="15"/>
        <v>50.230068468480603</v>
      </c>
      <c r="Z21">
        <f t="shared" si="16"/>
        <v>1.0004769260747801</v>
      </c>
      <c r="AA21">
        <f t="shared" si="17"/>
        <v>1.9917888957339964</v>
      </c>
      <c r="AB21">
        <f t="shared" si="18"/>
        <v>1.3224338876015456</v>
      </c>
      <c r="AC21">
        <f t="shared" si="19"/>
        <v>-64.764496779413022</v>
      </c>
      <c r="AD21">
        <f t="shared" si="20"/>
        <v>-366.61361974419151</v>
      </c>
      <c r="AE21">
        <f t="shared" si="21"/>
        <v>-26.254135770095342</v>
      </c>
      <c r="AF21">
        <f t="shared" si="22"/>
        <v>-0.33087191342616507</v>
      </c>
      <c r="AG21">
        <f t="shared" si="23"/>
        <v>6.6019961491897163</v>
      </c>
      <c r="AH21">
        <f t="shared" si="24"/>
        <v>1.4361571831944511</v>
      </c>
      <c r="AI21">
        <f t="shared" si="25"/>
        <v>6.5980549861316105</v>
      </c>
      <c r="AJ21">
        <v>423.99420768571429</v>
      </c>
      <c r="AK21">
        <v>416.00229090909079</v>
      </c>
      <c r="AL21">
        <v>1.07133850487107E-4</v>
      </c>
      <c r="AM21">
        <v>64.84</v>
      </c>
      <c r="AN21">
        <f t="shared" si="26"/>
        <v>1.4685826934107262</v>
      </c>
      <c r="AO21">
        <v>9.2738892173841929</v>
      </c>
      <c r="AP21">
        <v>11.01339090909091</v>
      </c>
      <c r="AQ21">
        <v>4.5253390178432947E-4</v>
      </c>
      <c r="AR21">
        <v>96.213721469384424</v>
      </c>
      <c r="AS21">
        <v>0</v>
      </c>
      <c r="AT21">
        <v>0</v>
      </c>
      <c r="AU21">
        <f t="shared" si="27"/>
        <v>1</v>
      </c>
      <c r="AV21">
        <f t="shared" si="28"/>
        <v>0</v>
      </c>
      <c r="AW21">
        <f t="shared" si="29"/>
        <v>49738.267674223571</v>
      </c>
      <c r="AX21" t="s">
        <v>437</v>
      </c>
      <c r="AY21">
        <v>5023.29</v>
      </c>
      <c r="AZ21">
        <v>678.98399999999992</v>
      </c>
      <c r="BA21">
        <v>1598.7134001116131</v>
      </c>
      <c r="BB21">
        <f t="shared" si="30"/>
        <v>0.57529348290156501</v>
      </c>
      <c r="BC21">
        <v>-0.67640696176369675</v>
      </c>
      <c r="BD21" t="s">
        <v>460</v>
      </c>
      <c r="BE21">
        <v>5054.04</v>
      </c>
      <c r="BF21">
        <v>1507.511153846154</v>
      </c>
      <c r="BG21">
        <v>1615.587641565266</v>
      </c>
      <c r="BH21">
        <f t="shared" si="31"/>
        <v>6.6896084705378112E-2</v>
      </c>
      <c r="BI21">
        <v>0.5</v>
      </c>
      <c r="BJ21">
        <f t="shared" si="48"/>
        <v>2130.0957571486733</v>
      </c>
      <c r="BK21">
        <f t="shared" si="32"/>
        <v>6.5980549861316105</v>
      </c>
      <c r="BL21">
        <f t="shared" si="49"/>
        <v>71.24753310039209</v>
      </c>
      <c r="BM21">
        <f t="shared" si="33"/>
        <v>3.4150868210886614E-3</v>
      </c>
      <c r="BN21">
        <f t="shared" si="34"/>
        <v>-1.0444646281958641E-2</v>
      </c>
      <c r="BO21">
        <f t="shared" si="35"/>
        <v>682.00933156709539</v>
      </c>
      <c r="BP21" t="s">
        <v>461</v>
      </c>
      <c r="BQ21">
        <v>807.67</v>
      </c>
      <c r="BR21">
        <f t="shared" si="36"/>
        <v>807.67</v>
      </c>
      <c r="BS21">
        <f t="shared" si="37"/>
        <v>0.5000766413281752</v>
      </c>
      <c r="BT21">
        <f t="shared" si="38"/>
        <v>0.13377166453467187</v>
      </c>
      <c r="BU21">
        <f t="shared" si="39"/>
        <v>-2.1331625358699785E-2</v>
      </c>
      <c r="BV21">
        <f t="shared" si="40"/>
        <v>0.11539191491770519</v>
      </c>
      <c r="BW21">
        <f t="shared" si="41"/>
        <v>-1.8346963195484695E-2</v>
      </c>
      <c r="BX21">
        <f t="shared" si="42"/>
        <v>7.1670023813133643E-2</v>
      </c>
      <c r="BY21">
        <f t="shared" si="43"/>
        <v>0.92832997618686641</v>
      </c>
      <c r="BZ21">
        <v>375</v>
      </c>
      <c r="CA21">
        <v>290.00000000000011</v>
      </c>
      <c r="CB21">
        <v>1576.58</v>
      </c>
      <c r="CC21">
        <v>135</v>
      </c>
      <c r="CD21">
        <v>5054.04</v>
      </c>
      <c r="CE21">
        <v>1575.36</v>
      </c>
      <c r="CF21">
        <v>1.22</v>
      </c>
      <c r="CG21">
        <v>300.00000000000011</v>
      </c>
      <c r="CH21">
        <v>23.9</v>
      </c>
      <c r="CI21">
        <v>1615.587641565266</v>
      </c>
      <c r="CJ21">
        <v>2.3554678604542141</v>
      </c>
      <c r="CK21">
        <v>-20.32950221900057</v>
      </c>
      <c r="CL21">
        <v>1.080728800382053</v>
      </c>
      <c r="CM21">
        <v>0.92667290858743123</v>
      </c>
      <c r="CN21">
        <v>-2.9431908787541689E-3</v>
      </c>
      <c r="CO21">
        <v>289.99999999999989</v>
      </c>
      <c r="CP21">
        <v>1573.29</v>
      </c>
      <c r="CQ21">
        <v>635</v>
      </c>
      <c r="CR21">
        <v>5053.1099999999997</v>
      </c>
      <c r="CS21">
        <v>1575.36</v>
      </c>
      <c r="CT21">
        <v>-2.0699999999999998</v>
      </c>
      <c r="DH21">
        <f t="shared" si="44"/>
        <v>2596.3996666666662</v>
      </c>
      <c r="DI21">
        <f t="shared" si="45"/>
        <v>2130.0957571486733</v>
      </c>
      <c r="DJ21">
        <f t="shared" si="46"/>
        <v>0.82040364759534601</v>
      </c>
      <c r="DK21">
        <f t="shared" si="47"/>
        <v>0.17612903985901776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1761678043.75</v>
      </c>
      <c r="DR21">
        <v>411.38383333333331</v>
      </c>
      <c r="DS21">
        <v>420.01466666666659</v>
      </c>
      <c r="DT21">
        <v>10.99175</v>
      </c>
      <c r="DU21">
        <v>9.2874103333333338</v>
      </c>
      <c r="DV21">
        <v>410.56186666666662</v>
      </c>
      <c r="DW21">
        <v>10.905900000000001</v>
      </c>
      <c r="DX21">
        <v>500.03106666666667</v>
      </c>
      <c r="DY21">
        <v>90.997796666666687</v>
      </c>
      <c r="DZ21">
        <v>2.2916693333333338E-2</v>
      </c>
      <c r="EA21">
        <v>17.379213333333329</v>
      </c>
      <c r="EB21">
        <v>17.959583333333331</v>
      </c>
      <c r="EC21">
        <v>999.9000000000002</v>
      </c>
      <c r="ED21">
        <v>0</v>
      </c>
      <c r="EE21">
        <v>0</v>
      </c>
      <c r="EF21">
        <v>10005.663666666671</v>
      </c>
      <c r="EG21">
        <v>0</v>
      </c>
      <c r="EH21">
        <v>1096.477333333333</v>
      </c>
      <c r="EI21">
        <v>-8.630786333333333</v>
      </c>
      <c r="EJ21">
        <v>415.95589999999987</v>
      </c>
      <c r="EK21">
        <v>423.952</v>
      </c>
      <c r="EL21">
        <v>1.704350666666667</v>
      </c>
      <c r="EM21">
        <v>420.01466666666659</v>
      </c>
      <c r="EN21">
        <v>9.2874103333333338</v>
      </c>
      <c r="EO21">
        <v>1.0002261333333331</v>
      </c>
      <c r="EP21">
        <v>0.84513386666666668</v>
      </c>
      <c r="EQ21">
        <v>6.9196566666666683</v>
      </c>
      <c r="ER21">
        <v>4.4888456666666663</v>
      </c>
      <c r="ES21">
        <v>1499.922333333333</v>
      </c>
      <c r="ET21">
        <v>0.97300036666666645</v>
      </c>
      <c r="EU21">
        <v>2.6999543333333331E-2</v>
      </c>
      <c r="EV21">
        <v>0</v>
      </c>
      <c r="EW21">
        <v>1507.4953333333331</v>
      </c>
      <c r="EX21">
        <v>5.0005600000000019</v>
      </c>
      <c r="EY21">
        <v>22403.38</v>
      </c>
      <c r="EZ21">
        <v>12930.84</v>
      </c>
      <c r="FA21">
        <v>36.358133333333328</v>
      </c>
      <c r="FB21">
        <v>38.258133333333333</v>
      </c>
      <c r="FC21">
        <v>37.066399999999987</v>
      </c>
      <c r="FD21">
        <v>36.93313333333333</v>
      </c>
      <c r="FE21">
        <v>37.22893333333333</v>
      </c>
      <c r="FF21">
        <v>1454.559</v>
      </c>
      <c r="FG21">
        <v>40.362666666666662</v>
      </c>
      <c r="FH21">
        <v>0</v>
      </c>
      <c r="FI21">
        <v>127.19999980926509</v>
      </c>
      <c r="FJ21">
        <v>0</v>
      </c>
      <c r="FK21">
        <v>1507.511153846154</v>
      </c>
      <c r="FL21">
        <v>-10.07829059323015</v>
      </c>
      <c r="FM21">
        <v>-45.77094016182091</v>
      </c>
      <c r="FN21">
        <v>22403.292307692311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-8.6213377500000004</v>
      </c>
      <c r="GD21">
        <v>-0.1216366604127589</v>
      </c>
      <c r="GE21">
        <v>3.7714877004141223E-2</v>
      </c>
      <c r="GF21">
        <v>1</v>
      </c>
      <c r="GG21">
        <v>1508.0105882352941</v>
      </c>
      <c r="GH21">
        <v>-8.7779984603014274</v>
      </c>
      <c r="GI21">
        <v>0.9140888783420551</v>
      </c>
      <c r="GJ21">
        <v>0</v>
      </c>
      <c r="GK21">
        <v>1.67717925</v>
      </c>
      <c r="GL21">
        <v>0.48046547842401022</v>
      </c>
      <c r="GM21">
        <v>4.6822547153454817E-2</v>
      </c>
      <c r="GN21">
        <v>0</v>
      </c>
      <c r="GO21">
        <v>1</v>
      </c>
      <c r="GP21">
        <v>3</v>
      </c>
      <c r="GQ21" t="s">
        <v>442</v>
      </c>
      <c r="GR21">
        <v>3.13219</v>
      </c>
      <c r="GS21">
        <v>2.7009300000000001</v>
      </c>
      <c r="GT21">
        <v>8.56629E-2</v>
      </c>
      <c r="GU21">
        <v>8.7577500000000003E-2</v>
      </c>
      <c r="GV21">
        <v>6.1983400000000001E-2</v>
      </c>
      <c r="GW21">
        <v>5.4927700000000003E-2</v>
      </c>
      <c r="GX21">
        <v>27750.2</v>
      </c>
      <c r="GY21">
        <v>26737.8</v>
      </c>
      <c r="GZ21">
        <v>30875.200000000001</v>
      </c>
      <c r="HA21">
        <v>29537.9</v>
      </c>
      <c r="HB21">
        <v>39929.9</v>
      </c>
      <c r="HC21">
        <v>36750</v>
      </c>
      <c r="HD21">
        <v>47167.7</v>
      </c>
      <c r="HE21">
        <v>43901.599999999999</v>
      </c>
      <c r="HF21">
        <v>1.8845799999999999</v>
      </c>
      <c r="HG21">
        <v>1.9071</v>
      </c>
      <c r="HH21">
        <v>7.0601700000000003E-2</v>
      </c>
      <c r="HI21">
        <v>0</v>
      </c>
      <c r="HJ21">
        <v>16.7881</v>
      </c>
      <c r="HK21">
        <v>999.9</v>
      </c>
      <c r="HL21">
        <v>33.9</v>
      </c>
      <c r="HM21">
        <v>29</v>
      </c>
      <c r="HN21">
        <v>14.982100000000001</v>
      </c>
      <c r="HO21">
        <v>63.957900000000002</v>
      </c>
      <c r="HP21">
        <v>19.495200000000001</v>
      </c>
      <c r="HQ21">
        <v>1</v>
      </c>
      <c r="HR21">
        <v>-0.196441</v>
      </c>
      <c r="HS21">
        <v>3.7524799999999998</v>
      </c>
      <c r="HT21">
        <v>20.1724</v>
      </c>
      <c r="HU21">
        <v>5.2409499999999998</v>
      </c>
      <c r="HV21">
        <v>11.974</v>
      </c>
      <c r="HW21">
        <v>4.9733499999999999</v>
      </c>
      <c r="HX21">
        <v>3.2909999999999999</v>
      </c>
      <c r="HY21">
        <v>9999</v>
      </c>
      <c r="HZ21">
        <v>9999</v>
      </c>
      <c r="IA21">
        <v>9999</v>
      </c>
      <c r="IB21">
        <v>999.9</v>
      </c>
      <c r="IC21">
        <v>4.9729099999999997</v>
      </c>
      <c r="ID21">
        <v>1.8771500000000001</v>
      </c>
      <c r="IE21">
        <v>1.8752899999999999</v>
      </c>
      <c r="IF21">
        <v>1.87805</v>
      </c>
      <c r="IG21">
        <v>1.8748400000000001</v>
      </c>
      <c r="IH21">
        <v>1.8783700000000001</v>
      </c>
      <c r="II21">
        <v>1.8755200000000001</v>
      </c>
      <c r="IJ21">
        <v>1.8766799999999999</v>
      </c>
      <c r="IK21">
        <v>0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0.82199999999999995</v>
      </c>
      <c r="IY21">
        <v>8.6199999999999999E-2</v>
      </c>
      <c r="IZ21">
        <v>6.1933660764125778E-2</v>
      </c>
      <c r="JA21">
        <v>2.058711587971173E-3</v>
      </c>
      <c r="JB21">
        <v>-6.1309262243104059E-7</v>
      </c>
      <c r="JC21">
        <v>2.6183910446277612E-10</v>
      </c>
      <c r="JD21">
        <v>3.5078820932035488E-4</v>
      </c>
      <c r="JE21">
        <v>-4.3284922736758413E-3</v>
      </c>
      <c r="JF21">
        <v>1.4186339569364E-3</v>
      </c>
      <c r="JG21">
        <v>-2.7770646863349432E-5</v>
      </c>
      <c r="JH21">
        <v>2</v>
      </c>
      <c r="JI21">
        <v>2136</v>
      </c>
      <c r="JJ21">
        <v>1</v>
      </c>
      <c r="JK21">
        <v>19</v>
      </c>
      <c r="JL21">
        <v>29361300.899999999</v>
      </c>
      <c r="JM21">
        <v>29361300.899999999</v>
      </c>
      <c r="JN21">
        <v>1.09619</v>
      </c>
      <c r="JO21">
        <v>2.52319</v>
      </c>
      <c r="JP21">
        <v>1.39893</v>
      </c>
      <c r="JQ21">
        <v>2.32422</v>
      </c>
      <c r="JR21">
        <v>1.4489700000000001</v>
      </c>
      <c r="JS21">
        <v>2.5952099999999998</v>
      </c>
      <c r="JT21">
        <v>35.313299999999998</v>
      </c>
      <c r="JU21">
        <v>23.8598</v>
      </c>
      <c r="JV21">
        <v>18</v>
      </c>
      <c r="JW21">
        <v>480.13799999999998</v>
      </c>
      <c r="JX21">
        <v>463.54199999999997</v>
      </c>
      <c r="JY21">
        <v>12.6386</v>
      </c>
      <c r="JZ21">
        <v>24.5031</v>
      </c>
      <c r="KA21">
        <v>29.9998</v>
      </c>
      <c r="KB21">
        <v>24.195399999999999</v>
      </c>
      <c r="KC21">
        <v>24.259699999999999</v>
      </c>
      <c r="KD21">
        <v>21.9801</v>
      </c>
      <c r="KE21">
        <v>34.780299999999997</v>
      </c>
      <c r="KF21">
        <v>35.713999999999999</v>
      </c>
      <c r="KG21">
        <v>12.6591</v>
      </c>
      <c r="KH21">
        <v>420</v>
      </c>
      <c r="KI21">
        <v>9.24831</v>
      </c>
      <c r="KJ21">
        <v>101.988</v>
      </c>
      <c r="KK21">
        <v>100.97199999999999</v>
      </c>
    </row>
    <row r="22" spans="1:297" x14ac:dyDescent="0.3">
      <c r="A22">
        <v>6</v>
      </c>
      <c r="B22">
        <v>1761678181</v>
      </c>
      <c r="C22">
        <v>731</v>
      </c>
      <c r="D22" t="s">
        <v>462</v>
      </c>
      <c r="E22" t="s">
        <v>463</v>
      </c>
      <c r="F22">
        <v>5</v>
      </c>
      <c r="G22" t="s">
        <v>435</v>
      </c>
      <c r="H22" t="s">
        <v>436</v>
      </c>
      <c r="I22">
        <v>1761678173.25</v>
      </c>
      <c r="J22">
        <f t="shared" si="0"/>
        <v>1.5233198165642474E-3</v>
      </c>
      <c r="K22">
        <f t="shared" si="1"/>
        <v>1.5233198165642474</v>
      </c>
      <c r="L22">
        <f t="shared" si="2"/>
        <v>6.5427278481282327</v>
      </c>
      <c r="M22">
        <f t="shared" si="3"/>
        <v>411.47043333333329</v>
      </c>
      <c r="N22">
        <f t="shared" si="4"/>
        <v>302.89355365178125</v>
      </c>
      <c r="O22">
        <f t="shared" si="5"/>
        <v>27.568010323368867</v>
      </c>
      <c r="P22">
        <f t="shared" si="6"/>
        <v>37.450190065567561</v>
      </c>
      <c r="Q22">
        <f t="shared" si="7"/>
        <v>0.10633830312905553</v>
      </c>
      <c r="R22">
        <f t="shared" si="8"/>
        <v>2.7675298535703781</v>
      </c>
      <c r="S22">
        <f t="shared" si="9"/>
        <v>0.10411945797944377</v>
      </c>
      <c r="T22">
        <f t="shared" si="10"/>
        <v>6.527015951941631E-2</v>
      </c>
      <c r="U22">
        <f t="shared" si="11"/>
        <v>404.8602925548484</v>
      </c>
      <c r="V22">
        <f t="shared" si="12"/>
        <v>19.833225674908888</v>
      </c>
      <c r="W22">
        <f t="shared" si="13"/>
        <v>19.833225674908888</v>
      </c>
      <c r="X22">
        <f t="shared" si="14"/>
        <v>2.3224876297811727</v>
      </c>
      <c r="Y22">
        <f t="shared" si="15"/>
        <v>49.889993156150176</v>
      </c>
      <c r="Z22">
        <f t="shared" si="16"/>
        <v>1.0153019469235012</v>
      </c>
      <c r="AA22">
        <f t="shared" si="17"/>
        <v>2.0350813513758523</v>
      </c>
      <c r="AB22">
        <f t="shared" si="18"/>
        <v>1.3071856828576716</v>
      </c>
      <c r="AC22">
        <f t="shared" si="19"/>
        <v>-67.178403910483311</v>
      </c>
      <c r="AD22">
        <f t="shared" si="20"/>
        <v>-315.30622263644585</v>
      </c>
      <c r="AE22">
        <f t="shared" si="21"/>
        <v>-22.620826513549332</v>
      </c>
      <c r="AF22">
        <f t="shared" si="22"/>
        <v>-0.24516050563011049</v>
      </c>
      <c r="AG22">
        <f t="shared" si="23"/>
        <v>6.4972448323284588</v>
      </c>
      <c r="AH22">
        <f t="shared" si="24"/>
        <v>1.5071255127158003</v>
      </c>
      <c r="AI22">
        <f t="shared" si="25"/>
        <v>6.5427278481282327</v>
      </c>
      <c r="AJ22">
        <v>423.98627058571418</v>
      </c>
      <c r="AK22">
        <v>416.06921818181831</v>
      </c>
      <c r="AL22">
        <v>-1.646450216438261E-3</v>
      </c>
      <c r="AM22">
        <v>64.84</v>
      </c>
      <c r="AN22">
        <f t="shared" si="26"/>
        <v>1.5233198165642474</v>
      </c>
      <c r="AO22">
        <v>9.367007056581377</v>
      </c>
      <c r="AP22">
        <v>11.17237202797204</v>
      </c>
      <c r="AQ22">
        <v>2.8988481053067878E-4</v>
      </c>
      <c r="AR22">
        <v>96.213721469384424</v>
      </c>
      <c r="AS22">
        <v>0</v>
      </c>
      <c r="AT22">
        <v>0</v>
      </c>
      <c r="AU22">
        <f t="shared" si="27"/>
        <v>1</v>
      </c>
      <c r="AV22">
        <f t="shared" si="28"/>
        <v>0</v>
      </c>
      <c r="AW22">
        <f t="shared" si="29"/>
        <v>49673.690498779797</v>
      </c>
      <c r="AX22" t="s">
        <v>437</v>
      </c>
      <c r="AY22">
        <v>5023.29</v>
      </c>
      <c r="AZ22">
        <v>678.98399999999992</v>
      </c>
      <c r="BA22">
        <v>1598.7134001116131</v>
      </c>
      <c r="BB22">
        <f t="shared" si="30"/>
        <v>0.57529348290156501</v>
      </c>
      <c r="BC22">
        <v>-0.67640696176369675</v>
      </c>
      <c r="BD22" t="s">
        <v>464</v>
      </c>
      <c r="BE22">
        <v>5050.82</v>
      </c>
      <c r="BF22">
        <v>1471.8344</v>
      </c>
      <c r="BG22">
        <v>1597.2061837912629</v>
      </c>
      <c r="BH22">
        <f t="shared" si="31"/>
        <v>7.8494426745625234E-2</v>
      </c>
      <c r="BI22">
        <v>0.5</v>
      </c>
      <c r="BJ22">
        <f t="shared" si="48"/>
        <v>1884.1889493807505</v>
      </c>
      <c r="BK22">
        <f t="shared" si="32"/>
        <v>6.5427278481282327</v>
      </c>
      <c r="BL22">
        <f t="shared" si="49"/>
        <v>73.949165731041944</v>
      </c>
      <c r="BM22">
        <f t="shared" si="33"/>
        <v>3.8314282717052022E-3</v>
      </c>
      <c r="BN22">
        <f t="shared" si="34"/>
        <v>9.4365795452437944E-4</v>
      </c>
      <c r="BO22">
        <f t="shared" si="35"/>
        <v>678.71198738213809</v>
      </c>
      <c r="BP22" t="s">
        <v>465</v>
      </c>
      <c r="BQ22">
        <v>796.2</v>
      </c>
      <c r="BR22">
        <f t="shared" si="36"/>
        <v>796.2</v>
      </c>
      <c r="BS22">
        <f t="shared" si="37"/>
        <v>0.50150455959914164</v>
      </c>
      <c r="BT22">
        <f t="shared" si="38"/>
        <v>0.15651787255606761</v>
      </c>
      <c r="BU22">
        <f t="shared" si="39"/>
        <v>1.8781198172398499E-3</v>
      </c>
      <c r="BV22">
        <f t="shared" si="40"/>
        <v>0.13653752436432465</v>
      </c>
      <c r="BW22">
        <f t="shared" si="41"/>
        <v>1.638760618250592E-3</v>
      </c>
      <c r="BX22">
        <f t="shared" si="42"/>
        <v>8.4669532203582851E-2</v>
      </c>
      <c r="BY22">
        <f t="shared" si="43"/>
        <v>0.91533046779641714</v>
      </c>
      <c r="BZ22">
        <v>377</v>
      </c>
      <c r="CA22">
        <v>290.00000000000011</v>
      </c>
      <c r="CB22">
        <v>1564.96</v>
      </c>
      <c r="CC22">
        <v>185</v>
      </c>
      <c r="CD22">
        <v>5050.82</v>
      </c>
      <c r="CE22">
        <v>1562.96</v>
      </c>
      <c r="CF22">
        <v>2</v>
      </c>
      <c r="CG22">
        <v>300.00000000000011</v>
      </c>
      <c r="CH22">
        <v>23.9</v>
      </c>
      <c r="CI22">
        <v>1597.2061837912629</v>
      </c>
      <c r="CJ22">
        <v>1.796383977191095</v>
      </c>
      <c r="CK22">
        <v>-17.298422756276729</v>
      </c>
      <c r="CL22">
        <v>0.81630747357724143</v>
      </c>
      <c r="CM22">
        <v>0.94130731251951305</v>
      </c>
      <c r="CN22">
        <v>-3.190157508342607E-3</v>
      </c>
      <c r="CO22">
        <v>289.99999999999989</v>
      </c>
      <c r="CP22">
        <v>1561.84</v>
      </c>
      <c r="CQ22">
        <v>735</v>
      </c>
      <c r="CR22">
        <v>5049.72</v>
      </c>
      <c r="CS22">
        <v>1562.95</v>
      </c>
      <c r="CT22">
        <v>-1.1100000000000001</v>
      </c>
      <c r="DH22">
        <f t="shared" si="44"/>
        <v>2296.4110000000001</v>
      </c>
      <c r="DI22">
        <f t="shared" si="45"/>
        <v>1884.1889493807505</v>
      </c>
      <c r="DJ22">
        <f t="shared" si="46"/>
        <v>0.82049291236662358</v>
      </c>
      <c r="DK22">
        <f t="shared" si="47"/>
        <v>0.17630132086758354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1761678173.25</v>
      </c>
      <c r="DR22">
        <v>411.47043333333329</v>
      </c>
      <c r="DS22">
        <v>420.01083333333332</v>
      </c>
      <c r="DT22">
        <v>11.15526333333333</v>
      </c>
      <c r="DU22">
        <v>9.3669836666666679</v>
      </c>
      <c r="DV22">
        <v>410.64839999999998</v>
      </c>
      <c r="DW22">
        <v>11.06671666666667</v>
      </c>
      <c r="DX22">
        <v>500.02686666666671</v>
      </c>
      <c r="DY22">
        <v>90.992403333333357</v>
      </c>
      <c r="DZ22">
        <v>2.310357E-2</v>
      </c>
      <c r="EA22">
        <v>17.719956666666668</v>
      </c>
      <c r="EB22">
        <v>18.00068666666667</v>
      </c>
      <c r="EC22">
        <v>999.9000000000002</v>
      </c>
      <c r="ED22">
        <v>0</v>
      </c>
      <c r="EE22">
        <v>0</v>
      </c>
      <c r="EF22">
        <v>10004.963</v>
      </c>
      <c r="EG22">
        <v>0</v>
      </c>
      <c r="EH22">
        <v>1096.44</v>
      </c>
      <c r="EI22">
        <v>-8.5403283333333331</v>
      </c>
      <c r="EJ22">
        <v>416.11226666666681</v>
      </c>
      <c r="EK22">
        <v>423.9822999999999</v>
      </c>
      <c r="EL22">
        <v>1.7882819999999999</v>
      </c>
      <c r="EM22">
        <v>420.01083333333332</v>
      </c>
      <c r="EN22">
        <v>9.3669836666666679</v>
      </c>
      <c r="EO22">
        <v>1.0150436666666669</v>
      </c>
      <c r="EP22">
        <v>0.85232456666666667</v>
      </c>
      <c r="EQ22">
        <v>7.1341260000000002</v>
      </c>
      <c r="ER22">
        <v>4.6099563333333338</v>
      </c>
      <c r="ES22">
        <v>1199.971</v>
      </c>
      <c r="ET22">
        <v>0.96699993333333323</v>
      </c>
      <c r="EU22">
        <v>3.3000033333333331E-2</v>
      </c>
      <c r="EV22">
        <v>0</v>
      </c>
      <c r="EW22">
        <v>1471.863333333333</v>
      </c>
      <c r="EX22">
        <v>5.0005600000000019</v>
      </c>
      <c r="EY22">
        <v>17559.37666666666</v>
      </c>
      <c r="EZ22">
        <v>10316.546666666671</v>
      </c>
      <c r="FA22">
        <v>37.762266666666662</v>
      </c>
      <c r="FB22">
        <v>41.02473333333333</v>
      </c>
      <c r="FC22">
        <v>38.904000000000003</v>
      </c>
      <c r="FD22">
        <v>40.320533333333323</v>
      </c>
      <c r="FE22">
        <v>39.174866666666659</v>
      </c>
      <c r="FF22">
        <v>1155.537333333333</v>
      </c>
      <c r="FG22">
        <v>39.432000000000009</v>
      </c>
      <c r="FH22">
        <v>0</v>
      </c>
      <c r="FI22">
        <v>127.2000000476837</v>
      </c>
      <c r="FJ22">
        <v>0</v>
      </c>
      <c r="FK22">
        <v>1471.8344</v>
      </c>
      <c r="FL22">
        <v>-9.0607692101063648</v>
      </c>
      <c r="FM22">
        <v>-73.353846277896267</v>
      </c>
      <c r="FN22">
        <v>17559.155999999999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-8.5348451219512214</v>
      </c>
      <c r="GD22">
        <v>-0.14775846689898159</v>
      </c>
      <c r="GE22">
        <v>5.0731870058369273E-2</v>
      </c>
      <c r="GF22">
        <v>1</v>
      </c>
      <c r="GG22">
        <v>1472.1817647058831</v>
      </c>
      <c r="GH22">
        <v>-8.3147440756182291</v>
      </c>
      <c r="GI22">
        <v>0.86470148058102769</v>
      </c>
      <c r="GJ22">
        <v>0</v>
      </c>
      <c r="GK22">
        <v>1.7770451219512191</v>
      </c>
      <c r="GL22">
        <v>0.22299637630662139</v>
      </c>
      <c r="GM22">
        <v>2.2409753551822471E-2</v>
      </c>
      <c r="GN22">
        <v>0</v>
      </c>
      <c r="GO22">
        <v>1</v>
      </c>
      <c r="GP22">
        <v>3</v>
      </c>
      <c r="GQ22" t="s">
        <v>442</v>
      </c>
      <c r="GR22">
        <v>3.13245</v>
      </c>
      <c r="GS22">
        <v>2.7006800000000002</v>
      </c>
      <c r="GT22">
        <v>8.5673799999999994E-2</v>
      </c>
      <c r="GU22">
        <v>8.7589100000000003E-2</v>
      </c>
      <c r="GV22">
        <v>6.2652299999999994E-2</v>
      </c>
      <c r="GW22">
        <v>5.5305800000000002E-2</v>
      </c>
      <c r="GX22">
        <v>27756.799999999999</v>
      </c>
      <c r="GY22">
        <v>26741.5</v>
      </c>
      <c r="GZ22">
        <v>30882.2</v>
      </c>
      <c r="HA22">
        <v>29541.7</v>
      </c>
      <c r="HB22">
        <v>39909.5</v>
      </c>
      <c r="HC22">
        <v>36740</v>
      </c>
      <c r="HD22">
        <v>47177.5</v>
      </c>
      <c r="HE22">
        <v>43907.4</v>
      </c>
      <c r="HF22">
        <v>1.88612</v>
      </c>
      <c r="HG22">
        <v>1.90785</v>
      </c>
      <c r="HH22">
        <v>6.5945100000000006E-2</v>
      </c>
      <c r="HI22">
        <v>0</v>
      </c>
      <c r="HJ22">
        <v>16.947500000000002</v>
      </c>
      <c r="HK22">
        <v>999.9</v>
      </c>
      <c r="HL22">
        <v>33.1</v>
      </c>
      <c r="HM22">
        <v>29.1</v>
      </c>
      <c r="HN22">
        <v>14.716200000000001</v>
      </c>
      <c r="HO22">
        <v>63.4679</v>
      </c>
      <c r="HP22">
        <v>19.4832</v>
      </c>
      <c r="HQ22">
        <v>1</v>
      </c>
      <c r="HR22">
        <v>-0.20649100000000001</v>
      </c>
      <c r="HS22">
        <v>3.2644099999999998</v>
      </c>
      <c r="HT22">
        <v>20.183599999999998</v>
      </c>
      <c r="HU22">
        <v>5.2411000000000003</v>
      </c>
      <c r="HV22">
        <v>11.974</v>
      </c>
      <c r="HW22">
        <v>4.9736000000000002</v>
      </c>
      <c r="HX22">
        <v>3.2909999999999999</v>
      </c>
      <c r="HY22">
        <v>9999</v>
      </c>
      <c r="HZ22">
        <v>9999</v>
      </c>
      <c r="IA22">
        <v>9999</v>
      </c>
      <c r="IB22">
        <v>999.9</v>
      </c>
      <c r="IC22">
        <v>4.9729099999999997</v>
      </c>
      <c r="ID22">
        <v>1.8771500000000001</v>
      </c>
      <c r="IE22">
        <v>1.8752500000000001</v>
      </c>
      <c r="IF22">
        <v>1.87805</v>
      </c>
      <c r="IG22">
        <v>1.87479</v>
      </c>
      <c r="IH22">
        <v>1.8783700000000001</v>
      </c>
      <c r="II22">
        <v>1.87548</v>
      </c>
      <c r="IJ22">
        <v>1.8766499999999999</v>
      </c>
      <c r="IK22">
        <v>0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0.82199999999999995</v>
      </c>
      <c r="IY22">
        <v>8.8900000000000007E-2</v>
      </c>
      <c r="IZ22">
        <v>6.1933660764125778E-2</v>
      </c>
      <c r="JA22">
        <v>2.058711587971173E-3</v>
      </c>
      <c r="JB22">
        <v>-6.1309262243104059E-7</v>
      </c>
      <c r="JC22">
        <v>2.6183910446277612E-10</v>
      </c>
      <c r="JD22">
        <v>3.5078820932035488E-4</v>
      </c>
      <c r="JE22">
        <v>-4.3284922736758413E-3</v>
      </c>
      <c r="JF22">
        <v>1.4186339569364E-3</v>
      </c>
      <c r="JG22">
        <v>-2.7770646863349432E-5</v>
      </c>
      <c r="JH22">
        <v>2</v>
      </c>
      <c r="JI22">
        <v>2136</v>
      </c>
      <c r="JJ22">
        <v>1</v>
      </c>
      <c r="JK22">
        <v>19</v>
      </c>
      <c r="JL22">
        <v>29361303</v>
      </c>
      <c r="JM22">
        <v>29361303</v>
      </c>
      <c r="JN22">
        <v>1.09619</v>
      </c>
      <c r="JO22">
        <v>2.52563</v>
      </c>
      <c r="JP22">
        <v>1.39893</v>
      </c>
      <c r="JQ22">
        <v>2.32422</v>
      </c>
      <c r="JR22">
        <v>1.4489700000000001</v>
      </c>
      <c r="JS22">
        <v>2.6086399999999998</v>
      </c>
      <c r="JT22">
        <v>35.3596</v>
      </c>
      <c r="JU22">
        <v>23.868600000000001</v>
      </c>
      <c r="JV22">
        <v>18</v>
      </c>
      <c r="JW22">
        <v>480.57499999999999</v>
      </c>
      <c r="JX22">
        <v>463.654</v>
      </c>
      <c r="JY22">
        <v>13.676600000000001</v>
      </c>
      <c r="JZ22">
        <v>24.38</v>
      </c>
      <c r="KA22">
        <v>30.0001</v>
      </c>
      <c r="KB22">
        <v>24.140699999999999</v>
      </c>
      <c r="KC22">
        <v>24.217500000000001</v>
      </c>
      <c r="KD22">
        <v>21.9754</v>
      </c>
      <c r="KE22">
        <v>32.826599999999999</v>
      </c>
      <c r="KF22">
        <v>33.088900000000002</v>
      </c>
      <c r="KG22">
        <v>13.611599999999999</v>
      </c>
      <c r="KH22">
        <v>420</v>
      </c>
      <c r="KI22">
        <v>9.4032900000000001</v>
      </c>
      <c r="KJ22">
        <v>102.01</v>
      </c>
      <c r="KK22">
        <v>100.985</v>
      </c>
    </row>
    <row r="23" spans="1:297" x14ac:dyDescent="0.3">
      <c r="A23">
        <v>7</v>
      </c>
      <c r="B23">
        <v>1761678288</v>
      </c>
      <c r="C23">
        <v>838</v>
      </c>
      <c r="D23" t="s">
        <v>466</v>
      </c>
      <c r="E23" t="s">
        <v>467</v>
      </c>
      <c r="F23">
        <v>5</v>
      </c>
      <c r="G23" t="s">
        <v>435</v>
      </c>
      <c r="H23" t="s">
        <v>436</v>
      </c>
      <c r="I23">
        <v>1761678280</v>
      </c>
      <c r="J23">
        <f t="shared" si="0"/>
        <v>1.4932815759603031E-3</v>
      </c>
      <c r="K23">
        <f t="shared" si="1"/>
        <v>1.4932815759603031</v>
      </c>
      <c r="L23">
        <f t="shared" si="2"/>
        <v>6.3327932514349747</v>
      </c>
      <c r="M23">
        <f t="shared" si="3"/>
        <v>411.68287096774191</v>
      </c>
      <c r="N23">
        <f t="shared" si="4"/>
        <v>305.50284289678552</v>
      </c>
      <c r="O23">
        <f t="shared" si="5"/>
        <v>27.805223457166129</v>
      </c>
      <c r="P23">
        <f t="shared" si="6"/>
        <v>37.469157773478116</v>
      </c>
      <c r="Q23">
        <f t="shared" si="7"/>
        <v>0.10536869430469559</v>
      </c>
      <c r="R23">
        <f t="shared" si="8"/>
        <v>2.7665615817711018</v>
      </c>
      <c r="S23">
        <f t="shared" si="9"/>
        <v>0.10318893583032365</v>
      </c>
      <c r="T23">
        <f t="shared" si="10"/>
        <v>6.4685171804372318E-2</v>
      </c>
      <c r="U23">
        <f t="shared" si="11"/>
        <v>352.60763754166959</v>
      </c>
      <c r="V23">
        <f t="shared" si="12"/>
        <v>19.802905064433368</v>
      </c>
      <c r="W23">
        <f t="shared" si="13"/>
        <v>19.802905064433368</v>
      </c>
      <c r="X23">
        <f t="shared" si="14"/>
        <v>2.318124899550337</v>
      </c>
      <c r="Y23">
        <f t="shared" si="15"/>
        <v>49.471399053083829</v>
      </c>
      <c r="Z23">
        <f t="shared" si="16"/>
        <v>1.0252132790985204</v>
      </c>
      <c r="AA23">
        <f t="shared" si="17"/>
        <v>2.0723353265155198</v>
      </c>
      <c r="AB23">
        <f t="shared" si="18"/>
        <v>1.2929116204518165</v>
      </c>
      <c r="AC23">
        <f t="shared" si="19"/>
        <v>-65.853717499849367</v>
      </c>
      <c r="AD23">
        <f t="shared" si="20"/>
        <v>-267.69384645365653</v>
      </c>
      <c r="AE23">
        <f t="shared" si="21"/>
        <v>-19.237128539807255</v>
      </c>
      <c r="AF23">
        <f t="shared" si="22"/>
        <v>-0.17705495164358354</v>
      </c>
      <c r="AG23">
        <f t="shared" si="23"/>
        <v>6.3249489898077593</v>
      </c>
      <c r="AH23">
        <f t="shared" si="24"/>
        <v>1.4275039597937891</v>
      </c>
      <c r="AI23">
        <f t="shared" si="25"/>
        <v>6.3327932514349747</v>
      </c>
      <c r="AJ23">
        <v>424.03530505238098</v>
      </c>
      <c r="AK23">
        <v>416.36374545454532</v>
      </c>
      <c r="AL23">
        <v>-2.405930142953713E-4</v>
      </c>
      <c r="AM23">
        <v>64.84</v>
      </c>
      <c r="AN23">
        <f t="shared" si="26"/>
        <v>1.4932815759603031</v>
      </c>
      <c r="AO23">
        <v>9.5918875749017491</v>
      </c>
      <c r="AP23">
        <v>11.30990839160839</v>
      </c>
      <c r="AQ23">
        <v>7.4155949387218669E-3</v>
      </c>
      <c r="AR23">
        <v>96.213721469384424</v>
      </c>
      <c r="AS23">
        <v>0</v>
      </c>
      <c r="AT23">
        <v>0</v>
      </c>
      <c r="AU23">
        <f t="shared" si="27"/>
        <v>1</v>
      </c>
      <c r="AV23">
        <f t="shared" si="28"/>
        <v>0</v>
      </c>
      <c r="AW23">
        <f t="shared" si="29"/>
        <v>49597.304828923559</v>
      </c>
      <c r="AX23" t="s">
        <v>437</v>
      </c>
      <c r="AY23">
        <v>5023.29</v>
      </c>
      <c r="AZ23">
        <v>678.98399999999992</v>
      </c>
      <c r="BA23">
        <v>1598.7134001116131</v>
      </c>
      <c r="BB23">
        <f t="shared" si="30"/>
        <v>0.57529348290156501</v>
      </c>
      <c r="BC23">
        <v>-0.67640696176369675</v>
      </c>
      <c r="BD23" t="s">
        <v>468</v>
      </c>
      <c r="BE23">
        <v>5053.4799999999996</v>
      </c>
      <c r="BF23">
        <v>1428.3268</v>
      </c>
      <c r="BG23">
        <v>1601.780863417506</v>
      </c>
      <c r="BH23">
        <f t="shared" si="31"/>
        <v>0.1082882605098866</v>
      </c>
      <c r="BI23">
        <v>0.5</v>
      </c>
      <c r="BJ23">
        <f t="shared" si="48"/>
        <v>1638.4056167230779</v>
      </c>
      <c r="BK23">
        <f t="shared" si="32"/>
        <v>6.3327932514349747</v>
      </c>
      <c r="BL23">
        <f t="shared" si="49"/>
        <v>88.710047122285033</v>
      </c>
      <c r="BM23">
        <f t="shared" si="33"/>
        <v>4.2780616360541699E-3</v>
      </c>
      <c r="BN23">
        <f t="shared" si="34"/>
        <v>-1.915033058484858E-3</v>
      </c>
      <c r="BO23">
        <f t="shared" si="35"/>
        <v>679.53668554770718</v>
      </c>
      <c r="BP23" t="s">
        <v>469</v>
      </c>
      <c r="BQ23">
        <v>799.53</v>
      </c>
      <c r="BR23">
        <f t="shared" si="36"/>
        <v>799.53</v>
      </c>
      <c r="BS23">
        <f t="shared" si="37"/>
        <v>0.50084932448615382</v>
      </c>
      <c r="BT23">
        <f t="shared" si="38"/>
        <v>0.21620925738690952</v>
      </c>
      <c r="BU23">
        <f t="shared" si="39"/>
        <v>-3.8382470224788759E-3</v>
      </c>
      <c r="BV23">
        <f t="shared" si="40"/>
        <v>0.18796559708182403</v>
      </c>
      <c r="BW23">
        <f t="shared" si="41"/>
        <v>-3.3351802231402989E-3</v>
      </c>
      <c r="BX23">
        <f t="shared" si="42"/>
        <v>0.1210267759160969</v>
      </c>
      <c r="BY23">
        <f t="shared" si="43"/>
        <v>0.8789732240839031</v>
      </c>
      <c r="BZ23">
        <v>379</v>
      </c>
      <c r="CA23">
        <v>290.00000000000011</v>
      </c>
      <c r="CB23">
        <v>1563.62</v>
      </c>
      <c r="CC23">
        <v>115</v>
      </c>
      <c r="CD23">
        <v>5053.4799999999996</v>
      </c>
      <c r="CE23">
        <v>1562.08</v>
      </c>
      <c r="CF23">
        <v>1.54</v>
      </c>
      <c r="CG23">
        <v>300.00000000000011</v>
      </c>
      <c r="CH23">
        <v>23.9</v>
      </c>
      <c r="CI23">
        <v>1601.780863417506</v>
      </c>
      <c r="CJ23">
        <v>1.729323077028891</v>
      </c>
      <c r="CK23">
        <v>-20.064369074162819</v>
      </c>
      <c r="CL23">
        <v>0.77889661809012523</v>
      </c>
      <c r="CM23">
        <v>0.95951282847839336</v>
      </c>
      <c r="CN23">
        <v>-3.439349944382648E-3</v>
      </c>
      <c r="CO23">
        <v>289.99999999999989</v>
      </c>
      <c r="CP23">
        <v>1559.72</v>
      </c>
      <c r="CQ23">
        <v>625</v>
      </c>
      <c r="CR23">
        <v>5052.13</v>
      </c>
      <c r="CS23">
        <v>1562.07</v>
      </c>
      <c r="CT23">
        <v>-2.35</v>
      </c>
      <c r="DH23">
        <f t="shared" si="44"/>
        <v>1996.4577741935482</v>
      </c>
      <c r="DI23">
        <f t="shared" si="45"/>
        <v>1638.4056167230779</v>
      </c>
      <c r="DJ23">
        <f t="shared" si="46"/>
        <v>0.82065628329399432</v>
      </c>
      <c r="DK23">
        <f t="shared" si="47"/>
        <v>0.17661662675740908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1761678280</v>
      </c>
      <c r="DR23">
        <v>411.68287096774191</v>
      </c>
      <c r="DS23">
        <v>419.97796774193552</v>
      </c>
      <c r="DT23">
        <v>11.26427096774194</v>
      </c>
      <c r="DU23">
        <v>9.5705735483870953</v>
      </c>
      <c r="DV23">
        <v>410.86035483870961</v>
      </c>
      <c r="DW23">
        <v>11.173906451612901</v>
      </c>
      <c r="DX23">
        <v>500.00341935483868</v>
      </c>
      <c r="DY23">
        <v>90.992151612903243</v>
      </c>
      <c r="DZ23">
        <v>2.2462829032258061E-2</v>
      </c>
      <c r="EA23">
        <v>18.008119354838708</v>
      </c>
      <c r="EB23">
        <v>18.063058064516131</v>
      </c>
      <c r="EC23">
        <v>999.90000000000032</v>
      </c>
      <c r="ED23">
        <v>0</v>
      </c>
      <c r="EE23">
        <v>0</v>
      </c>
      <c r="EF23">
        <v>9999.2745161290331</v>
      </c>
      <c r="EG23">
        <v>0</v>
      </c>
      <c r="EH23">
        <v>1096.44</v>
      </c>
      <c r="EI23">
        <v>-8.2950348387096771</v>
      </c>
      <c r="EJ23">
        <v>416.37293548387089</v>
      </c>
      <c r="EK23">
        <v>424.03616129032258</v>
      </c>
      <c r="EL23">
        <v>1.6936983870967739</v>
      </c>
      <c r="EM23">
        <v>419.97796774193552</v>
      </c>
      <c r="EN23">
        <v>9.5705735483870953</v>
      </c>
      <c r="EO23">
        <v>1.0249600000000001</v>
      </c>
      <c r="EP23">
        <v>0.87084703225806448</v>
      </c>
      <c r="EQ23">
        <v>7.2760580645161292</v>
      </c>
      <c r="ER23">
        <v>4.9177493548387092</v>
      </c>
      <c r="ES23">
        <v>900.01777419354823</v>
      </c>
      <c r="ET23">
        <v>0.95600264516129008</v>
      </c>
      <c r="EU23">
        <v>4.3997335483870963E-2</v>
      </c>
      <c r="EV23">
        <v>0</v>
      </c>
      <c r="EW23">
        <v>1428.298064516129</v>
      </c>
      <c r="EX23">
        <v>5.0005600000000019</v>
      </c>
      <c r="EY23">
        <v>12772.36451612903</v>
      </c>
      <c r="EZ23">
        <v>7699.8745161290344</v>
      </c>
      <c r="FA23">
        <v>38.588451612903228</v>
      </c>
      <c r="FB23">
        <v>41.322354838709657</v>
      </c>
      <c r="FC23">
        <v>39.425161290322571</v>
      </c>
      <c r="FD23">
        <v>40.68322580645161</v>
      </c>
      <c r="FE23">
        <v>39.386870967741928</v>
      </c>
      <c r="FF23">
        <v>855.63870967741934</v>
      </c>
      <c r="FG23">
        <v>39.37774193548389</v>
      </c>
      <c r="FH23">
        <v>0</v>
      </c>
      <c r="FI23">
        <v>105</v>
      </c>
      <c r="FJ23">
        <v>0</v>
      </c>
      <c r="FK23">
        <v>1428.3268</v>
      </c>
      <c r="FL23">
        <v>0.79076924094835144</v>
      </c>
      <c r="FM23">
        <v>-42.03846146188463</v>
      </c>
      <c r="FN23">
        <v>12771.98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-8.2804120000000001</v>
      </c>
      <c r="GD23">
        <v>-0.21068330206377611</v>
      </c>
      <c r="GE23">
        <v>3.8094005381424587E-2</v>
      </c>
      <c r="GF23">
        <v>1</v>
      </c>
      <c r="GG23">
        <v>1428.246764705882</v>
      </c>
      <c r="GH23">
        <v>0.75828877320884525</v>
      </c>
      <c r="GI23">
        <v>0.2344796565643891</v>
      </c>
      <c r="GJ23">
        <v>1</v>
      </c>
      <c r="GK23">
        <v>1.6995327499999999</v>
      </c>
      <c r="GL23">
        <v>-4.1822026266416297E-2</v>
      </c>
      <c r="GM23">
        <v>2.1073965334922121E-2</v>
      </c>
      <c r="GN23">
        <v>1</v>
      </c>
      <c r="GO23">
        <v>3</v>
      </c>
      <c r="GP23">
        <v>3</v>
      </c>
      <c r="GQ23" t="s">
        <v>470</v>
      </c>
      <c r="GR23">
        <v>3.1324200000000002</v>
      </c>
      <c r="GS23">
        <v>2.70044</v>
      </c>
      <c r="GT23">
        <v>8.5721500000000006E-2</v>
      </c>
      <c r="GU23">
        <v>8.7601100000000001E-2</v>
      </c>
      <c r="GV23">
        <v>6.3239299999999998E-2</v>
      </c>
      <c r="GW23">
        <v>5.6279099999999999E-2</v>
      </c>
      <c r="GX23">
        <v>27761.7</v>
      </c>
      <c r="GY23">
        <v>26745.599999999999</v>
      </c>
      <c r="GZ23">
        <v>30888.7</v>
      </c>
      <c r="HA23">
        <v>29546.2</v>
      </c>
      <c r="HB23">
        <v>39892.300000000003</v>
      </c>
      <c r="HC23">
        <v>36707.800000000003</v>
      </c>
      <c r="HD23">
        <v>47187.1</v>
      </c>
      <c r="HE23">
        <v>43914.6</v>
      </c>
      <c r="HF23">
        <v>1.8863300000000001</v>
      </c>
      <c r="HG23">
        <v>1.90933</v>
      </c>
      <c r="HH23">
        <v>5.73397E-2</v>
      </c>
      <c r="HI23">
        <v>0</v>
      </c>
      <c r="HJ23">
        <v>17.106400000000001</v>
      </c>
      <c r="HK23">
        <v>999.9</v>
      </c>
      <c r="HL23">
        <v>32.4</v>
      </c>
      <c r="HM23">
        <v>29.2</v>
      </c>
      <c r="HN23">
        <v>14.4861</v>
      </c>
      <c r="HO23">
        <v>64.0779</v>
      </c>
      <c r="HP23">
        <v>19.1907</v>
      </c>
      <c r="HQ23">
        <v>1</v>
      </c>
      <c r="HR23">
        <v>-0.21234500000000001</v>
      </c>
      <c r="HS23">
        <v>3.2506599999999999</v>
      </c>
      <c r="HT23">
        <v>20.1829</v>
      </c>
      <c r="HU23">
        <v>5.2324099999999998</v>
      </c>
      <c r="HV23">
        <v>11.974</v>
      </c>
      <c r="HW23">
        <v>4.97255</v>
      </c>
      <c r="HX23">
        <v>3.29033</v>
      </c>
      <c r="HY23">
        <v>9999</v>
      </c>
      <c r="HZ23">
        <v>9999</v>
      </c>
      <c r="IA23">
        <v>9999</v>
      </c>
      <c r="IB23">
        <v>999.9</v>
      </c>
      <c r="IC23">
        <v>4.9729099999999997</v>
      </c>
      <c r="ID23">
        <v>1.8772500000000001</v>
      </c>
      <c r="IE23">
        <v>1.87531</v>
      </c>
      <c r="IF23">
        <v>1.8781099999999999</v>
      </c>
      <c r="IG23">
        <v>1.8748400000000001</v>
      </c>
      <c r="IH23">
        <v>1.87842</v>
      </c>
      <c r="II23">
        <v>1.87557</v>
      </c>
      <c r="IJ23">
        <v>1.8766799999999999</v>
      </c>
      <c r="IK23">
        <v>0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0.82299999999999995</v>
      </c>
      <c r="IY23">
        <v>9.11E-2</v>
      </c>
      <c r="IZ23">
        <v>6.1933660764125778E-2</v>
      </c>
      <c r="JA23">
        <v>2.058711587971173E-3</v>
      </c>
      <c r="JB23">
        <v>-6.1309262243104059E-7</v>
      </c>
      <c r="JC23">
        <v>2.6183910446277612E-10</v>
      </c>
      <c r="JD23">
        <v>3.5078820932035488E-4</v>
      </c>
      <c r="JE23">
        <v>-4.3284922736758413E-3</v>
      </c>
      <c r="JF23">
        <v>1.4186339569364E-3</v>
      </c>
      <c r="JG23">
        <v>-2.7770646863349432E-5</v>
      </c>
      <c r="JH23">
        <v>2</v>
      </c>
      <c r="JI23">
        <v>2136</v>
      </c>
      <c r="JJ23">
        <v>1</v>
      </c>
      <c r="JK23">
        <v>19</v>
      </c>
      <c r="JL23">
        <v>29361304.800000001</v>
      </c>
      <c r="JM23">
        <v>29361304.800000001</v>
      </c>
      <c r="JN23">
        <v>1.09619</v>
      </c>
      <c r="JO23">
        <v>2.52319</v>
      </c>
      <c r="JP23">
        <v>1.39893</v>
      </c>
      <c r="JQ23">
        <v>2.32422</v>
      </c>
      <c r="JR23">
        <v>1.4489700000000001</v>
      </c>
      <c r="JS23">
        <v>2.6013199999999999</v>
      </c>
      <c r="JT23">
        <v>35.452300000000001</v>
      </c>
      <c r="JU23">
        <v>23.886099999999999</v>
      </c>
      <c r="JV23">
        <v>18</v>
      </c>
      <c r="JW23">
        <v>480.26600000000002</v>
      </c>
      <c r="JX23">
        <v>464.15</v>
      </c>
      <c r="JY23">
        <v>13.983000000000001</v>
      </c>
      <c r="JZ23">
        <v>24.276800000000001</v>
      </c>
      <c r="KA23">
        <v>29.999600000000001</v>
      </c>
      <c r="KB23">
        <v>24.081700000000001</v>
      </c>
      <c r="KC23">
        <v>24.166799999999999</v>
      </c>
      <c r="KD23">
        <v>21.976299999999998</v>
      </c>
      <c r="KE23">
        <v>29.948799999999999</v>
      </c>
      <c r="KF23">
        <v>31.5901</v>
      </c>
      <c r="KG23">
        <v>13.9383</v>
      </c>
      <c r="KH23">
        <v>420</v>
      </c>
      <c r="KI23">
        <v>9.6408299999999993</v>
      </c>
      <c r="KJ23">
        <v>102.03100000000001</v>
      </c>
      <c r="KK23">
        <v>101.001</v>
      </c>
    </row>
    <row r="24" spans="1:297" x14ac:dyDescent="0.3">
      <c r="A24">
        <v>8</v>
      </c>
      <c r="B24">
        <v>1761678417.5</v>
      </c>
      <c r="C24">
        <v>967.5</v>
      </c>
      <c r="D24" t="s">
        <v>471</v>
      </c>
      <c r="E24" t="s">
        <v>472</v>
      </c>
      <c r="F24">
        <v>5</v>
      </c>
      <c r="G24" t="s">
        <v>435</v>
      </c>
      <c r="H24" t="s">
        <v>436</v>
      </c>
      <c r="I24">
        <v>1761678409.75</v>
      </c>
      <c r="J24">
        <f t="shared" si="0"/>
        <v>1.4855354251856233E-3</v>
      </c>
      <c r="K24">
        <f t="shared" si="1"/>
        <v>1.4855354251856234</v>
      </c>
      <c r="L24">
        <f t="shared" si="2"/>
        <v>5.9327145702517718</v>
      </c>
      <c r="M24">
        <f t="shared" si="3"/>
        <v>412.06116666666662</v>
      </c>
      <c r="N24">
        <f t="shared" si="4"/>
        <v>314.50049097705818</v>
      </c>
      <c r="O24">
        <f t="shared" si="5"/>
        <v>28.622808336470623</v>
      </c>
      <c r="P24">
        <f t="shared" si="6"/>
        <v>37.501842238023201</v>
      </c>
      <c r="Q24">
        <f t="shared" si="7"/>
        <v>0.10811746374752328</v>
      </c>
      <c r="R24">
        <f t="shared" si="8"/>
        <v>2.7670114251118982</v>
      </c>
      <c r="S24">
        <f t="shared" si="9"/>
        <v>0.10582419265848515</v>
      </c>
      <c r="T24">
        <f t="shared" si="10"/>
        <v>6.6342110332952897E-2</v>
      </c>
      <c r="U24">
        <f t="shared" si="11"/>
        <v>300.73873561289918</v>
      </c>
      <c r="V24">
        <f t="shared" si="12"/>
        <v>19.684441183542525</v>
      </c>
      <c r="W24">
        <f t="shared" si="13"/>
        <v>19.684441183542525</v>
      </c>
      <c r="X24">
        <f t="shared" si="14"/>
        <v>2.3011482995261807</v>
      </c>
      <c r="Y24">
        <f t="shared" si="15"/>
        <v>49.88093922536774</v>
      </c>
      <c r="Z24">
        <f t="shared" si="16"/>
        <v>1.0470665029636692</v>
      </c>
      <c r="AA24">
        <f t="shared" si="17"/>
        <v>2.0991314903532672</v>
      </c>
      <c r="AB24">
        <f t="shared" si="18"/>
        <v>1.2540817965625115</v>
      </c>
      <c r="AC24">
        <f t="shared" si="19"/>
        <v>-65.512112250685988</v>
      </c>
      <c r="AD24">
        <f t="shared" si="20"/>
        <v>-219.56307960403737</v>
      </c>
      <c r="AE24">
        <f t="shared" si="21"/>
        <v>-15.782694506597243</v>
      </c>
      <c r="AF24">
        <f t="shared" si="22"/>
        <v>-0.11915074842141848</v>
      </c>
      <c r="AG24">
        <f t="shared" si="23"/>
        <v>5.9949802676784296</v>
      </c>
      <c r="AH24">
        <f t="shared" si="24"/>
        <v>1.4325776127610306</v>
      </c>
      <c r="AI24">
        <f t="shared" si="25"/>
        <v>5.9327145702517718</v>
      </c>
      <c r="AJ24">
        <v>424.06337389523821</v>
      </c>
      <c r="AK24">
        <v>416.87296363636358</v>
      </c>
      <c r="AL24">
        <v>1.243138148393594E-4</v>
      </c>
      <c r="AM24">
        <v>64.84</v>
      </c>
      <c r="AN24">
        <f t="shared" si="26"/>
        <v>1.4855354251856234</v>
      </c>
      <c r="AO24">
        <v>9.8037978008977049</v>
      </c>
      <c r="AP24">
        <v>11.537522377622381</v>
      </c>
      <c r="AQ24">
        <v>3.924008553776428E-3</v>
      </c>
      <c r="AR24">
        <v>96.213721469384424</v>
      </c>
      <c r="AS24">
        <v>0</v>
      </c>
      <c r="AT24">
        <v>0</v>
      </c>
      <c r="AU24">
        <f t="shared" si="27"/>
        <v>1</v>
      </c>
      <c r="AV24">
        <f t="shared" si="28"/>
        <v>0</v>
      </c>
      <c r="AW24">
        <f t="shared" si="29"/>
        <v>49575.016352750346</v>
      </c>
      <c r="AX24" t="s">
        <v>437</v>
      </c>
      <c r="AY24">
        <v>5023.29</v>
      </c>
      <c r="AZ24">
        <v>678.98399999999992</v>
      </c>
      <c r="BA24">
        <v>1598.7134001116131</v>
      </c>
      <c r="BB24">
        <f t="shared" si="30"/>
        <v>0.57529348290156501</v>
      </c>
      <c r="BC24">
        <v>-0.67640696176369675</v>
      </c>
      <c r="BD24" t="s">
        <v>473</v>
      </c>
      <c r="BE24">
        <v>5057.71</v>
      </c>
      <c r="BF24">
        <v>1359.708461538462</v>
      </c>
      <c r="BG24">
        <v>1612.302642164731</v>
      </c>
      <c r="BH24">
        <f t="shared" si="31"/>
        <v>0.15666672870245235</v>
      </c>
      <c r="BI24">
        <v>0.5</v>
      </c>
      <c r="BJ24">
        <f t="shared" si="48"/>
        <v>1392.7940819065107</v>
      </c>
      <c r="BK24">
        <f t="shared" si="32"/>
        <v>5.9327145702517718</v>
      </c>
      <c r="BL24">
        <f t="shared" si="49"/>
        <v>109.10224628421425</v>
      </c>
      <c r="BM24">
        <f t="shared" si="33"/>
        <v>4.7452251685106573E-3</v>
      </c>
      <c r="BN24">
        <f t="shared" si="34"/>
        <v>-8.4284685131276269E-3</v>
      </c>
      <c r="BO24">
        <f t="shared" si="35"/>
        <v>681.42324001078998</v>
      </c>
      <c r="BP24" t="s">
        <v>474</v>
      </c>
      <c r="BQ24">
        <v>801.73</v>
      </c>
      <c r="BR24">
        <f t="shared" si="36"/>
        <v>801.73</v>
      </c>
      <c r="BS24">
        <f t="shared" si="37"/>
        <v>0.50274224017671343</v>
      </c>
      <c r="BT24">
        <f t="shared" si="38"/>
        <v>0.31162435972633634</v>
      </c>
      <c r="BU24">
        <f t="shared" si="39"/>
        <v>-1.7050847045515398E-2</v>
      </c>
      <c r="BV24">
        <f t="shared" si="40"/>
        <v>0.27064088213260618</v>
      </c>
      <c r="BW24">
        <f t="shared" si="41"/>
        <v>-1.4775261127315057E-2</v>
      </c>
      <c r="BX24">
        <f t="shared" si="42"/>
        <v>0.18374424002680112</v>
      </c>
      <c r="BY24">
        <f t="shared" si="43"/>
        <v>0.81625575997319888</v>
      </c>
      <c r="BZ24">
        <v>381</v>
      </c>
      <c r="CA24">
        <v>290.00000000000011</v>
      </c>
      <c r="CB24">
        <v>1574.86</v>
      </c>
      <c r="CC24">
        <v>155</v>
      </c>
      <c r="CD24">
        <v>5057.71</v>
      </c>
      <c r="CE24">
        <v>1573.62</v>
      </c>
      <c r="CF24">
        <v>1.24</v>
      </c>
      <c r="CG24">
        <v>300.00000000000011</v>
      </c>
      <c r="CH24">
        <v>23.9</v>
      </c>
      <c r="CI24">
        <v>1612.302642164731</v>
      </c>
      <c r="CJ24">
        <v>1.6035638293707599</v>
      </c>
      <c r="CK24">
        <v>-19.56394361964762</v>
      </c>
      <c r="CL24">
        <v>0.7161745949365067</v>
      </c>
      <c r="CM24">
        <v>0.96383521896268576</v>
      </c>
      <c r="CN24">
        <v>-3.69171612903226E-3</v>
      </c>
      <c r="CO24">
        <v>289.99999999999989</v>
      </c>
      <c r="CP24">
        <v>1571.18</v>
      </c>
      <c r="CQ24">
        <v>715</v>
      </c>
      <c r="CR24">
        <v>5056.45</v>
      </c>
      <c r="CS24">
        <v>1573.61</v>
      </c>
      <c r="CT24">
        <v>-2.4300000000000002</v>
      </c>
      <c r="DH24">
        <f t="shared" si="44"/>
        <v>1696.4674666666665</v>
      </c>
      <c r="DI24">
        <f t="shared" si="45"/>
        <v>1392.7940819065107</v>
      </c>
      <c r="DJ24">
        <f t="shared" si="46"/>
        <v>0.82099663522765121</v>
      </c>
      <c r="DK24">
        <f t="shared" si="47"/>
        <v>0.17727350598936678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1761678409.75</v>
      </c>
      <c r="DR24">
        <v>412.06116666666662</v>
      </c>
      <c r="DS24">
        <v>419.96356666666662</v>
      </c>
      <c r="DT24">
        <v>11.504913333333331</v>
      </c>
      <c r="DU24">
        <v>9.8055870000000009</v>
      </c>
      <c r="DV24">
        <v>411.23813333333328</v>
      </c>
      <c r="DW24">
        <v>11.410496666666671</v>
      </c>
      <c r="DX24">
        <v>499.99669999999992</v>
      </c>
      <c r="DY24">
        <v>90.988229999999973</v>
      </c>
      <c r="DZ24">
        <v>2.2147273333333339E-2</v>
      </c>
      <c r="EA24">
        <v>18.212593333333331</v>
      </c>
      <c r="EB24">
        <v>18.042280000000002</v>
      </c>
      <c r="EC24">
        <v>999.9000000000002</v>
      </c>
      <c r="ED24">
        <v>0</v>
      </c>
      <c r="EE24">
        <v>0</v>
      </c>
      <c r="EF24">
        <v>10002.361000000001</v>
      </c>
      <c r="EG24">
        <v>0</v>
      </c>
      <c r="EH24">
        <v>1096.458333333333</v>
      </c>
      <c r="EI24">
        <v>-7.9025146666666659</v>
      </c>
      <c r="EJ24">
        <v>416.85703333333339</v>
      </c>
      <c r="EK24">
        <v>424.12240000000003</v>
      </c>
      <c r="EL24">
        <v>1.699329333333333</v>
      </c>
      <c r="EM24">
        <v>419.96356666666662</v>
      </c>
      <c r="EN24">
        <v>9.8055870000000009</v>
      </c>
      <c r="EO24">
        <v>1.046812333333333</v>
      </c>
      <c r="EP24">
        <v>0.89219310000000007</v>
      </c>
      <c r="EQ24">
        <v>7.5846989999999996</v>
      </c>
      <c r="ER24">
        <v>5.2654196666666646</v>
      </c>
      <c r="ES24">
        <v>600.00913333333347</v>
      </c>
      <c r="ET24">
        <v>0.93299883333333311</v>
      </c>
      <c r="EU24">
        <v>6.7001093333333331E-2</v>
      </c>
      <c r="EV24">
        <v>0</v>
      </c>
      <c r="EW24">
        <v>1359.7016666666671</v>
      </c>
      <c r="EX24">
        <v>5.0005600000000019</v>
      </c>
      <c r="EY24">
        <v>8024.1049999999996</v>
      </c>
      <c r="EZ24">
        <v>5081.2016666666668</v>
      </c>
      <c r="FA24">
        <v>36.074666666666658</v>
      </c>
      <c r="FB24">
        <v>38.458133333333329</v>
      </c>
      <c r="FC24">
        <v>37.328933333333332</v>
      </c>
      <c r="FD24">
        <v>37.2164</v>
      </c>
      <c r="FE24">
        <v>36.93719999999999</v>
      </c>
      <c r="FF24">
        <v>555.14233333333334</v>
      </c>
      <c r="FG24">
        <v>39.866000000000007</v>
      </c>
      <c r="FH24">
        <v>0</v>
      </c>
      <c r="FI24">
        <v>127.3999998569489</v>
      </c>
      <c r="FJ24">
        <v>0</v>
      </c>
      <c r="FK24">
        <v>1359.708461538462</v>
      </c>
      <c r="FL24">
        <v>3.5829059792799658</v>
      </c>
      <c r="FM24">
        <v>-3.807863124295138</v>
      </c>
      <c r="FN24">
        <v>8023.9192307692301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-7.91465525</v>
      </c>
      <c r="GD24">
        <v>0.17680333958726679</v>
      </c>
      <c r="GE24">
        <v>4.4844020670960133E-2</v>
      </c>
      <c r="GF24">
        <v>1</v>
      </c>
      <c r="GG24">
        <v>1359.497647058824</v>
      </c>
      <c r="GH24">
        <v>3.6653934351150781</v>
      </c>
      <c r="GI24">
        <v>0.40536155846304378</v>
      </c>
      <c r="GJ24">
        <v>0</v>
      </c>
      <c r="GK24">
        <v>1.6833549999999999</v>
      </c>
      <c r="GL24">
        <v>0.41731339587241922</v>
      </c>
      <c r="GM24">
        <v>4.1068032762721897E-2</v>
      </c>
      <c r="GN24">
        <v>0</v>
      </c>
      <c r="GO24">
        <v>1</v>
      </c>
      <c r="GP24">
        <v>3</v>
      </c>
      <c r="GQ24" t="s">
        <v>442</v>
      </c>
      <c r="GR24">
        <v>3.1322899999999998</v>
      </c>
      <c r="GS24">
        <v>2.7001400000000002</v>
      </c>
      <c r="GT24">
        <v>8.5803599999999994E-2</v>
      </c>
      <c r="GU24">
        <v>8.7622199999999997E-2</v>
      </c>
      <c r="GV24">
        <v>6.4189599999999999E-2</v>
      </c>
      <c r="GW24">
        <v>5.7204600000000001E-2</v>
      </c>
      <c r="GX24">
        <v>27767.8</v>
      </c>
      <c r="GY24">
        <v>26750</v>
      </c>
      <c r="GZ24">
        <v>30897.8</v>
      </c>
      <c r="HA24">
        <v>29551.200000000001</v>
      </c>
      <c r="HB24">
        <v>39862.300000000003</v>
      </c>
      <c r="HC24">
        <v>36677.800000000003</v>
      </c>
      <c r="HD24">
        <v>47200.1</v>
      </c>
      <c r="HE24">
        <v>43922.3</v>
      </c>
      <c r="HF24">
        <v>1.8875999999999999</v>
      </c>
      <c r="HG24">
        <v>1.9109499999999999</v>
      </c>
      <c r="HH24">
        <v>4.5307E-2</v>
      </c>
      <c r="HI24">
        <v>0</v>
      </c>
      <c r="HJ24">
        <v>17.2865</v>
      </c>
      <c r="HK24">
        <v>999.9</v>
      </c>
      <c r="HL24">
        <v>31.8</v>
      </c>
      <c r="HM24">
        <v>29.3</v>
      </c>
      <c r="HN24">
        <v>14.3028</v>
      </c>
      <c r="HO24">
        <v>63.777900000000002</v>
      </c>
      <c r="HP24">
        <v>19.370999999999999</v>
      </c>
      <c r="HQ24">
        <v>1</v>
      </c>
      <c r="HR24">
        <v>-0.22259899999999999</v>
      </c>
      <c r="HS24">
        <v>2.7831600000000001</v>
      </c>
      <c r="HT24">
        <v>20.194400000000002</v>
      </c>
      <c r="HU24">
        <v>5.2401999999999997</v>
      </c>
      <c r="HV24">
        <v>11.974</v>
      </c>
      <c r="HW24">
        <v>4.9732500000000002</v>
      </c>
      <c r="HX24">
        <v>3.2909999999999999</v>
      </c>
      <c r="HY24">
        <v>9999</v>
      </c>
      <c r="HZ24">
        <v>9999</v>
      </c>
      <c r="IA24">
        <v>9999</v>
      </c>
      <c r="IB24">
        <v>999.9</v>
      </c>
      <c r="IC24">
        <v>4.9729099999999997</v>
      </c>
      <c r="ID24">
        <v>1.87714</v>
      </c>
      <c r="IE24">
        <v>1.8752500000000001</v>
      </c>
      <c r="IF24">
        <v>1.87805</v>
      </c>
      <c r="IG24">
        <v>1.87479</v>
      </c>
      <c r="IH24">
        <v>1.8783700000000001</v>
      </c>
      <c r="II24">
        <v>1.87547</v>
      </c>
      <c r="IJ24">
        <v>1.8766499999999999</v>
      </c>
      <c r="IK24">
        <v>0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0.82299999999999995</v>
      </c>
      <c r="IY24">
        <v>9.5000000000000001E-2</v>
      </c>
      <c r="IZ24">
        <v>6.1933660764125778E-2</v>
      </c>
      <c r="JA24">
        <v>2.058711587971173E-3</v>
      </c>
      <c r="JB24">
        <v>-6.1309262243104059E-7</v>
      </c>
      <c r="JC24">
        <v>2.6183910446277612E-10</v>
      </c>
      <c r="JD24">
        <v>3.5078820932035488E-4</v>
      </c>
      <c r="JE24">
        <v>-4.3284922736758413E-3</v>
      </c>
      <c r="JF24">
        <v>1.4186339569364E-3</v>
      </c>
      <c r="JG24">
        <v>-2.7770646863349432E-5</v>
      </c>
      <c r="JH24">
        <v>2</v>
      </c>
      <c r="JI24">
        <v>2136</v>
      </c>
      <c r="JJ24">
        <v>1</v>
      </c>
      <c r="JK24">
        <v>19</v>
      </c>
      <c r="JL24">
        <v>29361307</v>
      </c>
      <c r="JM24">
        <v>29361307</v>
      </c>
      <c r="JN24">
        <v>1.09619</v>
      </c>
      <c r="JO24">
        <v>2.5354000000000001</v>
      </c>
      <c r="JP24">
        <v>1.39893</v>
      </c>
      <c r="JQ24">
        <v>2.32422</v>
      </c>
      <c r="JR24">
        <v>1.4489700000000001</v>
      </c>
      <c r="JS24">
        <v>2.50488</v>
      </c>
      <c r="JT24">
        <v>35.521799999999999</v>
      </c>
      <c r="JU24">
        <v>23.8949</v>
      </c>
      <c r="JV24">
        <v>18</v>
      </c>
      <c r="JW24">
        <v>480.36700000000002</v>
      </c>
      <c r="JX24">
        <v>464.53399999999999</v>
      </c>
      <c r="JY24">
        <v>14.7844</v>
      </c>
      <c r="JZ24">
        <v>24.160299999999999</v>
      </c>
      <c r="KA24">
        <v>29.9999</v>
      </c>
      <c r="KB24">
        <v>24.000399999999999</v>
      </c>
      <c r="KC24">
        <v>24.092099999999999</v>
      </c>
      <c r="KD24">
        <v>21.9786</v>
      </c>
      <c r="KE24">
        <v>27.866099999999999</v>
      </c>
      <c r="KF24">
        <v>30.094100000000001</v>
      </c>
      <c r="KG24">
        <v>14.7492</v>
      </c>
      <c r="KH24">
        <v>420</v>
      </c>
      <c r="KI24">
        <v>9.7979500000000002</v>
      </c>
      <c r="KJ24">
        <v>102.06</v>
      </c>
      <c r="KK24">
        <v>101.01900000000001</v>
      </c>
    </row>
    <row r="25" spans="1:297" x14ac:dyDescent="0.3">
      <c r="A25">
        <v>9</v>
      </c>
      <c r="B25">
        <v>1761678487</v>
      </c>
      <c r="C25">
        <v>1037</v>
      </c>
      <c r="D25" t="s">
        <v>475</v>
      </c>
      <c r="E25" t="s">
        <v>476</v>
      </c>
      <c r="F25">
        <v>5</v>
      </c>
      <c r="G25" t="s">
        <v>435</v>
      </c>
      <c r="H25" t="s">
        <v>436</v>
      </c>
      <c r="I25">
        <v>1761678479.25</v>
      </c>
      <c r="J25">
        <f t="shared" si="0"/>
        <v>1.5493615686450446E-3</v>
      </c>
      <c r="K25">
        <f t="shared" si="1"/>
        <v>1.5493615686450446</v>
      </c>
      <c r="L25">
        <f t="shared" si="2"/>
        <v>5.093229387237872</v>
      </c>
      <c r="M25">
        <f t="shared" si="3"/>
        <v>413.10570000000001</v>
      </c>
      <c r="N25">
        <f t="shared" si="4"/>
        <v>334.59210069001693</v>
      </c>
      <c r="O25">
        <f t="shared" si="5"/>
        <v>30.453323035635584</v>
      </c>
      <c r="P25">
        <f t="shared" si="6"/>
        <v>37.599337533725944</v>
      </c>
      <c r="Q25">
        <f t="shared" si="7"/>
        <v>0.11793738155791347</v>
      </c>
      <c r="R25">
        <f t="shared" si="8"/>
        <v>2.7665008076821169</v>
      </c>
      <c r="S25">
        <f t="shared" si="9"/>
        <v>0.11521377557727065</v>
      </c>
      <c r="T25">
        <f t="shared" si="10"/>
        <v>7.224807620291307E-2</v>
      </c>
      <c r="U25">
        <f t="shared" si="11"/>
        <v>248.85016537824652</v>
      </c>
      <c r="V25">
        <f t="shared" si="12"/>
        <v>19.360681551529229</v>
      </c>
      <c r="W25">
        <f t="shared" si="13"/>
        <v>19.360681551529229</v>
      </c>
      <c r="X25">
        <f t="shared" si="14"/>
        <v>2.2553061207011815</v>
      </c>
      <c r="Y25">
        <f t="shared" si="15"/>
        <v>50.134137316924601</v>
      </c>
      <c r="Z25">
        <f t="shared" si="16"/>
        <v>1.053594262590138</v>
      </c>
      <c r="AA25">
        <f t="shared" si="17"/>
        <v>2.1015505980083136</v>
      </c>
      <c r="AB25">
        <f t="shared" si="18"/>
        <v>1.2017118581110435</v>
      </c>
      <c r="AC25">
        <f t="shared" si="19"/>
        <v>-68.326845177246469</v>
      </c>
      <c r="AD25">
        <f t="shared" si="20"/>
        <v>-168.49823147749316</v>
      </c>
      <c r="AE25">
        <f t="shared" si="21"/>
        <v>-12.095241347049416</v>
      </c>
      <c r="AF25">
        <f t="shared" si="22"/>
        <v>-7.0152623542526271E-2</v>
      </c>
      <c r="AG25">
        <f t="shared" si="23"/>
        <v>5.0997359155788233</v>
      </c>
      <c r="AH25">
        <f t="shared" si="24"/>
        <v>1.5494990688663925</v>
      </c>
      <c r="AI25">
        <f t="shared" si="25"/>
        <v>5.093229387237872</v>
      </c>
      <c r="AJ25">
        <v>424.13620317619041</v>
      </c>
      <c r="AK25">
        <v>417.96206666666649</v>
      </c>
      <c r="AL25">
        <v>4.2683982683848297E-4</v>
      </c>
      <c r="AM25">
        <v>64.84</v>
      </c>
      <c r="AN25">
        <f t="shared" si="26"/>
        <v>1.5493615686450446</v>
      </c>
      <c r="AO25">
        <v>9.7419767076328299</v>
      </c>
      <c r="AP25">
        <v>11.57953286713288</v>
      </c>
      <c r="AQ25">
        <v>2.3839072251504679E-5</v>
      </c>
      <c r="AR25">
        <v>96.213721469384424</v>
      </c>
      <c r="AS25">
        <v>0</v>
      </c>
      <c r="AT25">
        <v>0</v>
      </c>
      <c r="AU25">
        <f t="shared" si="27"/>
        <v>1</v>
      </c>
      <c r="AV25">
        <f t="shared" si="28"/>
        <v>0</v>
      </c>
      <c r="AW25">
        <f t="shared" si="29"/>
        <v>49557.708116550435</v>
      </c>
      <c r="AX25" t="s">
        <v>437</v>
      </c>
      <c r="AY25">
        <v>5023.29</v>
      </c>
      <c r="AZ25">
        <v>678.98399999999992</v>
      </c>
      <c r="BA25">
        <v>1598.7134001116131</v>
      </c>
      <c r="BB25">
        <f t="shared" si="30"/>
        <v>0.57529348290156501</v>
      </c>
      <c r="BC25">
        <v>-0.67640696176369675</v>
      </c>
      <c r="BD25" t="s">
        <v>477</v>
      </c>
      <c r="BE25">
        <v>5046.41</v>
      </c>
      <c r="BF25">
        <v>1166.7257692307689</v>
      </c>
      <c r="BG25">
        <v>1617.642239482964</v>
      </c>
      <c r="BH25">
        <f t="shared" si="31"/>
        <v>0.27874919388623187</v>
      </c>
      <c r="BI25">
        <v>0.5</v>
      </c>
      <c r="BJ25">
        <f t="shared" si="48"/>
        <v>1147.1878439265529</v>
      </c>
      <c r="BK25">
        <f t="shared" si="32"/>
        <v>5.093229387237872</v>
      </c>
      <c r="BL25">
        <f t="shared" si="49"/>
        <v>159.88884336530549</v>
      </c>
      <c r="BM25">
        <f t="shared" si="33"/>
        <v>5.0293736806462904E-3</v>
      </c>
      <c r="BN25">
        <f t="shared" si="34"/>
        <v>-1.1701499200095708E-2</v>
      </c>
      <c r="BO25">
        <f t="shared" si="35"/>
        <v>682.37520206844397</v>
      </c>
      <c r="BP25" t="s">
        <v>478</v>
      </c>
      <c r="BQ25">
        <v>765.27</v>
      </c>
      <c r="BR25">
        <f t="shared" si="36"/>
        <v>765.27</v>
      </c>
      <c r="BS25">
        <f t="shared" si="37"/>
        <v>0.52692259059419833</v>
      </c>
      <c r="BT25">
        <f t="shared" si="38"/>
        <v>0.52901355694750696</v>
      </c>
      <c r="BU25">
        <f t="shared" si="39"/>
        <v>-2.2711607493461489E-2</v>
      </c>
      <c r="BV25">
        <f t="shared" si="40"/>
        <v>0.48038407514599868</v>
      </c>
      <c r="BW25">
        <f t="shared" si="41"/>
        <v>-2.058087886399395E-2</v>
      </c>
      <c r="BX25">
        <f t="shared" si="42"/>
        <v>0.34698659736651871</v>
      </c>
      <c r="BY25">
        <f t="shared" si="43"/>
        <v>0.65301340263348129</v>
      </c>
      <c r="BZ25">
        <v>383</v>
      </c>
      <c r="CA25">
        <v>290.00000000000011</v>
      </c>
      <c r="CB25">
        <v>1583.26</v>
      </c>
      <c r="CC25">
        <v>255</v>
      </c>
      <c r="CD25">
        <v>5046.41</v>
      </c>
      <c r="CE25">
        <v>1582</v>
      </c>
      <c r="CF25">
        <v>1.26</v>
      </c>
      <c r="CG25">
        <v>300.00000000000011</v>
      </c>
      <c r="CH25">
        <v>23.9</v>
      </c>
      <c r="CI25">
        <v>1617.642239482964</v>
      </c>
      <c r="CJ25">
        <v>1.2113151590256981</v>
      </c>
      <c r="CK25">
        <v>-17.989012099886139</v>
      </c>
      <c r="CL25">
        <v>0.53471959845648054</v>
      </c>
      <c r="CM25">
        <v>0.97585751237458029</v>
      </c>
      <c r="CN25">
        <v>-3.9319724137931063E-3</v>
      </c>
      <c r="CO25">
        <v>289.99999999999989</v>
      </c>
      <c r="CP25">
        <v>1581.19</v>
      </c>
      <c r="CQ25">
        <v>655</v>
      </c>
      <c r="CR25">
        <v>5046.26</v>
      </c>
      <c r="CS25">
        <v>1581.99</v>
      </c>
      <c r="CT25">
        <v>-0.8</v>
      </c>
      <c r="DH25">
        <f t="shared" si="44"/>
        <v>1396.4984000000004</v>
      </c>
      <c r="DI25">
        <f t="shared" si="45"/>
        <v>1147.1878439265529</v>
      </c>
      <c r="DJ25">
        <f t="shared" si="46"/>
        <v>0.82147451363105939</v>
      </c>
      <c r="DK25">
        <f t="shared" si="47"/>
        <v>0.17819581130794454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1761678479.25</v>
      </c>
      <c r="DR25">
        <v>413.10570000000001</v>
      </c>
      <c r="DS25">
        <v>419.99360000000001</v>
      </c>
      <c r="DT25">
        <v>11.575889999999999</v>
      </c>
      <c r="DU25">
        <v>9.7379916666666659</v>
      </c>
      <c r="DV25">
        <v>412.28096666666681</v>
      </c>
      <c r="DW25">
        <v>11.48028666666667</v>
      </c>
      <c r="DX25">
        <v>499.99356666666671</v>
      </c>
      <c r="DY25">
        <v>90.994643333333343</v>
      </c>
      <c r="DZ25">
        <v>2.1620866666666669E-2</v>
      </c>
      <c r="EA25">
        <v>18.23094</v>
      </c>
      <c r="EB25">
        <v>17.855180000000001</v>
      </c>
      <c r="EC25">
        <v>999.9000000000002</v>
      </c>
      <c r="ED25">
        <v>0</v>
      </c>
      <c r="EE25">
        <v>0</v>
      </c>
      <c r="EF25">
        <v>9998.6419999999998</v>
      </c>
      <c r="EG25">
        <v>0</v>
      </c>
      <c r="EH25">
        <v>1096.502666666667</v>
      </c>
      <c r="EI25">
        <v>-6.8877756666666672</v>
      </c>
      <c r="EJ25">
        <v>417.94376666666659</v>
      </c>
      <c r="EK25">
        <v>424.12363333333337</v>
      </c>
      <c r="EL25">
        <v>1.8379006666666671</v>
      </c>
      <c r="EM25">
        <v>419.99360000000001</v>
      </c>
      <c r="EN25">
        <v>9.7379916666666659</v>
      </c>
      <c r="EO25">
        <v>1.053344333333333</v>
      </c>
      <c r="EP25">
        <v>0.88610513333333307</v>
      </c>
      <c r="EQ25">
        <v>7.6758926666666678</v>
      </c>
      <c r="ER25">
        <v>5.1670246666666646</v>
      </c>
      <c r="ES25">
        <v>299.99573333333331</v>
      </c>
      <c r="ET25">
        <v>0.90003946666666679</v>
      </c>
      <c r="EU25">
        <v>9.9960723333333321E-2</v>
      </c>
      <c r="EV25">
        <v>0</v>
      </c>
      <c r="EW25">
        <v>1166.740666666667</v>
      </c>
      <c r="EX25">
        <v>5.0005600000000019</v>
      </c>
      <c r="EY25">
        <v>3470.098</v>
      </c>
      <c r="EZ25">
        <v>2492.4059999999999</v>
      </c>
      <c r="FA25">
        <v>34.645599999999988</v>
      </c>
      <c r="FB25">
        <v>38.791466666666658</v>
      </c>
      <c r="FC25">
        <v>36.966466666666662</v>
      </c>
      <c r="FD25">
        <v>37.59559999999999</v>
      </c>
      <c r="FE25">
        <v>36.870666666666658</v>
      </c>
      <c r="FF25">
        <v>265.5066666666666</v>
      </c>
      <c r="FG25">
        <v>29.49</v>
      </c>
      <c r="FH25">
        <v>0</v>
      </c>
      <c r="FI25">
        <v>67.399999856948853</v>
      </c>
      <c r="FJ25">
        <v>0</v>
      </c>
      <c r="FK25">
        <v>1166.7257692307689</v>
      </c>
      <c r="FL25">
        <v>-2.016068383561155</v>
      </c>
      <c r="FM25">
        <v>-1.3692307471143099</v>
      </c>
      <c r="FN25">
        <v>3470.0334615384609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-6.8978897560975616</v>
      </c>
      <c r="GD25">
        <v>6.2542578397199913E-2</v>
      </c>
      <c r="GE25">
        <v>3.3976219193315498E-2</v>
      </c>
      <c r="GF25">
        <v>1</v>
      </c>
      <c r="GG25">
        <v>1166.717058823529</v>
      </c>
      <c r="GH25">
        <v>-0.68265852258234605</v>
      </c>
      <c r="GI25">
        <v>0.2511682048509154</v>
      </c>
      <c r="GJ25">
        <v>1</v>
      </c>
      <c r="GK25">
        <v>1.83368</v>
      </c>
      <c r="GL25">
        <v>0.1058055052264763</v>
      </c>
      <c r="GM25">
        <v>1.2238312293975741E-2</v>
      </c>
      <c r="GN25">
        <v>0</v>
      </c>
      <c r="GO25">
        <v>2</v>
      </c>
      <c r="GP25">
        <v>3</v>
      </c>
      <c r="GQ25" t="s">
        <v>479</v>
      </c>
      <c r="GR25">
        <v>3.13245</v>
      </c>
      <c r="GS25">
        <v>2.6991999999999998</v>
      </c>
      <c r="GT25">
        <v>8.5980799999999996E-2</v>
      </c>
      <c r="GU25">
        <v>8.7635299999999999E-2</v>
      </c>
      <c r="GV25">
        <v>6.4366900000000005E-2</v>
      </c>
      <c r="GW25">
        <v>5.6858899999999997E-2</v>
      </c>
      <c r="GX25">
        <v>27766</v>
      </c>
      <c r="GY25">
        <v>26751.5</v>
      </c>
      <c r="GZ25">
        <v>30901.4</v>
      </c>
      <c r="HA25">
        <v>29553</v>
      </c>
      <c r="HB25">
        <v>39859</v>
      </c>
      <c r="HC25">
        <v>36693.599999999999</v>
      </c>
      <c r="HD25">
        <v>47205.2</v>
      </c>
      <c r="HE25">
        <v>43924.9</v>
      </c>
      <c r="HF25">
        <v>1.8883799999999999</v>
      </c>
      <c r="HG25">
        <v>1.91147</v>
      </c>
      <c r="HH25">
        <v>3.3401E-2</v>
      </c>
      <c r="HI25">
        <v>0</v>
      </c>
      <c r="HJ25">
        <v>17.338999999999999</v>
      </c>
      <c r="HK25">
        <v>999.9</v>
      </c>
      <c r="HL25">
        <v>31.5</v>
      </c>
      <c r="HM25">
        <v>29.3</v>
      </c>
      <c r="HN25">
        <v>14.1669</v>
      </c>
      <c r="HO25">
        <v>63.4679</v>
      </c>
      <c r="HP25">
        <v>19.206700000000001</v>
      </c>
      <c r="HQ25">
        <v>1</v>
      </c>
      <c r="HR25">
        <v>-0.23044700000000001</v>
      </c>
      <c r="HS25">
        <v>1.13896</v>
      </c>
      <c r="HT25">
        <v>20.216699999999999</v>
      </c>
      <c r="HU25">
        <v>5.2324099999999998</v>
      </c>
      <c r="HV25">
        <v>11.973699999999999</v>
      </c>
      <c r="HW25">
        <v>4.9722499999999998</v>
      </c>
      <c r="HX25">
        <v>3.2904499999999999</v>
      </c>
      <c r="HY25">
        <v>9999</v>
      </c>
      <c r="HZ25">
        <v>9999</v>
      </c>
      <c r="IA25">
        <v>9999</v>
      </c>
      <c r="IB25">
        <v>999.9</v>
      </c>
      <c r="IC25">
        <v>4.9729000000000001</v>
      </c>
      <c r="ID25">
        <v>1.87721</v>
      </c>
      <c r="IE25">
        <v>1.87531</v>
      </c>
      <c r="IF25">
        <v>1.87808</v>
      </c>
      <c r="IG25">
        <v>1.8748499999999999</v>
      </c>
      <c r="IH25">
        <v>1.87843</v>
      </c>
      <c r="II25">
        <v>1.87548</v>
      </c>
      <c r="IJ25">
        <v>1.8766799999999999</v>
      </c>
      <c r="IK25">
        <v>0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0.82499999999999996</v>
      </c>
      <c r="IY25">
        <v>9.5600000000000004E-2</v>
      </c>
      <c r="IZ25">
        <v>6.1933660764125778E-2</v>
      </c>
      <c r="JA25">
        <v>2.058711587971173E-3</v>
      </c>
      <c r="JB25">
        <v>-6.1309262243104059E-7</v>
      </c>
      <c r="JC25">
        <v>2.6183910446277612E-10</v>
      </c>
      <c r="JD25">
        <v>3.5078820932035488E-4</v>
      </c>
      <c r="JE25">
        <v>-4.3284922736758413E-3</v>
      </c>
      <c r="JF25">
        <v>1.4186339569364E-3</v>
      </c>
      <c r="JG25">
        <v>-2.7770646863349432E-5</v>
      </c>
      <c r="JH25">
        <v>2</v>
      </c>
      <c r="JI25">
        <v>2136</v>
      </c>
      <c r="JJ25">
        <v>1</v>
      </c>
      <c r="JK25">
        <v>19</v>
      </c>
      <c r="JL25">
        <v>29361308.100000001</v>
      </c>
      <c r="JM25">
        <v>29361308.100000001</v>
      </c>
      <c r="JN25">
        <v>1.09619</v>
      </c>
      <c r="JO25">
        <v>2.5366200000000001</v>
      </c>
      <c r="JP25">
        <v>1.39893</v>
      </c>
      <c r="JQ25">
        <v>2.32422</v>
      </c>
      <c r="JR25">
        <v>1.4489700000000001</v>
      </c>
      <c r="JS25">
        <v>2.4572799999999999</v>
      </c>
      <c r="JT25">
        <v>35.521799999999999</v>
      </c>
      <c r="JU25">
        <v>23.938700000000001</v>
      </c>
      <c r="JV25">
        <v>18</v>
      </c>
      <c r="JW25">
        <v>480.46199999999999</v>
      </c>
      <c r="JX25">
        <v>464.49799999999999</v>
      </c>
      <c r="JY25">
        <v>16.254999999999999</v>
      </c>
      <c r="JZ25">
        <v>24.105799999999999</v>
      </c>
      <c r="KA25">
        <v>30</v>
      </c>
      <c r="KB25">
        <v>23.9558</v>
      </c>
      <c r="KC25">
        <v>24.049399999999999</v>
      </c>
      <c r="KD25">
        <v>21.978000000000002</v>
      </c>
      <c r="KE25">
        <v>28.136700000000001</v>
      </c>
      <c r="KF25">
        <v>29.3507</v>
      </c>
      <c r="KG25">
        <v>16.302399999999999</v>
      </c>
      <c r="KH25">
        <v>420</v>
      </c>
      <c r="KI25">
        <v>9.6964600000000001</v>
      </c>
      <c r="KJ25">
        <v>102.071</v>
      </c>
      <c r="KK25">
        <v>101.02500000000001</v>
      </c>
    </row>
    <row r="26" spans="1:297" x14ac:dyDescent="0.3">
      <c r="A26">
        <v>10</v>
      </c>
      <c r="B26">
        <v>1761678584</v>
      </c>
      <c r="C26">
        <v>1134</v>
      </c>
      <c r="D26" t="s">
        <v>480</v>
      </c>
      <c r="E26" t="s">
        <v>481</v>
      </c>
      <c r="F26">
        <v>5</v>
      </c>
      <c r="G26" t="s">
        <v>435</v>
      </c>
      <c r="H26" t="s">
        <v>436</v>
      </c>
      <c r="I26">
        <v>1761678576</v>
      </c>
      <c r="J26">
        <f t="shared" si="0"/>
        <v>1.4421694495168477E-3</v>
      </c>
      <c r="K26">
        <f t="shared" si="1"/>
        <v>1.4421694495168476</v>
      </c>
      <c r="L26">
        <f t="shared" si="2"/>
        <v>3.8093962403046859</v>
      </c>
      <c r="M26">
        <f t="shared" si="3"/>
        <v>414.64241935483892</v>
      </c>
      <c r="N26">
        <f t="shared" si="4"/>
        <v>348.84242148627231</v>
      </c>
      <c r="O26">
        <f t="shared" si="5"/>
        <v>31.751026262444178</v>
      </c>
      <c r="P26">
        <f t="shared" si="6"/>
        <v>37.740026830357749</v>
      </c>
      <c r="Q26">
        <f t="shared" si="7"/>
        <v>0.10798235113672576</v>
      </c>
      <c r="R26">
        <f t="shared" si="8"/>
        <v>2.7662746239775875</v>
      </c>
      <c r="S26">
        <f t="shared" si="9"/>
        <v>0.10569414745721649</v>
      </c>
      <c r="T26">
        <f t="shared" si="10"/>
        <v>6.6260389632970179E-2</v>
      </c>
      <c r="U26">
        <f t="shared" si="11"/>
        <v>222.07580615335598</v>
      </c>
      <c r="V26">
        <f t="shared" si="12"/>
        <v>19.545496893877555</v>
      </c>
      <c r="W26">
        <f t="shared" si="13"/>
        <v>19.545496893877555</v>
      </c>
      <c r="X26">
        <f t="shared" si="14"/>
        <v>2.2813756566934598</v>
      </c>
      <c r="Y26">
        <f t="shared" si="15"/>
        <v>49.53369569461023</v>
      </c>
      <c r="Z26">
        <f t="shared" si="16"/>
        <v>1.0622666399445757</v>
      </c>
      <c r="AA26">
        <f t="shared" si="17"/>
        <v>2.1445333828789219</v>
      </c>
      <c r="AB26">
        <f t="shared" si="18"/>
        <v>1.2191090167488841</v>
      </c>
      <c r="AC26">
        <f t="shared" si="19"/>
        <v>-63.599672723692983</v>
      </c>
      <c r="AD26">
        <f t="shared" si="20"/>
        <v>-147.88604561125979</v>
      </c>
      <c r="AE26">
        <f t="shared" si="21"/>
        <v>-10.64423837471017</v>
      </c>
      <c r="AF26">
        <f t="shared" si="22"/>
        <v>-5.4150556306950648E-2</v>
      </c>
      <c r="AG26">
        <f t="shared" si="23"/>
        <v>3.845904595942812</v>
      </c>
      <c r="AH26">
        <f t="shared" si="24"/>
        <v>1.4361566812514346</v>
      </c>
      <c r="AI26">
        <f t="shared" si="25"/>
        <v>3.8093962403046859</v>
      </c>
      <c r="AJ26">
        <v>424.20764863333341</v>
      </c>
      <c r="AK26">
        <v>419.58492727272699</v>
      </c>
      <c r="AL26">
        <v>1.108270280433362E-3</v>
      </c>
      <c r="AM26">
        <v>64.84</v>
      </c>
      <c r="AN26">
        <f t="shared" si="26"/>
        <v>1.4421694495168476</v>
      </c>
      <c r="AO26">
        <v>9.9810488244134685</v>
      </c>
      <c r="AP26">
        <v>11.690902797202799</v>
      </c>
      <c r="AQ26">
        <v>7.3141382220210543E-5</v>
      </c>
      <c r="AR26">
        <v>96.213721469384424</v>
      </c>
      <c r="AS26">
        <v>0</v>
      </c>
      <c r="AT26">
        <v>0</v>
      </c>
      <c r="AU26">
        <f t="shared" si="27"/>
        <v>1</v>
      </c>
      <c r="AV26">
        <f t="shared" si="28"/>
        <v>0</v>
      </c>
      <c r="AW26">
        <f t="shared" si="29"/>
        <v>49496.514344516108</v>
      </c>
      <c r="AX26" t="s">
        <v>437</v>
      </c>
      <c r="AY26">
        <v>5023.29</v>
      </c>
      <c r="AZ26">
        <v>678.98399999999992</v>
      </c>
      <c r="BA26">
        <v>1598.7134001116131</v>
      </c>
      <c r="BB26">
        <f t="shared" si="30"/>
        <v>0.57529348290156501</v>
      </c>
      <c r="BC26">
        <v>-0.67640696176369675</v>
      </c>
      <c r="BD26" t="s">
        <v>482</v>
      </c>
      <c r="BE26">
        <v>5030.78</v>
      </c>
      <c r="BF26">
        <v>911.50156000000004</v>
      </c>
      <c r="BG26">
        <v>1630.9526834267981</v>
      </c>
      <c r="BH26">
        <f t="shared" si="31"/>
        <v>0.44112323474348614</v>
      </c>
      <c r="BI26">
        <v>0.5</v>
      </c>
      <c r="BJ26">
        <f t="shared" si="48"/>
        <v>1023.9981748788907</v>
      </c>
      <c r="BK26">
        <f t="shared" si="32"/>
        <v>3.8093962403046859</v>
      </c>
      <c r="BL26">
        <f t="shared" si="49"/>
        <v>225.85469363700113</v>
      </c>
      <c r="BM26">
        <f t="shared" si="33"/>
        <v>4.3806749973933521E-3</v>
      </c>
      <c r="BN26">
        <f t="shared" si="34"/>
        <v>-1.9767148147699184E-2</v>
      </c>
      <c r="BO26">
        <f t="shared" si="35"/>
        <v>684.73249130147474</v>
      </c>
      <c r="BP26" t="s">
        <v>483</v>
      </c>
      <c r="BQ26">
        <v>735.6</v>
      </c>
      <c r="BR26">
        <f t="shared" si="36"/>
        <v>735.6</v>
      </c>
      <c r="BS26">
        <f t="shared" si="37"/>
        <v>0.54897526612824277</v>
      </c>
      <c r="BT26">
        <f t="shared" si="38"/>
        <v>0.80353936135337301</v>
      </c>
      <c r="BU26">
        <f t="shared" si="39"/>
        <v>-3.7352314668056413E-2</v>
      </c>
      <c r="BV26">
        <f t="shared" si="40"/>
        <v>0.7557508308329981</v>
      </c>
      <c r="BW26">
        <f t="shared" si="41"/>
        <v>-3.5053009408281037E-2</v>
      </c>
      <c r="BX26">
        <f t="shared" si="42"/>
        <v>0.64847234513953134</v>
      </c>
      <c r="BY26">
        <f t="shared" si="43"/>
        <v>0.35152765486046866</v>
      </c>
      <c r="BZ26">
        <v>385</v>
      </c>
      <c r="CA26">
        <v>290.00000000000011</v>
      </c>
      <c r="CB26">
        <v>1591.69</v>
      </c>
      <c r="CC26">
        <v>285</v>
      </c>
      <c r="CD26">
        <v>5030.78</v>
      </c>
      <c r="CE26">
        <v>1591.35</v>
      </c>
      <c r="CF26">
        <v>0.34</v>
      </c>
      <c r="CG26">
        <v>300.00000000000011</v>
      </c>
      <c r="CH26">
        <v>23.9</v>
      </c>
      <c r="CI26">
        <v>1630.9526834267981</v>
      </c>
      <c r="CJ26">
        <v>1.255828375389749</v>
      </c>
      <c r="CK26">
        <v>-19.925518280085068</v>
      </c>
      <c r="CL26">
        <v>0.54997323724421154</v>
      </c>
      <c r="CM26">
        <v>0.97911400575763829</v>
      </c>
      <c r="CN26">
        <v>-4.0440391546162479E-3</v>
      </c>
      <c r="CO26">
        <v>289.99999999999989</v>
      </c>
      <c r="CP26">
        <v>1588.86</v>
      </c>
      <c r="CQ26">
        <v>655</v>
      </c>
      <c r="CR26">
        <v>5030.7299999999996</v>
      </c>
      <c r="CS26">
        <v>1591.35</v>
      </c>
      <c r="CT26">
        <v>-2.4900000000000002</v>
      </c>
      <c r="DH26">
        <f t="shared" si="44"/>
        <v>1246.5735806451612</v>
      </c>
      <c r="DI26">
        <f t="shared" si="45"/>
        <v>1023.9981748788907</v>
      </c>
      <c r="DJ26">
        <f t="shared" si="46"/>
        <v>0.82145024632153918</v>
      </c>
      <c r="DK26">
        <f t="shared" si="47"/>
        <v>0.17814897540057056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1761678576</v>
      </c>
      <c r="DR26">
        <v>414.64241935483892</v>
      </c>
      <c r="DS26">
        <v>419.97212903225812</v>
      </c>
      <c r="DT26">
        <v>11.670919354838709</v>
      </c>
      <c r="DU26">
        <v>9.9676338709677399</v>
      </c>
      <c r="DV26">
        <v>413.81496774193539</v>
      </c>
      <c r="DW26">
        <v>11.573700000000001</v>
      </c>
      <c r="DX26">
        <v>499.99677419354839</v>
      </c>
      <c r="DY26">
        <v>90.996322580645156</v>
      </c>
      <c r="DZ26">
        <v>2.192608064516129E-2</v>
      </c>
      <c r="EA26">
        <v>18.553874193548388</v>
      </c>
      <c r="EB26">
        <v>18.074387096774188</v>
      </c>
      <c r="EC26">
        <v>999.90000000000032</v>
      </c>
      <c r="ED26">
        <v>0</v>
      </c>
      <c r="EE26">
        <v>0</v>
      </c>
      <c r="EF26">
        <v>9997.1225806451603</v>
      </c>
      <c r="EG26">
        <v>0</v>
      </c>
      <c r="EH26">
        <v>1096.5803225806451</v>
      </c>
      <c r="EI26">
        <v>-5.329764193548387</v>
      </c>
      <c r="EJ26">
        <v>419.53887096774201</v>
      </c>
      <c r="EK26">
        <v>424.20038709677431</v>
      </c>
      <c r="EL26">
        <v>1.7032919354838709</v>
      </c>
      <c r="EM26">
        <v>419.97212903225812</v>
      </c>
      <c r="EN26">
        <v>9.9676338709677399</v>
      </c>
      <c r="EO26">
        <v>1.0620106451612901</v>
      </c>
      <c r="EP26">
        <v>0.9070180000000001</v>
      </c>
      <c r="EQ26">
        <v>7.7960687096774191</v>
      </c>
      <c r="ER26">
        <v>5.5025651612903239</v>
      </c>
      <c r="ES26">
        <v>149.99325806451611</v>
      </c>
      <c r="ET26">
        <v>0.89996458064516127</v>
      </c>
      <c r="EU26">
        <v>0.10003551290322581</v>
      </c>
      <c r="EV26">
        <v>0</v>
      </c>
      <c r="EW26">
        <v>911.50193548387097</v>
      </c>
      <c r="EX26">
        <v>5.0005600000000019</v>
      </c>
      <c r="EY26">
        <v>1432.45129032258</v>
      </c>
      <c r="EZ26">
        <v>1225.01</v>
      </c>
      <c r="FA26">
        <v>35.733645161290319</v>
      </c>
      <c r="FB26">
        <v>40.596516129032231</v>
      </c>
      <c r="FC26">
        <v>37.713419354838699</v>
      </c>
      <c r="FD26">
        <v>39.840483870967731</v>
      </c>
      <c r="FE26">
        <v>37.608516129032253</v>
      </c>
      <c r="FF26">
        <v>130.4890322580645</v>
      </c>
      <c r="FG26">
        <v>14.5016129032258</v>
      </c>
      <c r="FH26">
        <v>0</v>
      </c>
      <c r="FI26">
        <v>95</v>
      </c>
      <c r="FJ26">
        <v>0</v>
      </c>
      <c r="FK26">
        <v>911.50156000000004</v>
      </c>
      <c r="FL26">
        <v>0.87953845993255109</v>
      </c>
      <c r="FM26">
        <v>1.310000024972013</v>
      </c>
      <c r="FN26">
        <v>1432.3820000000001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-5.3357012500000014</v>
      </c>
      <c r="GD26">
        <v>0.14315583489682121</v>
      </c>
      <c r="GE26">
        <v>2.8576048116167201E-2</v>
      </c>
      <c r="GF26">
        <v>1</v>
      </c>
      <c r="GG26">
        <v>911.50161764705888</v>
      </c>
      <c r="GH26">
        <v>-0.14369747889779921</v>
      </c>
      <c r="GI26">
        <v>0.21352958394095239</v>
      </c>
      <c r="GJ26">
        <v>1</v>
      </c>
      <c r="GK26">
        <v>1.7055912499999999</v>
      </c>
      <c r="GL26">
        <v>-3.7858874296438833E-2</v>
      </c>
      <c r="GM26">
        <v>9.9757381149216274E-3</v>
      </c>
      <c r="GN26">
        <v>1</v>
      </c>
      <c r="GO26">
        <v>3</v>
      </c>
      <c r="GP26">
        <v>3</v>
      </c>
      <c r="GQ26" t="s">
        <v>470</v>
      </c>
      <c r="GR26">
        <v>3.1327400000000001</v>
      </c>
      <c r="GS26">
        <v>2.6993499999999999</v>
      </c>
      <c r="GT26">
        <v>8.6246500000000004E-2</v>
      </c>
      <c r="GU26">
        <v>8.7649699999999997E-2</v>
      </c>
      <c r="GV26">
        <v>6.4850599999999994E-2</v>
      </c>
      <c r="GW26">
        <v>5.8053800000000003E-2</v>
      </c>
      <c r="GX26">
        <v>27762.7</v>
      </c>
      <c r="GY26">
        <v>26754.400000000001</v>
      </c>
      <c r="GZ26">
        <v>30906.400000000001</v>
      </c>
      <c r="HA26">
        <v>29556.3</v>
      </c>
      <c r="HB26">
        <v>39844.199999999997</v>
      </c>
      <c r="HC26">
        <v>36650.699999999997</v>
      </c>
      <c r="HD26">
        <v>47212.3</v>
      </c>
      <c r="HE26">
        <v>43929.9</v>
      </c>
      <c r="HF26">
        <v>1.8890800000000001</v>
      </c>
      <c r="HG26">
        <v>1.9125799999999999</v>
      </c>
      <c r="HH26">
        <v>3.17208E-2</v>
      </c>
      <c r="HI26">
        <v>0</v>
      </c>
      <c r="HJ26">
        <v>17.556999999999999</v>
      </c>
      <c r="HK26">
        <v>999.9</v>
      </c>
      <c r="HL26">
        <v>31.2</v>
      </c>
      <c r="HM26">
        <v>29.4</v>
      </c>
      <c r="HN26">
        <v>14.111700000000001</v>
      </c>
      <c r="HO26">
        <v>63.817999999999998</v>
      </c>
      <c r="HP26">
        <v>19.078499999999998</v>
      </c>
      <c r="HQ26">
        <v>1</v>
      </c>
      <c r="HR26">
        <v>-0.233595</v>
      </c>
      <c r="HS26">
        <v>2.1102300000000001</v>
      </c>
      <c r="HT26">
        <v>20.208200000000001</v>
      </c>
      <c r="HU26">
        <v>5.2406499999999996</v>
      </c>
      <c r="HV26">
        <v>11.9739</v>
      </c>
      <c r="HW26">
        <v>4.9729000000000001</v>
      </c>
      <c r="HX26">
        <v>3.2909999999999999</v>
      </c>
      <c r="HY26">
        <v>9999</v>
      </c>
      <c r="HZ26">
        <v>9999</v>
      </c>
      <c r="IA26">
        <v>9999</v>
      </c>
      <c r="IB26">
        <v>999.9</v>
      </c>
      <c r="IC26">
        <v>4.9729099999999997</v>
      </c>
      <c r="ID26">
        <v>1.8772800000000001</v>
      </c>
      <c r="IE26">
        <v>1.87531</v>
      </c>
      <c r="IF26">
        <v>1.8780699999999999</v>
      </c>
      <c r="IG26">
        <v>1.8748499999999999</v>
      </c>
      <c r="IH26">
        <v>1.8784000000000001</v>
      </c>
      <c r="II26">
        <v>1.87551</v>
      </c>
      <c r="IJ26">
        <v>1.8766799999999999</v>
      </c>
      <c r="IK26">
        <v>0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0.82699999999999996</v>
      </c>
      <c r="IY26">
        <v>9.7600000000000006E-2</v>
      </c>
      <c r="IZ26">
        <v>6.1933660764125778E-2</v>
      </c>
      <c r="JA26">
        <v>2.058711587971173E-3</v>
      </c>
      <c r="JB26">
        <v>-6.1309262243104059E-7</v>
      </c>
      <c r="JC26">
        <v>2.6183910446277612E-10</v>
      </c>
      <c r="JD26">
        <v>3.5078820932035488E-4</v>
      </c>
      <c r="JE26">
        <v>-4.3284922736758413E-3</v>
      </c>
      <c r="JF26">
        <v>1.4186339569364E-3</v>
      </c>
      <c r="JG26">
        <v>-2.7770646863349432E-5</v>
      </c>
      <c r="JH26">
        <v>2</v>
      </c>
      <c r="JI26">
        <v>2136</v>
      </c>
      <c r="JJ26">
        <v>1</v>
      </c>
      <c r="JK26">
        <v>19</v>
      </c>
      <c r="JL26">
        <v>29361309.699999999</v>
      </c>
      <c r="JM26">
        <v>29361309.699999999</v>
      </c>
      <c r="JN26">
        <v>1.09619</v>
      </c>
      <c r="JO26">
        <v>2.5378400000000001</v>
      </c>
      <c r="JP26">
        <v>1.39893</v>
      </c>
      <c r="JQ26">
        <v>2.32422</v>
      </c>
      <c r="JR26">
        <v>1.4489700000000001</v>
      </c>
      <c r="JS26">
        <v>2.4365199999999998</v>
      </c>
      <c r="JT26">
        <v>35.568300000000001</v>
      </c>
      <c r="JU26">
        <v>23.921099999999999</v>
      </c>
      <c r="JV26">
        <v>18</v>
      </c>
      <c r="JW26">
        <v>480.38</v>
      </c>
      <c r="JX26">
        <v>464.67700000000002</v>
      </c>
      <c r="JY26">
        <v>16.1797</v>
      </c>
      <c r="JZ26">
        <v>24.026299999999999</v>
      </c>
      <c r="KA26">
        <v>29.9999</v>
      </c>
      <c r="KB26">
        <v>23.8918</v>
      </c>
      <c r="KC26">
        <v>23.989699999999999</v>
      </c>
      <c r="KD26">
        <v>21.986799999999999</v>
      </c>
      <c r="KE26">
        <v>25.5656</v>
      </c>
      <c r="KF26">
        <v>28.609200000000001</v>
      </c>
      <c r="KG26">
        <v>16.124700000000001</v>
      </c>
      <c r="KH26">
        <v>420</v>
      </c>
      <c r="KI26">
        <v>10.0487</v>
      </c>
      <c r="KJ26">
        <v>102.087</v>
      </c>
      <c r="KK26">
        <v>101.036</v>
      </c>
    </row>
    <row r="27" spans="1:297" x14ac:dyDescent="0.3">
      <c r="A27">
        <v>11</v>
      </c>
      <c r="B27">
        <v>1761678690.5999999</v>
      </c>
      <c r="C27">
        <v>1240.599999904633</v>
      </c>
      <c r="D27" t="s">
        <v>484</v>
      </c>
      <c r="E27" t="s">
        <v>485</v>
      </c>
      <c r="F27">
        <v>5</v>
      </c>
      <c r="G27" t="s">
        <v>435</v>
      </c>
      <c r="H27" t="s">
        <v>436</v>
      </c>
      <c r="I27">
        <v>1761678682.849999</v>
      </c>
      <c r="J27">
        <f t="shared" si="0"/>
        <v>1.4210972082640055E-3</v>
      </c>
      <c r="K27">
        <f t="shared" si="1"/>
        <v>1.4210972082640054</v>
      </c>
      <c r="L27">
        <f t="shared" si="2"/>
        <v>1.2161263291527684</v>
      </c>
      <c r="M27">
        <f t="shared" si="3"/>
        <v>417.80426666666659</v>
      </c>
      <c r="N27">
        <f t="shared" si="4"/>
        <v>390.82130879656853</v>
      </c>
      <c r="O27">
        <f t="shared" si="5"/>
        <v>35.575641161207415</v>
      </c>
      <c r="P27">
        <f t="shared" si="6"/>
        <v>38.031843023921752</v>
      </c>
      <c r="Q27">
        <f t="shared" si="7"/>
        <v>0.10815405941901005</v>
      </c>
      <c r="R27">
        <f t="shared" si="8"/>
        <v>2.7664043073249904</v>
      </c>
      <c r="S27">
        <f t="shared" si="9"/>
        <v>0.10585876126130274</v>
      </c>
      <c r="T27">
        <f t="shared" si="10"/>
        <v>6.6363892041947425E-2</v>
      </c>
      <c r="U27">
        <f t="shared" si="11"/>
        <v>204.00435128809445</v>
      </c>
      <c r="V27">
        <f t="shared" si="12"/>
        <v>19.496082844148312</v>
      </c>
      <c r="W27">
        <f t="shared" si="13"/>
        <v>19.496082844148312</v>
      </c>
      <c r="X27">
        <f t="shared" si="14"/>
        <v>2.2743797111174899</v>
      </c>
      <c r="Y27">
        <f t="shared" si="15"/>
        <v>49.939500798795997</v>
      </c>
      <c r="Z27">
        <f t="shared" si="16"/>
        <v>1.0748598146012602</v>
      </c>
      <c r="AA27">
        <f t="shared" si="17"/>
        <v>2.1523239067443267</v>
      </c>
      <c r="AB27">
        <f t="shared" si="18"/>
        <v>1.1995198965162297</v>
      </c>
      <c r="AC27">
        <f t="shared" si="19"/>
        <v>-62.670386884442642</v>
      </c>
      <c r="AD27">
        <f t="shared" si="20"/>
        <v>-131.88455308388504</v>
      </c>
      <c r="AE27">
        <f t="shared" si="21"/>
        <v>-9.4924799947473986</v>
      </c>
      <c r="AF27">
        <f t="shared" si="22"/>
        <v>-4.3068674980645483E-2</v>
      </c>
      <c r="AG27">
        <f t="shared" si="23"/>
        <v>1.2249676628255479</v>
      </c>
      <c r="AH27">
        <f t="shared" si="24"/>
        <v>1.413741505769905</v>
      </c>
      <c r="AI27">
        <f t="shared" si="25"/>
        <v>1.2161263291527684</v>
      </c>
      <c r="AJ27">
        <v>424.30790681904762</v>
      </c>
      <c r="AK27">
        <v>422.83388484848462</v>
      </c>
      <c r="AL27">
        <v>-4.6182286188844473E-5</v>
      </c>
      <c r="AM27">
        <v>64.84</v>
      </c>
      <c r="AN27">
        <f t="shared" si="26"/>
        <v>1.4210972082640054</v>
      </c>
      <c r="AO27">
        <v>10.13231504681454</v>
      </c>
      <c r="AP27">
        <v>11.817157342657341</v>
      </c>
      <c r="AQ27">
        <v>3.8024022705097053E-5</v>
      </c>
      <c r="AR27">
        <v>96.213721469384424</v>
      </c>
      <c r="AS27">
        <v>0</v>
      </c>
      <c r="AT27">
        <v>0</v>
      </c>
      <c r="AU27">
        <f t="shared" si="27"/>
        <v>1</v>
      </c>
      <c r="AV27">
        <f t="shared" si="28"/>
        <v>0</v>
      </c>
      <c r="AW27">
        <f t="shared" si="29"/>
        <v>49490.534183391072</v>
      </c>
      <c r="AX27" t="s">
        <v>437</v>
      </c>
      <c r="AY27">
        <v>5023.29</v>
      </c>
      <c r="AZ27">
        <v>678.98399999999992</v>
      </c>
      <c r="BA27">
        <v>1598.7134001116131</v>
      </c>
      <c r="BB27">
        <f t="shared" si="30"/>
        <v>0.57529348290156501</v>
      </c>
      <c r="BC27">
        <v>-0.67640696176369675</v>
      </c>
      <c r="BD27" t="s">
        <v>486</v>
      </c>
      <c r="BE27">
        <v>5020.5</v>
      </c>
      <c r="BF27">
        <v>769.69561538461539</v>
      </c>
      <c r="BG27">
        <v>1646.640501201163</v>
      </c>
      <c r="BH27">
        <f t="shared" si="31"/>
        <v>0.53256608541867456</v>
      </c>
      <c r="BI27">
        <v>0.5</v>
      </c>
      <c r="BJ27">
        <f t="shared" si="48"/>
        <v>941.60560420497154</v>
      </c>
      <c r="BK27">
        <f t="shared" si="32"/>
        <v>1.2161263291527684</v>
      </c>
      <c r="BL27">
        <f t="shared" si="49"/>
        <v>250.73360531986378</v>
      </c>
      <c r="BM27">
        <f t="shared" si="33"/>
        <v>2.0099001986233853E-3</v>
      </c>
      <c r="BN27">
        <f t="shared" si="34"/>
        <v>-2.910598947043325E-2</v>
      </c>
      <c r="BO27">
        <f t="shared" si="35"/>
        <v>687.48231498421728</v>
      </c>
      <c r="BP27" t="s">
        <v>487</v>
      </c>
      <c r="BQ27">
        <v>715.53</v>
      </c>
      <c r="BR27">
        <f t="shared" si="36"/>
        <v>715.53</v>
      </c>
      <c r="BS27">
        <f t="shared" si="37"/>
        <v>0.56546070652455871</v>
      </c>
      <c r="BT27">
        <f t="shared" si="38"/>
        <v>0.94182686661278114</v>
      </c>
      <c r="BU27">
        <f t="shared" si="39"/>
        <v>-5.426630650382825E-2</v>
      </c>
      <c r="BV27">
        <f t="shared" si="40"/>
        <v>0.90625638822039212</v>
      </c>
      <c r="BW27">
        <f t="shared" si="41"/>
        <v>-5.211000222862705E-2</v>
      </c>
      <c r="BX27">
        <f t="shared" si="42"/>
        <v>0.87554789763313645</v>
      </c>
      <c r="BY27">
        <f t="shared" si="43"/>
        <v>0.12445210236686355</v>
      </c>
      <c r="BZ27">
        <v>387</v>
      </c>
      <c r="CA27">
        <v>290.00000000000011</v>
      </c>
      <c r="CB27">
        <v>1607.9</v>
      </c>
      <c r="CC27">
        <v>265</v>
      </c>
      <c r="CD27">
        <v>5020.5</v>
      </c>
      <c r="CE27">
        <v>1608.66</v>
      </c>
      <c r="CF27">
        <v>-0.76</v>
      </c>
      <c r="CG27">
        <v>300.00000000000011</v>
      </c>
      <c r="CH27">
        <v>23.9</v>
      </c>
      <c r="CI27">
        <v>1646.640501201163</v>
      </c>
      <c r="CJ27">
        <v>1.783755397636035</v>
      </c>
      <c r="CK27">
        <v>-19.06907732897945</v>
      </c>
      <c r="CL27">
        <v>0.77698459489543703</v>
      </c>
      <c r="CM27">
        <v>0.95557882857479004</v>
      </c>
      <c r="CN27">
        <v>-4.118967519466072E-3</v>
      </c>
      <c r="CO27">
        <v>289.99999999999989</v>
      </c>
      <c r="CP27">
        <v>1607.3</v>
      </c>
      <c r="CQ27">
        <v>675</v>
      </c>
      <c r="CR27">
        <v>5020.22</v>
      </c>
      <c r="CS27">
        <v>1608.66</v>
      </c>
      <c r="CT27">
        <v>-1.36</v>
      </c>
      <c r="DH27">
        <f t="shared" si="44"/>
        <v>1146.4163900000003</v>
      </c>
      <c r="DI27">
        <f t="shared" si="45"/>
        <v>941.60560420497154</v>
      </c>
      <c r="DJ27">
        <f t="shared" si="46"/>
        <v>0.8213469489955314</v>
      </c>
      <c r="DK27">
        <f t="shared" si="47"/>
        <v>0.17794961156137554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1761678682.849999</v>
      </c>
      <c r="DR27">
        <v>417.80426666666659</v>
      </c>
      <c r="DS27">
        <v>419.98296666666658</v>
      </c>
      <c r="DT27">
        <v>11.80802666666667</v>
      </c>
      <c r="DU27">
        <v>10.13161666666667</v>
      </c>
      <c r="DV27">
        <v>416.97156666666672</v>
      </c>
      <c r="DW27">
        <v>11.708463333333331</v>
      </c>
      <c r="DX27">
        <v>500.01420000000002</v>
      </c>
      <c r="DY27">
        <v>91.006113333333317</v>
      </c>
      <c r="DZ27">
        <v>2.1781923333333331E-2</v>
      </c>
      <c r="EA27">
        <v>18.61179666666667</v>
      </c>
      <c r="EB27">
        <v>17.99950333333333</v>
      </c>
      <c r="EC27">
        <v>999.9000000000002</v>
      </c>
      <c r="ED27">
        <v>0</v>
      </c>
      <c r="EE27">
        <v>0</v>
      </c>
      <c r="EF27">
        <v>9996.8123333333333</v>
      </c>
      <c r="EG27">
        <v>0</v>
      </c>
      <c r="EH27">
        <v>1096.4126666666671</v>
      </c>
      <c r="EI27">
        <v>-2.1786773333333329</v>
      </c>
      <c r="EJ27">
        <v>422.79666666666668</v>
      </c>
      <c r="EK27">
        <v>424.28160000000003</v>
      </c>
      <c r="EL27">
        <v>1.676400333333333</v>
      </c>
      <c r="EM27">
        <v>419.98296666666658</v>
      </c>
      <c r="EN27">
        <v>10.13161666666667</v>
      </c>
      <c r="EO27">
        <v>1.0746016666666669</v>
      </c>
      <c r="EP27">
        <v>0.92203993333333345</v>
      </c>
      <c r="EQ27">
        <v>7.969144</v>
      </c>
      <c r="ER27">
        <v>5.7394073333333324</v>
      </c>
      <c r="ES27">
        <v>50.003723333333348</v>
      </c>
      <c r="ET27">
        <v>0.90018213333333363</v>
      </c>
      <c r="EU27">
        <v>9.9817773333333332E-2</v>
      </c>
      <c r="EV27">
        <v>0</v>
      </c>
      <c r="EW27">
        <v>769.68976666666663</v>
      </c>
      <c r="EX27">
        <v>5.0005600000000019</v>
      </c>
      <c r="EY27">
        <v>479.28746666666672</v>
      </c>
      <c r="EZ27">
        <v>380.24846666666667</v>
      </c>
      <c r="FA27">
        <v>35.578866666666663</v>
      </c>
      <c r="FB27">
        <v>41.645533333333312</v>
      </c>
      <c r="FC27">
        <v>38.295533333333317</v>
      </c>
      <c r="FD27">
        <v>41.478933333333323</v>
      </c>
      <c r="FE27">
        <v>38.14139999999999</v>
      </c>
      <c r="FF27">
        <v>40.511333333333333</v>
      </c>
      <c r="FG27">
        <v>4.4899999999999993</v>
      </c>
      <c r="FH27">
        <v>0</v>
      </c>
      <c r="FI27">
        <v>104.5999999046326</v>
      </c>
      <c r="FJ27">
        <v>0</v>
      </c>
      <c r="FK27">
        <v>769.69561538461539</v>
      </c>
      <c r="FL27">
        <v>-0.59712820830687718</v>
      </c>
      <c r="FM27">
        <v>-3.4492307049193922</v>
      </c>
      <c r="FN27">
        <v>479.21038461538473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-2.2051904878048778</v>
      </c>
      <c r="GD27">
        <v>0.47078006968640668</v>
      </c>
      <c r="GE27">
        <v>5.5198046843813221E-2</v>
      </c>
      <c r="GF27">
        <v>1</v>
      </c>
      <c r="GG27">
        <v>769.72023529411763</v>
      </c>
      <c r="GH27">
        <v>-0.74187930002176461</v>
      </c>
      <c r="GI27">
        <v>0.210430938625467</v>
      </c>
      <c r="GJ27">
        <v>1</v>
      </c>
      <c r="GK27">
        <v>1.674828780487805</v>
      </c>
      <c r="GL27">
        <v>3.4301811846691663E-2</v>
      </c>
      <c r="GM27">
        <v>3.5875748960462459E-3</v>
      </c>
      <c r="GN27">
        <v>1</v>
      </c>
      <c r="GO27">
        <v>3</v>
      </c>
      <c r="GP27">
        <v>3</v>
      </c>
      <c r="GQ27" t="s">
        <v>470</v>
      </c>
      <c r="GR27">
        <v>3.1324700000000001</v>
      </c>
      <c r="GS27">
        <v>2.6996500000000001</v>
      </c>
      <c r="GT27">
        <v>8.6765599999999998E-2</v>
      </c>
      <c r="GU27">
        <v>8.7665199999999999E-2</v>
      </c>
      <c r="GV27">
        <v>6.5379400000000004E-2</v>
      </c>
      <c r="GW27">
        <v>5.88061E-2</v>
      </c>
      <c r="GX27">
        <v>27752.400000000001</v>
      </c>
      <c r="GY27">
        <v>26756.6</v>
      </c>
      <c r="GZ27">
        <v>30912.1</v>
      </c>
      <c r="HA27">
        <v>29558.799999999999</v>
      </c>
      <c r="HB27">
        <v>39828.400000000001</v>
      </c>
      <c r="HC27">
        <v>36624.199999999997</v>
      </c>
      <c r="HD27">
        <v>47220.5</v>
      </c>
      <c r="HE27">
        <v>43933.7</v>
      </c>
      <c r="HF27">
        <v>1.8892500000000001</v>
      </c>
      <c r="HG27">
        <v>1.9138500000000001</v>
      </c>
      <c r="HH27">
        <v>2.1550799999999998E-2</v>
      </c>
      <c r="HI27">
        <v>0</v>
      </c>
      <c r="HJ27">
        <v>17.674900000000001</v>
      </c>
      <c r="HK27">
        <v>999.9</v>
      </c>
      <c r="HL27">
        <v>30.9</v>
      </c>
      <c r="HM27">
        <v>29.4</v>
      </c>
      <c r="HN27">
        <v>13.976000000000001</v>
      </c>
      <c r="HO27">
        <v>63.938899999999997</v>
      </c>
      <c r="HP27">
        <v>19.463100000000001</v>
      </c>
      <c r="HQ27">
        <v>1</v>
      </c>
      <c r="HR27">
        <v>-0.239868</v>
      </c>
      <c r="HS27">
        <v>1.8430299999999999</v>
      </c>
      <c r="HT27">
        <v>20.212800000000001</v>
      </c>
      <c r="HU27">
        <v>5.2401999999999997</v>
      </c>
      <c r="HV27">
        <v>11.9739</v>
      </c>
      <c r="HW27">
        <v>4.9733999999999998</v>
      </c>
      <c r="HX27">
        <v>3.2909999999999999</v>
      </c>
      <c r="HY27">
        <v>9999</v>
      </c>
      <c r="HZ27">
        <v>9999</v>
      </c>
      <c r="IA27">
        <v>9999</v>
      </c>
      <c r="IB27">
        <v>999.9</v>
      </c>
      <c r="IC27">
        <v>4.9729299999999999</v>
      </c>
      <c r="ID27">
        <v>1.8771899999999999</v>
      </c>
      <c r="IE27">
        <v>1.8753</v>
      </c>
      <c r="IF27">
        <v>1.8780600000000001</v>
      </c>
      <c r="IG27">
        <v>1.8748499999999999</v>
      </c>
      <c r="IH27">
        <v>1.8783700000000001</v>
      </c>
      <c r="II27">
        <v>1.8754999999999999</v>
      </c>
      <c r="IJ27">
        <v>1.8766799999999999</v>
      </c>
      <c r="IK27">
        <v>0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0.83199999999999996</v>
      </c>
      <c r="IY27">
        <v>9.9699999999999997E-2</v>
      </c>
      <c r="IZ27">
        <v>6.1933660764125778E-2</v>
      </c>
      <c r="JA27">
        <v>2.058711587971173E-3</v>
      </c>
      <c r="JB27">
        <v>-6.1309262243104059E-7</v>
      </c>
      <c r="JC27">
        <v>2.6183910446277612E-10</v>
      </c>
      <c r="JD27">
        <v>3.5078820932035488E-4</v>
      </c>
      <c r="JE27">
        <v>-4.3284922736758413E-3</v>
      </c>
      <c r="JF27">
        <v>1.4186339569364E-3</v>
      </c>
      <c r="JG27">
        <v>-2.7770646863349432E-5</v>
      </c>
      <c r="JH27">
        <v>2</v>
      </c>
      <c r="JI27">
        <v>2136</v>
      </c>
      <c r="JJ27">
        <v>1</v>
      </c>
      <c r="JK27">
        <v>19</v>
      </c>
      <c r="JL27">
        <v>29361311.5</v>
      </c>
      <c r="JM27">
        <v>29361311.5</v>
      </c>
      <c r="JN27">
        <v>1.09741</v>
      </c>
      <c r="JO27">
        <v>2.5329600000000001</v>
      </c>
      <c r="JP27">
        <v>1.39893</v>
      </c>
      <c r="JQ27">
        <v>2.32422</v>
      </c>
      <c r="JR27">
        <v>1.4489700000000001</v>
      </c>
      <c r="JS27">
        <v>2.5805699999999998</v>
      </c>
      <c r="JT27">
        <v>35.591500000000003</v>
      </c>
      <c r="JU27">
        <v>23.956199999999999</v>
      </c>
      <c r="JV27">
        <v>18</v>
      </c>
      <c r="JW27">
        <v>479.99099999999999</v>
      </c>
      <c r="JX27">
        <v>464.90800000000002</v>
      </c>
      <c r="JY27">
        <v>16.053999999999998</v>
      </c>
      <c r="JZ27">
        <v>23.950600000000001</v>
      </c>
      <c r="KA27">
        <v>29.999700000000001</v>
      </c>
      <c r="KB27">
        <v>23.823699999999999</v>
      </c>
      <c r="KC27">
        <v>23.923100000000002</v>
      </c>
      <c r="KD27">
        <v>21.991700000000002</v>
      </c>
      <c r="KE27">
        <v>24.430700000000002</v>
      </c>
      <c r="KF27">
        <v>28.236999999999998</v>
      </c>
      <c r="KG27">
        <v>16.052700000000002</v>
      </c>
      <c r="KH27">
        <v>420</v>
      </c>
      <c r="KI27">
        <v>10.1469</v>
      </c>
      <c r="KJ27">
        <v>102.105</v>
      </c>
      <c r="KK27">
        <v>101.045</v>
      </c>
    </row>
    <row r="28" spans="1:297" x14ac:dyDescent="0.3">
      <c r="A28">
        <v>12</v>
      </c>
      <c r="B28">
        <v>1761678820.0999999</v>
      </c>
      <c r="C28">
        <v>1370.099999904633</v>
      </c>
      <c r="D28" t="s">
        <v>488</v>
      </c>
      <c r="E28" t="s">
        <v>489</v>
      </c>
      <c r="F28">
        <v>5</v>
      </c>
      <c r="G28" t="s">
        <v>435</v>
      </c>
      <c r="H28" t="s">
        <v>436</v>
      </c>
      <c r="I28">
        <v>1761678812.349999</v>
      </c>
      <c r="J28">
        <f t="shared" si="0"/>
        <v>1.3839975971413569E-3</v>
      </c>
      <c r="K28">
        <f t="shared" si="1"/>
        <v>1.3839975971413569</v>
      </c>
      <c r="L28">
        <f t="shared" si="2"/>
        <v>-0.85444885496179257</v>
      </c>
      <c r="M28">
        <f t="shared" si="3"/>
        <v>420.31299999999987</v>
      </c>
      <c r="N28">
        <f t="shared" si="4"/>
        <v>424.20321274898248</v>
      </c>
      <c r="O28">
        <f t="shared" si="5"/>
        <v>38.610163487031521</v>
      </c>
      <c r="P28">
        <f t="shared" si="6"/>
        <v>38.256083777770961</v>
      </c>
      <c r="Q28">
        <f t="shared" si="7"/>
        <v>0.11322534039585849</v>
      </c>
      <c r="R28">
        <f t="shared" si="8"/>
        <v>2.7664424421107725</v>
      </c>
      <c r="S28">
        <f t="shared" si="9"/>
        <v>0.11071247358279966</v>
      </c>
      <c r="T28">
        <f t="shared" si="10"/>
        <v>6.9416422131837865E-2</v>
      </c>
      <c r="U28">
        <f t="shared" si="11"/>
        <v>108.83258083213958</v>
      </c>
      <c r="V28">
        <f t="shared" si="12"/>
        <v>18.898545556499322</v>
      </c>
      <c r="W28">
        <f t="shared" si="13"/>
        <v>18.898545556499322</v>
      </c>
      <c r="X28">
        <f t="shared" si="14"/>
        <v>2.1912580701789119</v>
      </c>
      <c r="Y28">
        <f t="shared" si="15"/>
        <v>49.931739886567378</v>
      </c>
      <c r="Z28">
        <f t="shared" si="16"/>
        <v>1.0738650271610437</v>
      </c>
      <c r="AA28">
        <f t="shared" si="17"/>
        <v>2.1506661486273075</v>
      </c>
      <c r="AB28">
        <f t="shared" si="18"/>
        <v>1.1173930430178682</v>
      </c>
      <c r="AC28">
        <f t="shared" si="19"/>
        <v>-61.03429403393384</v>
      </c>
      <c r="AD28">
        <f t="shared" si="20"/>
        <v>-44.602972128186963</v>
      </c>
      <c r="AE28">
        <f t="shared" si="21"/>
        <v>-3.2002336127319428</v>
      </c>
      <c r="AF28">
        <f t="shared" si="22"/>
        <v>-4.9189427131679508E-3</v>
      </c>
      <c r="AG28">
        <f t="shared" si="23"/>
        <v>-0.83885535426021374</v>
      </c>
      <c r="AH28">
        <f t="shared" si="24"/>
        <v>1.3843520890232353</v>
      </c>
      <c r="AI28">
        <f t="shared" si="25"/>
        <v>-0.85444885496179257</v>
      </c>
      <c r="AJ28">
        <v>424.37232210476202</v>
      </c>
      <c r="AK28">
        <v>425.39900606060581</v>
      </c>
      <c r="AL28">
        <v>1.8908348793898839E-3</v>
      </c>
      <c r="AM28">
        <v>64.84</v>
      </c>
      <c r="AN28">
        <f t="shared" si="26"/>
        <v>1.3839975971413569</v>
      </c>
      <c r="AO28">
        <v>10.15283603275752</v>
      </c>
      <c r="AP28">
        <v>11.794171328671331</v>
      </c>
      <c r="AQ28">
        <v>-1.2287290766539519E-5</v>
      </c>
      <c r="AR28">
        <v>96.213721469384424</v>
      </c>
      <c r="AS28">
        <v>0</v>
      </c>
      <c r="AT28">
        <v>0</v>
      </c>
      <c r="AU28">
        <f t="shared" si="27"/>
        <v>1</v>
      </c>
      <c r="AV28">
        <f t="shared" si="28"/>
        <v>0</v>
      </c>
      <c r="AW28">
        <f t="shared" si="29"/>
        <v>49493.493411464915</v>
      </c>
      <c r="AX28" t="s">
        <v>490</v>
      </c>
      <c r="AY28">
        <v>5019.71</v>
      </c>
      <c r="AZ28">
        <v>703.10399999999993</v>
      </c>
      <c r="BA28">
        <v>1676.142600937771</v>
      </c>
      <c r="BB28">
        <f t="shared" si="30"/>
        <v>0.5805225643649734</v>
      </c>
      <c r="BC28">
        <v>-0.85444885496179257</v>
      </c>
      <c r="BD28" t="s">
        <v>491</v>
      </c>
      <c r="BE28" t="s">
        <v>491</v>
      </c>
      <c r="BF28">
        <v>0</v>
      </c>
      <c r="BG28">
        <v>0</v>
      </c>
      <c r="BH28" t="e">
        <f t="shared" si="31"/>
        <v>#DIV/0!</v>
      </c>
      <c r="BI28">
        <v>0.5</v>
      </c>
      <c r="BJ28">
        <f t="shared" si="48"/>
        <v>460.30306212907857</v>
      </c>
      <c r="BK28">
        <f t="shared" si="32"/>
        <v>-0.85444885496179257</v>
      </c>
      <c r="BL28" t="e">
        <f t="shared" si="49"/>
        <v>#DIV/0!</v>
      </c>
      <c r="BM28">
        <f t="shared" si="33"/>
        <v>0</v>
      </c>
      <c r="BN28" t="e">
        <f t="shared" si="34"/>
        <v>#DIV/0!</v>
      </c>
      <c r="BO28" t="e">
        <f t="shared" si="35"/>
        <v>#DIV/0!</v>
      </c>
      <c r="BP28" t="s">
        <v>491</v>
      </c>
      <c r="BQ28">
        <v>0</v>
      </c>
      <c r="BR28" t="e">
        <f t="shared" si="36"/>
        <v>#DIV/0!</v>
      </c>
      <c r="BS28" t="e">
        <f t="shared" si="37"/>
        <v>#DIV/0!</v>
      </c>
      <c r="BT28" t="e">
        <f t="shared" si="38"/>
        <v>#DIV/0!</v>
      </c>
      <c r="BU28" t="e">
        <f t="shared" si="39"/>
        <v>#DIV/0!</v>
      </c>
      <c r="BV28">
        <f t="shared" si="40"/>
        <v>0</v>
      </c>
      <c r="BW28">
        <f t="shared" si="41"/>
        <v>1.7225859275494104</v>
      </c>
      <c r="BX28" t="e">
        <f t="shared" si="42"/>
        <v>#DIV/0!</v>
      </c>
      <c r="BY28" t="e">
        <f t="shared" si="43"/>
        <v>#DIV/0!</v>
      </c>
      <c r="BZ28">
        <v>389</v>
      </c>
      <c r="CA28">
        <v>290.00000000000011</v>
      </c>
      <c r="CB28">
        <v>1633.17</v>
      </c>
      <c r="CC28">
        <v>275</v>
      </c>
      <c r="CD28">
        <v>5019.71</v>
      </c>
      <c r="CE28">
        <v>1633.3</v>
      </c>
      <c r="CF28">
        <v>-0.13</v>
      </c>
      <c r="CG28">
        <v>300.00000000000011</v>
      </c>
      <c r="CH28">
        <v>23.9</v>
      </c>
      <c r="CI28">
        <v>1676.142600937771</v>
      </c>
      <c r="CJ28">
        <v>1.4773481027793329</v>
      </c>
      <c r="CK28">
        <v>-21.507350841696791</v>
      </c>
      <c r="CL28">
        <v>0.64248540818846878</v>
      </c>
      <c r="CM28">
        <v>0.97562231535078248</v>
      </c>
      <c r="CN28">
        <v>-4.154937041156841E-3</v>
      </c>
      <c r="CO28">
        <v>289.99999999999989</v>
      </c>
      <c r="CP28">
        <v>1631.57</v>
      </c>
      <c r="CQ28">
        <v>655</v>
      </c>
      <c r="CR28">
        <v>5019.7</v>
      </c>
      <c r="CS28">
        <v>1633.3</v>
      </c>
      <c r="CT28">
        <v>-1.73</v>
      </c>
      <c r="DH28">
        <f t="shared" si="44"/>
        <v>1093.3503338933331</v>
      </c>
      <c r="DI28">
        <f t="shared" si="45"/>
        <v>460.30306212907857</v>
      </c>
      <c r="DJ28">
        <f t="shared" si="46"/>
        <v>0.42100235200000002</v>
      </c>
      <c r="DK28">
        <f t="shared" si="47"/>
        <v>9.9540446879999994E-2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1761678812.349999</v>
      </c>
      <c r="DR28">
        <v>420.31299999999987</v>
      </c>
      <c r="DS28">
        <v>420.00459999999998</v>
      </c>
      <c r="DT28">
        <v>11.79837</v>
      </c>
      <c r="DU28">
        <v>10.15671</v>
      </c>
      <c r="DV28">
        <v>419.476</v>
      </c>
      <c r="DW28">
        <v>11.69895333333333</v>
      </c>
      <c r="DX28">
        <v>499.98866666666657</v>
      </c>
      <c r="DY28">
        <v>90.997159999999994</v>
      </c>
      <c r="DZ28">
        <v>2.0923613333333341E-2</v>
      </c>
      <c r="EA28">
        <v>18.599486666666671</v>
      </c>
      <c r="EB28">
        <v>17.992223333333339</v>
      </c>
      <c r="EC28">
        <v>999.9000000000002</v>
      </c>
      <c r="ED28">
        <v>0</v>
      </c>
      <c r="EE28">
        <v>0</v>
      </c>
      <c r="EF28">
        <v>9998.0210000000006</v>
      </c>
      <c r="EG28">
        <v>0</v>
      </c>
      <c r="EH28">
        <v>1093.345333333333</v>
      </c>
      <c r="EI28">
        <v>0.30836183333333328</v>
      </c>
      <c r="EJ28">
        <v>425.33120000000002</v>
      </c>
      <c r="EK28">
        <v>424.31423333333339</v>
      </c>
      <c r="EL28">
        <v>1.6416569999999999</v>
      </c>
      <c r="EM28">
        <v>420.00459999999998</v>
      </c>
      <c r="EN28">
        <v>10.15671</v>
      </c>
      <c r="EO28">
        <v>1.073618</v>
      </c>
      <c r="EP28">
        <v>0.92423169999999988</v>
      </c>
      <c r="EQ28">
        <v>7.9556733333333343</v>
      </c>
      <c r="ER28">
        <v>5.7736733333333348</v>
      </c>
      <c r="ES28">
        <v>5.0005599999999976E-3</v>
      </c>
      <c r="ET28">
        <v>0</v>
      </c>
      <c r="EU28">
        <v>0</v>
      </c>
      <c r="EV28">
        <v>0</v>
      </c>
      <c r="EW28">
        <v>703.44333333333316</v>
      </c>
      <c r="EX28">
        <v>5.0005599999999976E-3</v>
      </c>
      <c r="EY28">
        <v>122.8933333333333</v>
      </c>
      <c r="EZ28">
        <v>-1.956666666666667</v>
      </c>
      <c r="FA28">
        <v>34.974799999999988</v>
      </c>
      <c r="FB28">
        <v>38.978866666666647</v>
      </c>
      <c r="FC28">
        <v>36.987266666666663</v>
      </c>
      <c r="FD28">
        <v>38.120600000000003</v>
      </c>
      <c r="FE28">
        <v>36.2498</v>
      </c>
      <c r="FF28">
        <v>0</v>
      </c>
      <c r="FG28">
        <v>0</v>
      </c>
      <c r="FH28">
        <v>0</v>
      </c>
      <c r="FI28">
        <v>127.4000000953674</v>
      </c>
      <c r="FJ28">
        <v>0</v>
      </c>
      <c r="FK28">
        <v>703.10399999999993</v>
      </c>
      <c r="FL28">
        <v>8.8615378353433396</v>
      </c>
      <c r="FM28">
        <v>-47.061539651609927</v>
      </c>
      <c r="FN28">
        <v>123.252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0.27979336585365849</v>
      </c>
      <c r="GD28">
        <v>0.50853531010453012</v>
      </c>
      <c r="GE28">
        <v>6.2769156629574871E-2</v>
      </c>
      <c r="GF28">
        <v>0</v>
      </c>
      <c r="GG28">
        <v>703.52647058823527</v>
      </c>
      <c r="GH28">
        <v>-10.85867099042696</v>
      </c>
      <c r="GI28">
        <v>7.3935706896771114</v>
      </c>
      <c r="GJ28">
        <v>0</v>
      </c>
      <c r="GK28">
        <v>1.6327746341463409</v>
      </c>
      <c r="GL28">
        <v>0.13849379790940591</v>
      </c>
      <c r="GM28">
        <v>1.6191983276520709E-2</v>
      </c>
      <c r="GN28">
        <v>0</v>
      </c>
      <c r="GO28">
        <v>0</v>
      </c>
      <c r="GP28">
        <v>3</v>
      </c>
      <c r="GQ28" t="s">
        <v>492</v>
      </c>
      <c r="GR28">
        <v>3.1324399999999999</v>
      </c>
      <c r="GS28">
        <v>2.6989800000000002</v>
      </c>
      <c r="GT28">
        <v>8.7166499999999994E-2</v>
      </c>
      <c r="GU28">
        <v>8.7678199999999998E-2</v>
      </c>
      <c r="GV28">
        <v>6.5288200000000005E-2</v>
      </c>
      <c r="GW28">
        <v>5.8883900000000003E-2</v>
      </c>
      <c r="GX28">
        <v>27745.200000000001</v>
      </c>
      <c r="GY28">
        <v>26759</v>
      </c>
      <c r="GZ28">
        <v>30917.4</v>
      </c>
      <c r="HA28">
        <v>29561.599999999999</v>
      </c>
      <c r="HB28">
        <v>39838.5</v>
      </c>
      <c r="HC28">
        <v>36624.800000000003</v>
      </c>
      <c r="HD28">
        <v>47227.9</v>
      </c>
      <c r="HE28">
        <v>43938</v>
      </c>
      <c r="HF28">
        <v>1.88967</v>
      </c>
      <c r="HG28">
        <v>1.91435</v>
      </c>
      <c r="HH28">
        <v>1.8455099999999999E-2</v>
      </c>
      <c r="HI28">
        <v>0</v>
      </c>
      <c r="HJ28">
        <v>17.7118</v>
      </c>
      <c r="HK28">
        <v>999.9</v>
      </c>
      <c r="HL28">
        <v>30.6</v>
      </c>
      <c r="HM28">
        <v>29.5</v>
      </c>
      <c r="HN28">
        <v>13.9216</v>
      </c>
      <c r="HO28">
        <v>63.838900000000002</v>
      </c>
      <c r="HP28">
        <v>19.214700000000001</v>
      </c>
      <c r="HQ28">
        <v>1</v>
      </c>
      <c r="HR28">
        <v>-0.245501</v>
      </c>
      <c r="HS28">
        <v>1.8456399999999999</v>
      </c>
      <c r="HT28">
        <v>20.2121</v>
      </c>
      <c r="HU28">
        <v>5.2354099999999999</v>
      </c>
      <c r="HV28">
        <v>11.974</v>
      </c>
      <c r="HW28">
        <v>4.9718999999999998</v>
      </c>
      <c r="HX28">
        <v>3.2909999999999999</v>
      </c>
      <c r="HY28">
        <v>9999</v>
      </c>
      <c r="HZ28">
        <v>9999</v>
      </c>
      <c r="IA28">
        <v>9999</v>
      </c>
      <c r="IB28">
        <v>999.9</v>
      </c>
      <c r="IC28">
        <v>4.9729299999999999</v>
      </c>
      <c r="ID28">
        <v>1.8772599999999999</v>
      </c>
      <c r="IE28">
        <v>1.87531</v>
      </c>
      <c r="IF28">
        <v>1.8780699999999999</v>
      </c>
      <c r="IG28">
        <v>1.8748499999999999</v>
      </c>
      <c r="IH28">
        <v>1.87845</v>
      </c>
      <c r="II28">
        <v>1.87557</v>
      </c>
      <c r="IJ28">
        <v>1.8766799999999999</v>
      </c>
      <c r="IK28">
        <v>0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0.83699999999999997</v>
      </c>
      <c r="IY28">
        <v>9.9299999999999999E-2</v>
      </c>
      <c r="IZ28">
        <v>6.1933660764125778E-2</v>
      </c>
      <c r="JA28">
        <v>2.058711587971173E-3</v>
      </c>
      <c r="JB28">
        <v>-6.1309262243104059E-7</v>
      </c>
      <c r="JC28">
        <v>2.6183910446277612E-10</v>
      </c>
      <c r="JD28">
        <v>3.5078820932035488E-4</v>
      </c>
      <c r="JE28">
        <v>-4.3284922736758413E-3</v>
      </c>
      <c r="JF28">
        <v>1.4186339569364E-3</v>
      </c>
      <c r="JG28">
        <v>-2.7770646863349432E-5</v>
      </c>
      <c r="JH28">
        <v>2</v>
      </c>
      <c r="JI28">
        <v>2136</v>
      </c>
      <c r="JJ28">
        <v>1</v>
      </c>
      <c r="JK28">
        <v>19</v>
      </c>
      <c r="JL28">
        <v>29361313.699999999</v>
      </c>
      <c r="JM28">
        <v>29361313.699999999</v>
      </c>
      <c r="JN28">
        <v>1.09741</v>
      </c>
      <c r="JO28">
        <v>2.5305200000000001</v>
      </c>
      <c r="JP28">
        <v>1.39893</v>
      </c>
      <c r="JQ28">
        <v>2.32422</v>
      </c>
      <c r="JR28">
        <v>1.4489700000000001</v>
      </c>
      <c r="JS28">
        <v>2.5891099999999998</v>
      </c>
      <c r="JT28">
        <v>35.661299999999997</v>
      </c>
      <c r="JU28">
        <v>23.956199999999999</v>
      </c>
      <c r="JV28">
        <v>18</v>
      </c>
      <c r="JW28">
        <v>479.70699999999999</v>
      </c>
      <c r="JX28">
        <v>464.60199999999998</v>
      </c>
      <c r="JY28">
        <v>16.0975</v>
      </c>
      <c r="JZ28">
        <v>23.880099999999999</v>
      </c>
      <c r="KA28">
        <v>29.9998</v>
      </c>
      <c r="KB28">
        <v>23.751999999999999</v>
      </c>
      <c r="KC28">
        <v>23.851299999999998</v>
      </c>
      <c r="KD28">
        <v>21.994499999999999</v>
      </c>
      <c r="KE28">
        <v>23.883099999999999</v>
      </c>
      <c r="KF28">
        <v>27.496600000000001</v>
      </c>
      <c r="KG28">
        <v>16.0596</v>
      </c>
      <c r="KH28">
        <v>420</v>
      </c>
      <c r="KI28">
        <v>10.2013</v>
      </c>
      <c r="KJ28">
        <v>102.122</v>
      </c>
      <c r="KK28">
        <v>101.054</v>
      </c>
    </row>
    <row r="29" spans="1:297" x14ac:dyDescent="0.3">
      <c r="A29">
        <v>13</v>
      </c>
      <c r="B29">
        <v>1761679689.5999999</v>
      </c>
      <c r="C29">
        <v>2239.599999904633</v>
      </c>
      <c r="D29" t="s">
        <v>493</v>
      </c>
      <c r="E29" t="s">
        <v>494</v>
      </c>
      <c r="F29">
        <v>5</v>
      </c>
      <c r="G29" t="s">
        <v>495</v>
      </c>
      <c r="H29" t="s">
        <v>436</v>
      </c>
      <c r="I29">
        <v>1761679681.599999</v>
      </c>
      <c r="J29">
        <f t="shared" si="0"/>
        <v>5.6186055111234919E-4</v>
      </c>
      <c r="K29">
        <f t="shared" si="1"/>
        <v>0.56186055111234923</v>
      </c>
      <c r="L29">
        <f t="shared" si="2"/>
        <v>5.4895249584716641</v>
      </c>
      <c r="M29">
        <f t="shared" si="3"/>
        <v>413.13419354838709</v>
      </c>
      <c r="N29">
        <f t="shared" si="4"/>
        <v>156.50653202878539</v>
      </c>
      <c r="O29">
        <f t="shared" si="5"/>
        <v>14.245980473324323</v>
      </c>
      <c r="P29">
        <f t="shared" si="6"/>
        <v>37.605469738927106</v>
      </c>
      <c r="Q29">
        <f t="shared" si="7"/>
        <v>3.5438088557385089E-2</v>
      </c>
      <c r="R29">
        <f t="shared" si="8"/>
        <v>2.7638553227197082</v>
      </c>
      <c r="S29">
        <f t="shared" si="9"/>
        <v>3.5187578192966765E-2</v>
      </c>
      <c r="T29">
        <f t="shared" si="10"/>
        <v>2.2014595975440296E-2</v>
      </c>
      <c r="U29">
        <f t="shared" si="11"/>
        <v>541.32312878347307</v>
      </c>
      <c r="V29">
        <f t="shared" si="12"/>
        <v>20.396031584023586</v>
      </c>
      <c r="W29">
        <f t="shared" si="13"/>
        <v>20.396031584023586</v>
      </c>
      <c r="X29">
        <f t="shared" si="14"/>
        <v>2.4047846180502055</v>
      </c>
      <c r="Y29">
        <f t="shared" si="15"/>
        <v>49.810610322068307</v>
      </c>
      <c r="Z29">
        <f t="shared" si="16"/>
        <v>0.97834837985427192</v>
      </c>
      <c r="AA29">
        <f t="shared" si="17"/>
        <v>1.9641365033040366</v>
      </c>
      <c r="AB29">
        <f t="shared" si="18"/>
        <v>1.4264362381959335</v>
      </c>
      <c r="AC29">
        <f t="shared" si="19"/>
        <v>-24.778050304054599</v>
      </c>
      <c r="AD29">
        <f t="shared" si="20"/>
        <v>-482.46020199772011</v>
      </c>
      <c r="AE29">
        <f t="shared" si="21"/>
        <v>-34.65966331035883</v>
      </c>
      <c r="AF29">
        <f t="shared" si="22"/>
        <v>-0.57478682866047848</v>
      </c>
      <c r="AG29">
        <f t="shared" si="23"/>
        <v>5.491079394549983</v>
      </c>
      <c r="AH29">
        <f t="shared" si="24"/>
        <v>0.5558379786785933</v>
      </c>
      <c r="AI29">
        <f t="shared" si="25"/>
        <v>5.4895249584716641</v>
      </c>
      <c r="AJ29">
        <v>424.28490837566773</v>
      </c>
      <c r="AK29">
        <v>417.62878181818178</v>
      </c>
      <c r="AL29">
        <v>2.012007319494566E-4</v>
      </c>
      <c r="AM29">
        <v>65.135956036091045</v>
      </c>
      <c r="AN29">
        <f t="shared" si="26"/>
        <v>0.56186055111234923</v>
      </c>
      <c r="AO29">
        <v>10.089039420876819</v>
      </c>
      <c r="AP29">
        <v>10.755307692307699</v>
      </c>
      <c r="AQ29">
        <v>1.056137533916806E-4</v>
      </c>
      <c r="AR29">
        <v>96.735478278444774</v>
      </c>
      <c r="AS29">
        <v>1</v>
      </c>
      <c r="AT29">
        <v>0</v>
      </c>
      <c r="AU29">
        <f t="shared" si="27"/>
        <v>1</v>
      </c>
      <c r="AV29">
        <f t="shared" si="28"/>
        <v>0</v>
      </c>
      <c r="AW29">
        <f t="shared" si="29"/>
        <v>49666.629079662285</v>
      </c>
      <c r="AX29" t="s">
        <v>490</v>
      </c>
      <c r="AY29">
        <v>5019.71</v>
      </c>
      <c r="AZ29">
        <v>703.10399999999993</v>
      </c>
      <c r="BA29">
        <v>1676.142600937771</v>
      </c>
      <c r="BB29">
        <f t="shared" si="30"/>
        <v>0.5805225643649734</v>
      </c>
      <c r="BC29">
        <v>-0.85444885496179257</v>
      </c>
      <c r="BD29" t="s">
        <v>496</v>
      </c>
      <c r="BE29">
        <v>5047.1499999999996</v>
      </c>
      <c r="BF29">
        <v>1548.2896000000001</v>
      </c>
      <c r="BG29">
        <v>1645.357927709739</v>
      </c>
      <c r="BH29">
        <f t="shared" si="31"/>
        <v>5.8995265452577494E-2</v>
      </c>
      <c r="BI29">
        <v>0.5</v>
      </c>
      <c r="BJ29">
        <f t="shared" si="48"/>
        <v>2524.0318363243805</v>
      </c>
      <c r="BK29">
        <f t="shared" si="32"/>
        <v>5.4895249584716641</v>
      </c>
      <c r="BL29">
        <f t="shared" si="49"/>
        <v>74.452964097356727</v>
      </c>
      <c r="BM29">
        <f t="shared" si="33"/>
        <v>2.5134286034489421E-3</v>
      </c>
      <c r="BN29">
        <f t="shared" si="34"/>
        <v>1.8710016045495253E-2</v>
      </c>
      <c r="BO29">
        <f t="shared" si="35"/>
        <v>697.62871021480692</v>
      </c>
      <c r="BP29" t="s">
        <v>497</v>
      </c>
      <c r="BQ29">
        <v>816.33</v>
      </c>
      <c r="BR29">
        <f t="shared" si="36"/>
        <v>816.33</v>
      </c>
      <c r="BS29">
        <f t="shared" si="37"/>
        <v>0.50385871289641337</v>
      </c>
      <c r="BT29">
        <f t="shared" si="38"/>
        <v>0.11708692127887481</v>
      </c>
      <c r="BU29">
        <f t="shared" si="39"/>
        <v>3.5803933548375709E-2</v>
      </c>
      <c r="BV29">
        <f t="shared" si="40"/>
        <v>0.10301716432817119</v>
      </c>
      <c r="BW29">
        <f t="shared" si="41"/>
        <v>3.1637669048651451E-2</v>
      </c>
      <c r="BX29">
        <f t="shared" si="42"/>
        <v>6.1733648826152343E-2</v>
      </c>
      <c r="BY29">
        <f t="shared" si="43"/>
        <v>0.9382663511738476</v>
      </c>
      <c r="BZ29">
        <v>390</v>
      </c>
      <c r="CA29">
        <v>290.00000000000011</v>
      </c>
      <c r="CB29">
        <v>1600.75</v>
      </c>
      <c r="CC29">
        <v>115</v>
      </c>
      <c r="CD29">
        <v>5047.1499999999996</v>
      </c>
      <c r="CE29">
        <v>1599.57</v>
      </c>
      <c r="CF29">
        <v>1.18</v>
      </c>
      <c r="CG29">
        <v>300.00000000000011</v>
      </c>
      <c r="CH29">
        <v>23.9</v>
      </c>
      <c r="CI29">
        <v>1645.357927709739</v>
      </c>
      <c r="CJ29">
        <v>2.6931442194686221</v>
      </c>
      <c r="CK29">
        <v>-23.107793945957631</v>
      </c>
      <c r="CL29">
        <v>1.252320179159996</v>
      </c>
      <c r="CM29">
        <v>0.92401128645876263</v>
      </c>
      <c r="CN29">
        <v>-2.524150166852058E-3</v>
      </c>
      <c r="CO29">
        <v>289.99999999999989</v>
      </c>
      <c r="CP29">
        <v>1597.78</v>
      </c>
      <c r="CQ29">
        <v>665</v>
      </c>
      <c r="CR29">
        <v>5045.83</v>
      </c>
      <c r="CS29">
        <v>1599.56</v>
      </c>
      <c r="CT29">
        <v>-1.78</v>
      </c>
      <c r="DH29">
        <f t="shared" si="44"/>
        <v>3076.9645161290327</v>
      </c>
      <c r="DI29">
        <f t="shared" si="45"/>
        <v>2524.0318363243805</v>
      </c>
      <c r="DJ29">
        <f t="shared" si="46"/>
        <v>0.82029929922615175</v>
      </c>
      <c r="DK29">
        <f t="shared" si="47"/>
        <v>0.17592764750647277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1761679681.599999</v>
      </c>
      <c r="DR29">
        <v>413.13419354838709</v>
      </c>
      <c r="DS29">
        <v>419.99964516129029</v>
      </c>
      <c r="DT29">
        <v>10.748148387096769</v>
      </c>
      <c r="DU29">
        <v>10.08825483870968</v>
      </c>
      <c r="DV29">
        <v>412.30935483870968</v>
      </c>
      <c r="DW29">
        <v>10.66629032258065</v>
      </c>
      <c r="DX29">
        <v>499.95677419354831</v>
      </c>
      <c r="DY29">
        <v>91.002848387096776</v>
      </c>
      <c r="DZ29">
        <v>2.198162258064516E-2</v>
      </c>
      <c r="EA29">
        <v>17.158151612903229</v>
      </c>
      <c r="EB29">
        <v>18.08193870967742</v>
      </c>
      <c r="EC29">
        <v>999.90000000000032</v>
      </c>
      <c r="ED29">
        <v>0</v>
      </c>
      <c r="EE29">
        <v>0</v>
      </c>
      <c r="EF29">
        <v>9982.1348387096787</v>
      </c>
      <c r="EG29">
        <v>0</v>
      </c>
      <c r="EH29">
        <v>1076.951935483871</v>
      </c>
      <c r="EI29">
        <v>-6.8655329032258061</v>
      </c>
      <c r="EJ29">
        <v>417.62283870967741</v>
      </c>
      <c r="EK29">
        <v>424.27990322580638</v>
      </c>
      <c r="EL29">
        <v>0.65990164516129035</v>
      </c>
      <c r="EM29">
        <v>419.99964516129029</v>
      </c>
      <c r="EN29">
        <v>10.08825483870968</v>
      </c>
      <c r="EO29">
        <v>0.97811270967741937</v>
      </c>
      <c r="EP29">
        <v>0.91805964516129035</v>
      </c>
      <c r="EQ29">
        <v>6.5943600000000009</v>
      </c>
      <c r="ER29">
        <v>5.6769906451612888</v>
      </c>
      <c r="ES29">
        <v>2000.012580645162</v>
      </c>
      <c r="ET29">
        <v>0.97999725806451599</v>
      </c>
      <c r="EU29">
        <v>2.0002593548387099E-2</v>
      </c>
      <c r="EV29">
        <v>0</v>
      </c>
      <c r="EW29">
        <v>1548.365161290322</v>
      </c>
      <c r="EX29">
        <v>5.0005600000000019</v>
      </c>
      <c r="EY29">
        <v>30922.596774193549</v>
      </c>
      <c r="EZ29">
        <v>17294.964516129028</v>
      </c>
      <c r="FA29">
        <v>38.880806451612877</v>
      </c>
      <c r="FB29">
        <v>39.427193548387088</v>
      </c>
      <c r="FC29">
        <v>38.913064516129019</v>
      </c>
      <c r="FD29">
        <v>38.159032258064506</v>
      </c>
      <c r="FE29">
        <v>38.975451612903207</v>
      </c>
      <c r="FF29">
        <v>1955.103225806452</v>
      </c>
      <c r="FG29">
        <v>39.906774193548401</v>
      </c>
      <c r="FH29">
        <v>0</v>
      </c>
      <c r="FI29">
        <v>868.90000009536743</v>
      </c>
      <c r="FJ29">
        <v>0</v>
      </c>
      <c r="FK29">
        <v>1548.2896000000001</v>
      </c>
      <c r="FL29">
        <v>-5.7307692052486807</v>
      </c>
      <c r="FM29">
        <v>-176.3384612281933</v>
      </c>
      <c r="FN29">
        <v>30920.207999999999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-6.8812397560975596</v>
      </c>
      <c r="GD29">
        <v>0.193282578397206</v>
      </c>
      <c r="GE29">
        <v>4.4991036044202778E-2</v>
      </c>
      <c r="GF29">
        <v>1</v>
      </c>
      <c r="GG29">
        <v>1548.711470588235</v>
      </c>
      <c r="GH29">
        <v>-6.829182576726784</v>
      </c>
      <c r="GI29">
        <v>0.73121225836415837</v>
      </c>
      <c r="GJ29">
        <v>0</v>
      </c>
      <c r="GK29">
        <v>0.65810651219512195</v>
      </c>
      <c r="GL29">
        <v>4.186919163763015E-2</v>
      </c>
      <c r="GM29">
        <v>6.1934222547361511E-3</v>
      </c>
      <c r="GN29">
        <v>1</v>
      </c>
      <c r="GO29">
        <v>2</v>
      </c>
      <c r="GP29">
        <v>3</v>
      </c>
      <c r="GQ29" t="s">
        <v>479</v>
      </c>
      <c r="GR29">
        <v>3.1323699999999999</v>
      </c>
      <c r="GS29">
        <v>2.6999200000000001</v>
      </c>
      <c r="GT29">
        <v>8.6054199999999997E-2</v>
      </c>
      <c r="GU29">
        <v>8.7708800000000003E-2</v>
      </c>
      <c r="GV29">
        <v>6.0972400000000003E-2</v>
      </c>
      <c r="GW29">
        <v>5.8656E-2</v>
      </c>
      <c r="GX29">
        <v>27786.3</v>
      </c>
      <c r="GY29">
        <v>26759.8</v>
      </c>
      <c r="GZ29">
        <v>30925.3</v>
      </c>
      <c r="HA29">
        <v>29563.3</v>
      </c>
      <c r="HB29">
        <v>40035.300000000003</v>
      </c>
      <c r="HC29">
        <v>36635.5</v>
      </c>
      <c r="HD29">
        <v>47240.5</v>
      </c>
      <c r="HE29">
        <v>43940.1</v>
      </c>
      <c r="HF29">
        <v>1.88937</v>
      </c>
      <c r="HG29">
        <v>1.9111800000000001</v>
      </c>
      <c r="HH29">
        <v>0.10258</v>
      </c>
      <c r="HI29">
        <v>0</v>
      </c>
      <c r="HJ29">
        <v>16.3551</v>
      </c>
      <c r="HK29">
        <v>999.9</v>
      </c>
      <c r="HL29">
        <v>29.4</v>
      </c>
      <c r="HM29">
        <v>29.9</v>
      </c>
      <c r="HN29">
        <v>13.6853</v>
      </c>
      <c r="HO29">
        <v>64.688900000000004</v>
      </c>
      <c r="HP29">
        <v>19.679500000000001</v>
      </c>
      <c r="HQ29">
        <v>1</v>
      </c>
      <c r="HR29">
        <v>-0.240178</v>
      </c>
      <c r="HS29">
        <v>5.02982</v>
      </c>
      <c r="HT29">
        <v>20.131399999999999</v>
      </c>
      <c r="HU29">
        <v>5.2396000000000003</v>
      </c>
      <c r="HV29">
        <v>11.974</v>
      </c>
      <c r="HW29">
        <v>4.97295</v>
      </c>
      <c r="HX29">
        <v>3.2909999999999999</v>
      </c>
      <c r="HY29">
        <v>9999</v>
      </c>
      <c r="HZ29">
        <v>9999</v>
      </c>
      <c r="IA29">
        <v>9999</v>
      </c>
      <c r="IB29">
        <v>999.9</v>
      </c>
      <c r="IC29">
        <v>4.9729099999999997</v>
      </c>
      <c r="ID29">
        <v>1.8772899999999999</v>
      </c>
      <c r="IE29">
        <v>1.87531</v>
      </c>
      <c r="IF29">
        <v>1.8781699999999999</v>
      </c>
      <c r="IG29">
        <v>1.87487</v>
      </c>
      <c r="IH29">
        <v>1.8785099999999999</v>
      </c>
      <c r="II29">
        <v>1.87561</v>
      </c>
      <c r="IJ29">
        <v>1.87673</v>
      </c>
      <c r="IK29">
        <v>0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0.82499999999999996</v>
      </c>
      <c r="IY29">
        <v>8.2000000000000003E-2</v>
      </c>
      <c r="IZ29">
        <v>6.1933660764125778E-2</v>
      </c>
      <c r="JA29">
        <v>2.058711587971173E-3</v>
      </c>
      <c r="JB29">
        <v>-6.1309262243104059E-7</v>
      </c>
      <c r="JC29">
        <v>2.6183910446277612E-10</v>
      </c>
      <c r="JD29">
        <v>3.5078820932035488E-4</v>
      </c>
      <c r="JE29">
        <v>-4.3284922736758413E-3</v>
      </c>
      <c r="JF29">
        <v>1.4186339569364E-3</v>
      </c>
      <c r="JG29">
        <v>-2.7770646863349432E-5</v>
      </c>
      <c r="JH29">
        <v>2</v>
      </c>
      <c r="JI29">
        <v>2136</v>
      </c>
      <c r="JJ29">
        <v>1</v>
      </c>
      <c r="JK29">
        <v>19</v>
      </c>
      <c r="JL29">
        <v>29361328.199999999</v>
      </c>
      <c r="JM29">
        <v>29361328.199999999</v>
      </c>
      <c r="JN29">
        <v>1.09863</v>
      </c>
      <c r="JO29">
        <v>2.5293000000000001</v>
      </c>
      <c r="JP29">
        <v>1.39893</v>
      </c>
      <c r="JQ29">
        <v>2.323</v>
      </c>
      <c r="JR29">
        <v>1.4489700000000001</v>
      </c>
      <c r="JS29">
        <v>2.5903299999999998</v>
      </c>
      <c r="JT29">
        <v>35.941200000000002</v>
      </c>
      <c r="JU29">
        <v>23.807300000000001</v>
      </c>
      <c r="JV29">
        <v>18</v>
      </c>
      <c r="JW29">
        <v>478.85899999999998</v>
      </c>
      <c r="JX29">
        <v>461.62799999999999</v>
      </c>
      <c r="JY29">
        <v>11.0564</v>
      </c>
      <c r="JZ29">
        <v>23.8599</v>
      </c>
      <c r="KA29">
        <v>30</v>
      </c>
      <c r="KB29">
        <v>23.654699999999998</v>
      </c>
      <c r="KC29">
        <v>23.7379</v>
      </c>
      <c r="KD29">
        <v>22.023299999999999</v>
      </c>
      <c r="KE29">
        <v>22.072800000000001</v>
      </c>
      <c r="KF29">
        <v>25.6389</v>
      </c>
      <c r="KG29">
        <v>10.995200000000001</v>
      </c>
      <c r="KH29">
        <v>420</v>
      </c>
      <c r="KI29">
        <v>10.164999999999999</v>
      </c>
      <c r="KJ29">
        <v>102.148</v>
      </c>
      <c r="KK29">
        <v>101.06</v>
      </c>
    </row>
    <row r="30" spans="1:297" x14ac:dyDescent="0.3">
      <c r="A30">
        <v>14</v>
      </c>
      <c r="B30">
        <v>1761679819.0999999</v>
      </c>
      <c r="C30">
        <v>2369.099999904633</v>
      </c>
      <c r="D30" t="s">
        <v>498</v>
      </c>
      <c r="E30" t="s">
        <v>499</v>
      </c>
      <c r="F30">
        <v>5</v>
      </c>
      <c r="G30" t="s">
        <v>495</v>
      </c>
      <c r="H30" t="s">
        <v>436</v>
      </c>
      <c r="I30">
        <v>1761679811.349999</v>
      </c>
      <c r="J30">
        <f t="shared" si="0"/>
        <v>6.3184489841221171E-4</v>
      </c>
      <c r="K30">
        <f t="shared" si="1"/>
        <v>0.6318448984122117</v>
      </c>
      <c r="L30">
        <f t="shared" si="2"/>
        <v>5.5620808764668794</v>
      </c>
      <c r="M30">
        <f t="shared" si="3"/>
        <v>413.04169999999988</v>
      </c>
      <c r="N30">
        <f t="shared" si="4"/>
        <v>188.53840109070967</v>
      </c>
      <c r="O30">
        <f t="shared" si="5"/>
        <v>17.16245771177147</v>
      </c>
      <c r="P30">
        <f t="shared" si="6"/>
        <v>37.598763267529911</v>
      </c>
      <c r="Q30">
        <f t="shared" si="7"/>
        <v>4.1285386511838502E-2</v>
      </c>
      <c r="R30">
        <f t="shared" si="8"/>
        <v>2.766746425771391</v>
      </c>
      <c r="S30">
        <f t="shared" si="9"/>
        <v>4.0946166457824153E-2</v>
      </c>
      <c r="T30">
        <f t="shared" si="10"/>
        <v>2.5621599162875749E-2</v>
      </c>
      <c r="U30">
        <f t="shared" si="11"/>
        <v>506.29731943691263</v>
      </c>
      <c r="V30">
        <f t="shared" si="12"/>
        <v>20.133033061104729</v>
      </c>
      <c r="W30">
        <f t="shared" si="13"/>
        <v>20.133033061104729</v>
      </c>
      <c r="X30">
        <f t="shared" si="14"/>
        <v>2.3660147340760918</v>
      </c>
      <c r="Y30">
        <f t="shared" si="15"/>
        <v>50.32924111562663</v>
      </c>
      <c r="Z30">
        <f t="shared" si="16"/>
        <v>0.98720834155178339</v>
      </c>
      <c r="AA30">
        <f t="shared" si="17"/>
        <v>1.9615005505125069</v>
      </c>
      <c r="AB30">
        <f t="shared" si="18"/>
        <v>1.3788063925243084</v>
      </c>
      <c r="AC30">
        <f t="shared" si="19"/>
        <v>-27.864360019978538</v>
      </c>
      <c r="AD30">
        <f t="shared" si="20"/>
        <v>-446.90023486004549</v>
      </c>
      <c r="AE30">
        <f t="shared" si="21"/>
        <v>-32.02452935724444</v>
      </c>
      <c r="AF30">
        <f t="shared" si="22"/>
        <v>-0.49180480035585106</v>
      </c>
      <c r="AG30">
        <f t="shared" si="23"/>
        <v>5.5485231018212717</v>
      </c>
      <c r="AH30">
        <f t="shared" si="24"/>
        <v>0.60906737087947893</v>
      </c>
      <c r="AI30">
        <f t="shared" si="25"/>
        <v>5.5620808764668794</v>
      </c>
      <c r="AJ30">
        <v>424.31054610010568</v>
      </c>
      <c r="AK30">
        <v>417.56450909090898</v>
      </c>
      <c r="AL30">
        <v>6.6544571771138996E-4</v>
      </c>
      <c r="AM30">
        <v>65.135956036091045</v>
      </c>
      <c r="AN30">
        <f t="shared" si="26"/>
        <v>0.6318448984122117</v>
      </c>
      <c r="AO30">
        <v>10.12107404602467</v>
      </c>
      <c r="AP30">
        <v>10.86903636363637</v>
      </c>
      <c r="AQ30">
        <v>2.7589205673178341E-4</v>
      </c>
      <c r="AR30">
        <v>96.735478278444774</v>
      </c>
      <c r="AS30">
        <v>1</v>
      </c>
      <c r="AT30">
        <v>0</v>
      </c>
      <c r="AU30">
        <f t="shared" si="27"/>
        <v>1</v>
      </c>
      <c r="AV30">
        <f t="shared" si="28"/>
        <v>0</v>
      </c>
      <c r="AW30">
        <f t="shared" si="29"/>
        <v>49751.805775970068</v>
      </c>
      <c r="AX30" t="s">
        <v>490</v>
      </c>
      <c r="AY30">
        <v>5019.71</v>
      </c>
      <c r="AZ30">
        <v>703.10399999999993</v>
      </c>
      <c r="BA30">
        <v>1676.142600937771</v>
      </c>
      <c r="BB30">
        <f t="shared" si="30"/>
        <v>0.5805225643649734</v>
      </c>
      <c r="BC30">
        <v>-0.85444885496179257</v>
      </c>
      <c r="BD30" t="s">
        <v>500</v>
      </c>
      <c r="BE30">
        <v>5049.21</v>
      </c>
      <c r="BF30">
        <v>1529.8692000000001</v>
      </c>
      <c r="BG30">
        <v>1632.8145402818459</v>
      </c>
      <c r="BH30">
        <f t="shared" si="31"/>
        <v>6.3047785123273137E-2</v>
      </c>
      <c r="BI30">
        <v>0.5</v>
      </c>
      <c r="BJ30">
        <f t="shared" si="48"/>
        <v>2360.0332114958096</v>
      </c>
      <c r="BK30">
        <f t="shared" si="32"/>
        <v>5.5620808764668794</v>
      </c>
      <c r="BL30">
        <f t="shared" si="49"/>
        <v>74.397433401088009</v>
      </c>
      <c r="BM30">
        <f t="shared" si="33"/>
        <v>2.7188302690714337E-3</v>
      </c>
      <c r="BN30">
        <f t="shared" si="34"/>
        <v>2.6535812602725917E-2</v>
      </c>
      <c r="BO30">
        <f t="shared" si="35"/>
        <v>695.36378429049455</v>
      </c>
      <c r="BP30" t="s">
        <v>501</v>
      </c>
      <c r="BQ30">
        <v>823.67</v>
      </c>
      <c r="BR30">
        <f t="shared" si="36"/>
        <v>823.67</v>
      </c>
      <c r="BS30">
        <f t="shared" si="37"/>
        <v>0.49555201789308945</v>
      </c>
      <c r="BT30">
        <f t="shared" si="38"/>
        <v>0.12722738047022758</v>
      </c>
      <c r="BU30">
        <f t="shared" si="39"/>
        <v>5.0826338123080621E-2</v>
      </c>
      <c r="BV30">
        <f t="shared" si="40"/>
        <v>0.11072837815804203</v>
      </c>
      <c r="BW30">
        <f t="shared" si="41"/>
        <v>4.4528614398408738E-2</v>
      </c>
      <c r="BX30">
        <f t="shared" si="42"/>
        <v>6.8498258852398838E-2</v>
      </c>
      <c r="BY30">
        <f t="shared" si="43"/>
        <v>0.9315017411476012</v>
      </c>
      <c r="BZ30">
        <v>392</v>
      </c>
      <c r="CA30">
        <v>290.00000000000011</v>
      </c>
      <c r="CB30">
        <v>1591.32</v>
      </c>
      <c r="CC30">
        <v>125</v>
      </c>
      <c r="CD30">
        <v>5049.21</v>
      </c>
      <c r="CE30">
        <v>1589.49</v>
      </c>
      <c r="CF30">
        <v>1.83</v>
      </c>
      <c r="CG30">
        <v>300.00000000000011</v>
      </c>
      <c r="CH30">
        <v>23.9</v>
      </c>
      <c r="CI30">
        <v>1632.8145402818459</v>
      </c>
      <c r="CJ30">
        <v>2.1788914522590859</v>
      </c>
      <c r="CK30">
        <v>-21.876676279381371</v>
      </c>
      <c r="CL30">
        <v>1.0077242033738609</v>
      </c>
      <c r="CM30">
        <v>0.94391927929874608</v>
      </c>
      <c r="CN30">
        <v>-2.6907668520578412E-3</v>
      </c>
      <c r="CO30">
        <v>289.99999999999989</v>
      </c>
      <c r="CP30">
        <v>1587.69</v>
      </c>
      <c r="CQ30">
        <v>635</v>
      </c>
      <c r="CR30">
        <v>5048.22</v>
      </c>
      <c r="CS30">
        <v>1589.48</v>
      </c>
      <c r="CT30">
        <v>-1.79</v>
      </c>
      <c r="DH30">
        <f t="shared" si="44"/>
        <v>2876.9349999999999</v>
      </c>
      <c r="DI30">
        <f t="shared" si="45"/>
        <v>2360.0332114958096</v>
      </c>
      <c r="DJ30">
        <f t="shared" si="46"/>
        <v>0.82032899995857034</v>
      </c>
      <c r="DK30">
        <f t="shared" si="47"/>
        <v>0.17598496992004081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1761679811.349999</v>
      </c>
      <c r="DR30">
        <v>413.04169999999988</v>
      </c>
      <c r="DS30">
        <v>420.00183333333342</v>
      </c>
      <c r="DT30">
        <v>10.844989999999999</v>
      </c>
      <c r="DU30">
        <v>10.122033333333331</v>
      </c>
      <c r="DV30">
        <v>412.21693333333332</v>
      </c>
      <c r="DW30">
        <v>10.76155</v>
      </c>
      <c r="DX30">
        <v>499.99846666666679</v>
      </c>
      <c r="DY30">
        <v>91.008753333333331</v>
      </c>
      <c r="DZ30">
        <v>2.0223323333333331E-2</v>
      </c>
      <c r="EA30">
        <v>17.13693666666666</v>
      </c>
      <c r="EB30">
        <v>17.984819999999999</v>
      </c>
      <c r="EC30">
        <v>999.9000000000002</v>
      </c>
      <c r="ED30">
        <v>0</v>
      </c>
      <c r="EE30">
        <v>0</v>
      </c>
      <c r="EF30">
        <v>9998.5413333333327</v>
      </c>
      <c r="EG30">
        <v>0</v>
      </c>
      <c r="EH30">
        <v>1076.9353333333329</v>
      </c>
      <c r="EI30">
        <v>-6.9601353333333336</v>
      </c>
      <c r="EJ30">
        <v>417.57016666666658</v>
      </c>
      <c r="EK30">
        <v>424.29646666666667</v>
      </c>
      <c r="EL30">
        <v>0.72296043333333315</v>
      </c>
      <c r="EM30">
        <v>420.00183333333342</v>
      </c>
      <c r="EN30">
        <v>10.122033333333331</v>
      </c>
      <c r="EO30">
        <v>0.98698916666666681</v>
      </c>
      <c r="EP30">
        <v>0.92119333333333342</v>
      </c>
      <c r="EQ30">
        <v>6.7257086666666668</v>
      </c>
      <c r="ER30">
        <v>5.7261536666666677</v>
      </c>
      <c r="ES30">
        <v>1799.9996666666671</v>
      </c>
      <c r="ET30">
        <v>0.97800713333333333</v>
      </c>
      <c r="EU30">
        <v>2.1992669999999999E-2</v>
      </c>
      <c r="EV30">
        <v>0</v>
      </c>
      <c r="EW30">
        <v>1529.917333333334</v>
      </c>
      <c r="EX30">
        <v>5.0005600000000019</v>
      </c>
      <c r="EY30">
        <v>27374.506666666672</v>
      </c>
      <c r="EZ30">
        <v>15551.206666666671</v>
      </c>
      <c r="FA30">
        <v>37.437233333333332</v>
      </c>
      <c r="FB30">
        <v>38.320500000000003</v>
      </c>
      <c r="FC30">
        <v>37.687233333333332</v>
      </c>
      <c r="FD30">
        <v>36.828899999999997</v>
      </c>
      <c r="FE30">
        <v>37.576766666666657</v>
      </c>
      <c r="FF30">
        <v>1755.519666666667</v>
      </c>
      <c r="FG30">
        <v>39.479999999999997</v>
      </c>
      <c r="FH30">
        <v>0</v>
      </c>
      <c r="FI30">
        <v>127.4000000953674</v>
      </c>
      <c r="FJ30">
        <v>0</v>
      </c>
      <c r="FK30">
        <v>1529.8692000000001</v>
      </c>
      <c r="FL30">
        <v>-8.9861538198535449</v>
      </c>
      <c r="FM30">
        <v>-191.20769195565219</v>
      </c>
      <c r="FN30">
        <v>27372.835999999999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-6.9468570731707304</v>
      </c>
      <c r="GD30">
        <v>-0.34389324041812069</v>
      </c>
      <c r="GE30">
        <v>4.9766715551656862E-2</v>
      </c>
      <c r="GF30">
        <v>1</v>
      </c>
      <c r="GG30">
        <v>1530.3411764705879</v>
      </c>
      <c r="GH30">
        <v>-8.6411000651985272</v>
      </c>
      <c r="GI30">
        <v>0.89931596458211238</v>
      </c>
      <c r="GJ30">
        <v>0</v>
      </c>
      <c r="GK30">
        <v>0.71488314634146344</v>
      </c>
      <c r="GL30">
        <v>0.1727369059233452</v>
      </c>
      <c r="GM30">
        <v>1.7137894045653551E-2</v>
      </c>
      <c r="GN30">
        <v>0</v>
      </c>
      <c r="GO30">
        <v>1</v>
      </c>
      <c r="GP30">
        <v>3</v>
      </c>
      <c r="GQ30" t="s">
        <v>442</v>
      </c>
      <c r="GR30">
        <v>3.1325799999999999</v>
      </c>
      <c r="GS30">
        <v>2.6979299999999999</v>
      </c>
      <c r="GT30">
        <v>8.6068099999999995E-2</v>
      </c>
      <c r="GU30">
        <v>8.77444E-2</v>
      </c>
      <c r="GV30">
        <v>6.1489599999999998E-2</v>
      </c>
      <c r="GW30">
        <v>5.8786900000000003E-2</v>
      </c>
      <c r="GX30">
        <v>27794.3</v>
      </c>
      <c r="GY30">
        <v>26763.9</v>
      </c>
      <c r="GZ30">
        <v>30933.9</v>
      </c>
      <c r="HA30">
        <v>29568.2</v>
      </c>
      <c r="HB30">
        <v>40023.5</v>
      </c>
      <c r="HC30">
        <v>36636.5</v>
      </c>
      <c r="HD30">
        <v>47252.800000000003</v>
      </c>
      <c r="HE30">
        <v>43947.5</v>
      </c>
      <c r="HF30">
        <v>1.89177</v>
      </c>
      <c r="HG30">
        <v>1.9125000000000001</v>
      </c>
      <c r="HH30">
        <v>8.9451699999999995E-2</v>
      </c>
      <c r="HI30">
        <v>0</v>
      </c>
      <c r="HJ30">
        <v>16.496200000000002</v>
      </c>
      <c r="HK30">
        <v>999.9</v>
      </c>
      <c r="HL30">
        <v>29.2</v>
      </c>
      <c r="HM30">
        <v>29.9</v>
      </c>
      <c r="HN30">
        <v>13.592499999999999</v>
      </c>
      <c r="HO30">
        <v>64.078900000000004</v>
      </c>
      <c r="HP30">
        <v>19.523199999999999</v>
      </c>
      <c r="HQ30">
        <v>1</v>
      </c>
      <c r="HR30">
        <v>-0.25709300000000002</v>
      </c>
      <c r="HS30">
        <v>3.58243</v>
      </c>
      <c r="HT30">
        <v>20.171099999999999</v>
      </c>
      <c r="HU30">
        <v>5.2393000000000001</v>
      </c>
      <c r="HV30">
        <v>11.974</v>
      </c>
      <c r="HW30">
        <v>4.9725999999999999</v>
      </c>
      <c r="HX30">
        <v>3.2909999999999999</v>
      </c>
      <c r="HY30">
        <v>9999</v>
      </c>
      <c r="HZ30">
        <v>9999</v>
      </c>
      <c r="IA30">
        <v>9999</v>
      </c>
      <c r="IB30">
        <v>999.9</v>
      </c>
      <c r="IC30">
        <v>4.9728899999999996</v>
      </c>
      <c r="ID30">
        <v>1.8772800000000001</v>
      </c>
      <c r="IE30">
        <v>1.87531</v>
      </c>
      <c r="IF30">
        <v>1.8781300000000001</v>
      </c>
      <c r="IG30">
        <v>1.87487</v>
      </c>
      <c r="IH30">
        <v>1.87849</v>
      </c>
      <c r="II30">
        <v>1.8755999999999999</v>
      </c>
      <c r="IJ30">
        <v>1.8767499999999999</v>
      </c>
      <c r="IK30">
        <v>0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0.82499999999999996</v>
      </c>
      <c r="IY30">
        <v>8.3900000000000002E-2</v>
      </c>
      <c r="IZ30">
        <v>6.1933660764125778E-2</v>
      </c>
      <c r="JA30">
        <v>2.058711587971173E-3</v>
      </c>
      <c r="JB30">
        <v>-6.1309262243104059E-7</v>
      </c>
      <c r="JC30">
        <v>2.6183910446277612E-10</v>
      </c>
      <c r="JD30">
        <v>3.5078820932035488E-4</v>
      </c>
      <c r="JE30">
        <v>-4.3284922736758413E-3</v>
      </c>
      <c r="JF30">
        <v>1.4186339569364E-3</v>
      </c>
      <c r="JG30">
        <v>-2.7770646863349432E-5</v>
      </c>
      <c r="JH30">
        <v>2</v>
      </c>
      <c r="JI30">
        <v>2136</v>
      </c>
      <c r="JJ30">
        <v>1</v>
      </c>
      <c r="JK30">
        <v>19</v>
      </c>
      <c r="JL30">
        <v>29361330.300000001</v>
      </c>
      <c r="JM30">
        <v>29361330.300000001</v>
      </c>
      <c r="JN30">
        <v>1.09863</v>
      </c>
      <c r="JO30">
        <v>2.5451700000000002</v>
      </c>
      <c r="JP30">
        <v>1.39893</v>
      </c>
      <c r="JQ30">
        <v>2.32178</v>
      </c>
      <c r="JR30">
        <v>1.4489700000000001</v>
      </c>
      <c r="JS30">
        <v>2.5158700000000001</v>
      </c>
      <c r="JT30">
        <v>35.941200000000002</v>
      </c>
      <c r="JU30">
        <v>23.851099999999999</v>
      </c>
      <c r="JV30">
        <v>18</v>
      </c>
      <c r="JW30">
        <v>479.29300000000001</v>
      </c>
      <c r="JX30">
        <v>461.51799999999997</v>
      </c>
      <c r="JY30">
        <v>11.7621</v>
      </c>
      <c r="JZ30">
        <v>23.6965</v>
      </c>
      <c r="KA30">
        <v>29.9983</v>
      </c>
      <c r="KB30">
        <v>23.537500000000001</v>
      </c>
      <c r="KC30">
        <v>23.628799999999998</v>
      </c>
      <c r="KD30">
        <v>22.020900000000001</v>
      </c>
      <c r="KE30">
        <v>21.448699999999999</v>
      </c>
      <c r="KF30">
        <v>25.265799999999999</v>
      </c>
      <c r="KG30">
        <v>11.803599999999999</v>
      </c>
      <c r="KH30">
        <v>420</v>
      </c>
      <c r="KI30">
        <v>10.104900000000001</v>
      </c>
      <c r="KJ30">
        <v>102.176</v>
      </c>
      <c r="KK30">
        <v>101.077</v>
      </c>
    </row>
    <row r="31" spans="1:297" x14ac:dyDescent="0.3">
      <c r="A31">
        <v>15</v>
      </c>
      <c r="B31">
        <v>1761679948.5999999</v>
      </c>
      <c r="C31">
        <v>2498.599999904633</v>
      </c>
      <c r="D31" t="s">
        <v>502</v>
      </c>
      <c r="E31" t="s">
        <v>503</v>
      </c>
      <c r="F31">
        <v>5</v>
      </c>
      <c r="G31" t="s">
        <v>495</v>
      </c>
      <c r="H31" t="s">
        <v>436</v>
      </c>
      <c r="I31">
        <v>1761679940.849999</v>
      </c>
      <c r="J31">
        <f t="shared" si="0"/>
        <v>6.4069867931508572E-4</v>
      </c>
      <c r="K31">
        <f t="shared" si="1"/>
        <v>0.64069867931508573</v>
      </c>
      <c r="L31">
        <f t="shared" si="2"/>
        <v>5.5456014401411267</v>
      </c>
      <c r="M31">
        <f t="shared" si="3"/>
        <v>413.02716666666657</v>
      </c>
      <c r="N31">
        <f t="shared" si="4"/>
        <v>196.4530239565739</v>
      </c>
      <c r="O31">
        <f t="shared" si="5"/>
        <v>17.884617977135196</v>
      </c>
      <c r="P31">
        <f t="shared" si="6"/>
        <v>37.601014946172299</v>
      </c>
      <c r="Q31">
        <f t="shared" si="7"/>
        <v>4.2723339714256472E-2</v>
      </c>
      <c r="R31">
        <f t="shared" si="8"/>
        <v>2.7674926678624825</v>
      </c>
      <c r="S31">
        <f t="shared" si="9"/>
        <v>4.236028752177156E-2</v>
      </c>
      <c r="T31">
        <f t="shared" si="10"/>
        <v>2.6507541227700323E-2</v>
      </c>
      <c r="U31">
        <f t="shared" si="11"/>
        <v>453.88933544179656</v>
      </c>
      <c r="V31">
        <f t="shared" si="12"/>
        <v>20.040729741857263</v>
      </c>
      <c r="W31">
        <f t="shared" si="13"/>
        <v>20.040729741857263</v>
      </c>
      <c r="X31">
        <f t="shared" si="14"/>
        <v>2.3525382885164778</v>
      </c>
      <c r="Y31">
        <f t="shared" si="15"/>
        <v>50.263135518012611</v>
      </c>
      <c r="Z31">
        <f t="shared" si="16"/>
        <v>1.0009563292796304</v>
      </c>
      <c r="AA31">
        <f t="shared" si="17"/>
        <v>1.9914323270201109</v>
      </c>
      <c r="AB31">
        <f t="shared" si="18"/>
        <v>1.3515819592368474</v>
      </c>
      <c r="AC31">
        <f t="shared" si="19"/>
        <v>-28.254811757795281</v>
      </c>
      <c r="AD31">
        <f t="shared" si="20"/>
        <v>-397.52381824438993</v>
      </c>
      <c r="AE31">
        <f t="shared" si="21"/>
        <v>-28.499972355959812</v>
      </c>
      <c r="AF31">
        <f t="shared" si="22"/>
        <v>-0.38926691634844701</v>
      </c>
      <c r="AG31">
        <f t="shared" si="23"/>
        <v>5.5496859499915123</v>
      </c>
      <c r="AH31">
        <f t="shared" si="24"/>
        <v>0.61505084958145784</v>
      </c>
      <c r="AI31">
        <f t="shared" si="25"/>
        <v>5.5456014401411267</v>
      </c>
      <c r="AJ31">
        <v>424.33339274030692</v>
      </c>
      <c r="AK31">
        <v>417.6104848484847</v>
      </c>
      <c r="AL31">
        <v>-1.771285420944203E-4</v>
      </c>
      <c r="AM31">
        <v>65.135956036091045</v>
      </c>
      <c r="AN31">
        <f t="shared" si="26"/>
        <v>0.64069867931508573</v>
      </c>
      <c r="AO31">
        <v>10.26475236176749</v>
      </c>
      <c r="AP31">
        <v>11.02316013986014</v>
      </c>
      <c r="AQ31">
        <v>2.6880958008741409E-4</v>
      </c>
      <c r="AR31">
        <v>96.735478278444774</v>
      </c>
      <c r="AS31">
        <v>1</v>
      </c>
      <c r="AT31">
        <v>0</v>
      </c>
      <c r="AU31">
        <f t="shared" si="27"/>
        <v>1</v>
      </c>
      <c r="AV31">
        <f t="shared" si="28"/>
        <v>0</v>
      </c>
      <c r="AW31">
        <f t="shared" si="29"/>
        <v>49731.982532866306</v>
      </c>
      <c r="AX31" t="s">
        <v>490</v>
      </c>
      <c r="AY31">
        <v>5019.71</v>
      </c>
      <c r="AZ31">
        <v>703.10399999999993</v>
      </c>
      <c r="BA31">
        <v>1676.142600937771</v>
      </c>
      <c r="BB31">
        <f t="shared" si="30"/>
        <v>0.5805225643649734</v>
      </c>
      <c r="BC31">
        <v>-0.85444885496179257</v>
      </c>
      <c r="BD31" t="s">
        <v>504</v>
      </c>
      <c r="BE31">
        <v>5047.3500000000004</v>
      </c>
      <c r="BF31">
        <v>1499.3843999999999</v>
      </c>
      <c r="BG31">
        <v>1622.01623308592</v>
      </c>
      <c r="BH31">
        <f t="shared" si="31"/>
        <v>7.56045658387835E-2</v>
      </c>
      <c r="BI31">
        <v>0.5</v>
      </c>
      <c r="BJ31">
        <f t="shared" si="48"/>
        <v>2114.2014014810688</v>
      </c>
      <c r="BK31">
        <f t="shared" si="32"/>
        <v>5.5456014401411267</v>
      </c>
      <c r="BL31">
        <f t="shared" si="49"/>
        <v>79.921639527361904</v>
      </c>
      <c r="BM31">
        <f t="shared" si="33"/>
        <v>3.0271715318225924E-3</v>
      </c>
      <c r="BN31">
        <f t="shared" si="34"/>
        <v>3.3369806508578799E-2</v>
      </c>
      <c r="BO31">
        <f t="shared" si="35"/>
        <v>693.39789882242258</v>
      </c>
      <c r="BP31" t="s">
        <v>505</v>
      </c>
      <c r="BQ31">
        <v>817.13</v>
      </c>
      <c r="BR31">
        <f t="shared" si="36"/>
        <v>817.13</v>
      </c>
      <c r="BS31">
        <f t="shared" si="37"/>
        <v>0.49622575697322524</v>
      </c>
      <c r="BT31">
        <f t="shared" si="38"/>
        <v>0.15235921307257519</v>
      </c>
      <c r="BU31">
        <f t="shared" si="39"/>
        <v>6.3009981218857633E-2</v>
      </c>
      <c r="BV31">
        <f t="shared" si="40"/>
        <v>0.13345325992025811</v>
      </c>
      <c r="BW31">
        <f t="shared" si="41"/>
        <v>5.5626126034143381E-2</v>
      </c>
      <c r="BX31">
        <f t="shared" si="42"/>
        <v>8.303226562714229E-2</v>
      </c>
      <c r="BY31">
        <f t="shared" si="43"/>
        <v>0.91696773437285772</v>
      </c>
      <c r="BZ31">
        <v>394</v>
      </c>
      <c r="CA31">
        <v>290.00000000000011</v>
      </c>
      <c r="CB31">
        <v>1578.46</v>
      </c>
      <c r="CC31">
        <v>255</v>
      </c>
      <c r="CD31">
        <v>5047.3500000000004</v>
      </c>
      <c r="CE31">
        <v>1577.32</v>
      </c>
      <c r="CF31">
        <v>1.1399999999999999</v>
      </c>
      <c r="CG31">
        <v>300.00000000000011</v>
      </c>
      <c r="CH31">
        <v>23.9</v>
      </c>
      <c r="CI31">
        <v>1622.01623308592</v>
      </c>
      <c r="CJ31">
        <v>1.9525132750872409</v>
      </c>
      <c r="CK31">
        <v>-22.559254704143651</v>
      </c>
      <c r="CL31">
        <v>0.89480868999611485</v>
      </c>
      <c r="CM31">
        <v>0.95780639296915127</v>
      </c>
      <c r="CN31">
        <v>-2.9400685205784238E-3</v>
      </c>
      <c r="CO31">
        <v>289.99999999999989</v>
      </c>
      <c r="CP31">
        <v>1575.26</v>
      </c>
      <c r="CQ31">
        <v>705</v>
      </c>
      <c r="CR31">
        <v>5046.93</v>
      </c>
      <c r="CS31">
        <v>1577.32</v>
      </c>
      <c r="CT31">
        <v>-2.06</v>
      </c>
      <c r="DH31">
        <f t="shared" si="44"/>
        <v>2577.025666666666</v>
      </c>
      <c r="DI31">
        <f t="shared" si="45"/>
        <v>2114.2014014810688</v>
      </c>
      <c r="DJ31">
        <f t="shared" si="46"/>
        <v>0.82040370370689719</v>
      </c>
      <c r="DK31">
        <f t="shared" si="47"/>
        <v>0.17612914815431149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1761679940.849999</v>
      </c>
      <c r="DR31">
        <v>413.02716666666657</v>
      </c>
      <c r="DS31">
        <v>419.99166666666667</v>
      </c>
      <c r="DT31">
        <v>10.994973333333339</v>
      </c>
      <c r="DU31">
        <v>10.265023333333341</v>
      </c>
      <c r="DV31">
        <v>412.20253333333329</v>
      </c>
      <c r="DW31">
        <v>10.90907333333333</v>
      </c>
      <c r="DX31">
        <v>499.99730000000011</v>
      </c>
      <c r="DY31">
        <v>91.01761333333333</v>
      </c>
      <c r="DZ31">
        <v>2.0018040000000001E-2</v>
      </c>
      <c r="EA31">
        <v>17.376380000000001</v>
      </c>
      <c r="EB31">
        <v>17.953563333333339</v>
      </c>
      <c r="EC31">
        <v>999.9000000000002</v>
      </c>
      <c r="ED31">
        <v>0</v>
      </c>
      <c r="EE31">
        <v>0</v>
      </c>
      <c r="EF31">
        <v>10001.97233333333</v>
      </c>
      <c r="EG31">
        <v>0</v>
      </c>
      <c r="EH31">
        <v>1077.04</v>
      </c>
      <c r="EI31">
        <v>-6.964395333333333</v>
      </c>
      <c r="EJ31">
        <v>417.6189333333333</v>
      </c>
      <c r="EK31">
        <v>424.34753333333339</v>
      </c>
      <c r="EL31">
        <v>0.72995796666666668</v>
      </c>
      <c r="EM31">
        <v>419.99166666666667</v>
      </c>
      <c r="EN31">
        <v>10.265023333333341</v>
      </c>
      <c r="EO31">
        <v>1.0007366</v>
      </c>
      <c r="EP31">
        <v>0.93429770000000012</v>
      </c>
      <c r="EQ31">
        <v>6.9271056666666677</v>
      </c>
      <c r="ER31">
        <v>5.9301526666666682</v>
      </c>
      <c r="ES31">
        <v>1499.985666666666</v>
      </c>
      <c r="ET31">
        <v>0.97299659999999999</v>
      </c>
      <c r="EU31">
        <v>2.7003269999999999E-2</v>
      </c>
      <c r="EV31">
        <v>0</v>
      </c>
      <c r="EW31">
        <v>1499.4780000000001</v>
      </c>
      <c r="EX31">
        <v>5.0005600000000019</v>
      </c>
      <c r="EY31">
        <v>22368.71</v>
      </c>
      <c r="EZ31">
        <v>12931.373333333329</v>
      </c>
      <c r="FA31">
        <v>37.137199999999993</v>
      </c>
      <c r="FB31">
        <v>39.82459999999999</v>
      </c>
      <c r="FC31">
        <v>38.12053333333332</v>
      </c>
      <c r="FD31">
        <v>38.579066666666662</v>
      </c>
      <c r="FE31">
        <v>38.416399999999989</v>
      </c>
      <c r="FF31">
        <v>1454.615666666667</v>
      </c>
      <c r="FG31">
        <v>40.369999999999983</v>
      </c>
      <c r="FH31">
        <v>0</v>
      </c>
      <c r="FI31">
        <v>127.4000000953674</v>
      </c>
      <c r="FJ31">
        <v>0</v>
      </c>
      <c r="FK31">
        <v>1499.3843999999999</v>
      </c>
      <c r="FL31">
        <v>-10.076153830217031</v>
      </c>
      <c r="FM31">
        <v>-92.969230724212423</v>
      </c>
      <c r="FN31">
        <v>22367.991999999998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-6.9613734146341466</v>
      </c>
      <c r="GD31">
        <v>-5.5528222996624162E-3</v>
      </c>
      <c r="GE31">
        <v>2.1364900051110299E-2</v>
      </c>
      <c r="GF31">
        <v>1</v>
      </c>
      <c r="GG31">
        <v>1499.9494117647059</v>
      </c>
      <c r="GH31">
        <v>-8.9848739530560948</v>
      </c>
      <c r="GI31">
        <v>0.91017432453246394</v>
      </c>
      <c r="GJ31">
        <v>0</v>
      </c>
      <c r="GK31">
        <v>0.72196799999999994</v>
      </c>
      <c r="GL31">
        <v>0.14062682926829451</v>
      </c>
      <c r="GM31">
        <v>1.423348255381502E-2</v>
      </c>
      <c r="GN31">
        <v>0</v>
      </c>
      <c r="GO31">
        <v>1</v>
      </c>
      <c r="GP31">
        <v>3</v>
      </c>
      <c r="GQ31" t="s">
        <v>442</v>
      </c>
      <c r="GR31">
        <v>3.1324100000000001</v>
      </c>
      <c r="GS31">
        <v>2.6976200000000001</v>
      </c>
      <c r="GT31">
        <v>8.6093799999999998E-2</v>
      </c>
      <c r="GU31">
        <v>8.7769899999999998E-2</v>
      </c>
      <c r="GV31">
        <v>6.2164900000000002E-2</v>
      </c>
      <c r="GW31">
        <v>5.9431900000000003E-2</v>
      </c>
      <c r="GX31">
        <v>27798.6</v>
      </c>
      <c r="GY31">
        <v>26765.599999999999</v>
      </c>
      <c r="GZ31">
        <v>30939.1</v>
      </c>
      <c r="HA31">
        <v>29570.400000000001</v>
      </c>
      <c r="HB31">
        <v>40000.5</v>
      </c>
      <c r="HC31">
        <v>36614</v>
      </c>
      <c r="HD31">
        <v>47260</v>
      </c>
      <c r="HE31">
        <v>43951</v>
      </c>
      <c r="HF31">
        <v>1.8926000000000001</v>
      </c>
      <c r="HG31">
        <v>1.91395</v>
      </c>
      <c r="HH31">
        <v>6.8381399999999995E-2</v>
      </c>
      <c r="HI31">
        <v>0</v>
      </c>
      <c r="HJ31">
        <v>16.760300000000001</v>
      </c>
      <c r="HK31">
        <v>999.9</v>
      </c>
      <c r="HL31">
        <v>29</v>
      </c>
      <c r="HM31">
        <v>29.9</v>
      </c>
      <c r="HN31">
        <v>13.497400000000001</v>
      </c>
      <c r="HO31">
        <v>64.018900000000002</v>
      </c>
      <c r="HP31">
        <v>19.587299999999999</v>
      </c>
      <c r="HQ31">
        <v>1</v>
      </c>
      <c r="HR31">
        <v>-0.26515</v>
      </c>
      <c r="HS31">
        <v>2.81345</v>
      </c>
      <c r="HT31">
        <v>20.189299999999999</v>
      </c>
      <c r="HU31">
        <v>5.2389999999999999</v>
      </c>
      <c r="HV31">
        <v>11.974</v>
      </c>
      <c r="HW31">
        <v>4.9725000000000001</v>
      </c>
      <c r="HX31">
        <v>3.2909999999999999</v>
      </c>
      <c r="HY31">
        <v>9999</v>
      </c>
      <c r="HZ31">
        <v>9999</v>
      </c>
      <c r="IA31">
        <v>9999</v>
      </c>
      <c r="IB31">
        <v>999.9</v>
      </c>
      <c r="IC31">
        <v>4.9729000000000001</v>
      </c>
      <c r="ID31">
        <v>1.8772800000000001</v>
      </c>
      <c r="IE31">
        <v>1.8753200000000001</v>
      </c>
      <c r="IF31">
        <v>1.8781099999999999</v>
      </c>
      <c r="IG31">
        <v>1.8748499999999999</v>
      </c>
      <c r="IH31">
        <v>1.8784799999999999</v>
      </c>
      <c r="II31">
        <v>1.8755999999999999</v>
      </c>
      <c r="IJ31">
        <v>1.8767</v>
      </c>
      <c r="IK31">
        <v>0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0.82499999999999996</v>
      </c>
      <c r="IY31">
        <v>8.6400000000000005E-2</v>
      </c>
      <c r="IZ31">
        <v>6.1933660764125778E-2</v>
      </c>
      <c r="JA31">
        <v>2.058711587971173E-3</v>
      </c>
      <c r="JB31">
        <v>-6.1309262243104059E-7</v>
      </c>
      <c r="JC31">
        <v>2.6183910446277612E-10</v>
      </c>
      <c r="JD31">
        <v>3.5078820932035488E-4</v>
      </c>
      <c r="JE31">
        <v>-4.3284922736758413E-3</v>
      </c>
      <c r="JF31">
        <v>1.4186339569364E-3</v>
      </c>
      <c r="JG31">
        <v>-2.7770646863349432E-5</v>
      </c>
      <c r="JH31">
        <v>2</v>
      </c>
      <c r="JI31">
        <v>2136</v>
      </c>
      <c r="JJ31">
        <v>1</v>
      </c>
      <c r="JK31">
        <v>19</v>
      </c>
      <c r="JL31">
        <v>29361332.5</v>
      </c>
      <c r="JM31">
        <v>29361332.5</v>
      </c>
      <c r="JN31">
        <v>1.09863</v>
      </c>
      <c r="JO31">
        <v>2.5293000000000001</v>
      </c>
      <c r="JP31">
        <v>1.39893</v>
      </c>
      <c r="JQ31">
        <v>2.32178</v>
      </c>
      <c r="JR31">
        <v>1.4489700000000001</v>
      </c>
      <c r="JS31">
        <v>2.5939899999999998</v>
      </c>
      <c r="JT31">
        <v>35.894399999999997</v>
      </c>
      <c r="JU31">
        <v>23.8949</v>
      </c>
      <c r="JV31">
        <v>18</v>
      </c>
      <c r="JW31">
        <v>479.13400000000001</v>
      </c>
      <c r="JX31">
        <v>461.733</v>
      </c>
      <c r="JY31">
        <v>12.6396</v>
      </c>
      <c r="JZ31">
        <v>23.598600000000001</v>
      </c>
      <c r="KA31">
        <v>29.998000000000001</v>
      </c>
      <c r="KB31">
        <v>23.4541</v>
      </c>
      <c r="KC31">
        <v>23.548500000000001</v>
      </c>
      <c r="KD31">
        <v>22.029599999999999</v>
      </c>
      <c r="KE31">
        <v>19.252400000000002</v>
      </c>
      <c r="KF31">
        <v>24.8809</v>
      </c>
      <c r="KG31">
        <v>12.7257</v>
      </c>
      <c r="KH31">
        <v>420</v>
      </c>
      <c r="KI31">
        <v>10.2471</v>
      </c>
      <c r="KJ31">
        <v>102.19199999999999</v>
      </c>
      <c r="KK31">
        <v>101.08499999999999</v>
      </c>
    </row>
    <row r="32" spans="1:297" x14ac:dyDescent="0.3">
      <c r="A32">
        <v>16</v>
      </c>
      <c r="B32">
        <v>1761680078.0999999</v>
      </c>
      <c r="C32">
        <v>2628.099999904633</v>
      </c>
      <c r="D32" t="s">
        <v>506</v>
      </c>
      <c r="E32" t="s">
        <v>507</v>
      </c>
      <c r="F32">
        <v>5</v>
      </c>
      <c r="G32" t="s">
        <v>495</v>
      </c>
      <c r="H32" t="s">
        <v>436</v>
      </c>
      <c r="I32">
        <v>1761680070.349999</v>
      </c>
      <c r="J32">
        <f t="shared" si="0"/>
        <v>7.2676858342081007E-4</v>
      </c>
      <c r="K32">
        <f t="shared" si="1"/>
        <v>0.72676858342081008</v>
      </c>
      <c r="L32">
        <f t="shared" si="2"/>
        <v>5.5429546166551855</v>
      </c>
      <c r="M32">
        <f t="shared" si="3"/>
        <v>412.99856666666659</v>
      </c>
      <c r="N32">
        <f t="shared" si="4"/>
        <v>225.16847896307135</v>
      </c>
      <c r="O32">
        <f t="shared" si="5"/>
        <v>20.494835798849984</v>
      </c>
      <c r="P32">
        <f t="shared" si="6"/>
        <v>37.591131085367948</v>
      </c>
      <c r="Q32">
        <f t="shared" si="7"/>
        <v>4.9611368776768465E-2</v>
      </c>
      <c r="R32">
        <f t="shared" si="8"/>
        <v>2.7674353037112693</v>
      </c>
      <c r="S32">
        <f t="shared" si="9"/>
        <v>4.9122526788848903E-2</v>
      </c>
      <c r="T32">
        <f t="shared" si="10"/>
        <v>3.0745098227485584E-2</v>
      </c>
      <c r="U32">
        <f t="shared" si="11"/>
        <v>401.4271868566052</v>
      </c>
      <c r="V32">
        <f t="shared" si="12"/>
        <v>19.998782765505986</v>
      </c>
      <c r="W32">
        <f t="shared" si="13"/>
        <v>19.998782765505986</v>
      </c>
      <c r="X32">
        <f t="shared" si="14"/>
        <v>2.346436217655647</v>
      </c>
      <c r="Y32">
        <f t="shared" si="15"/>
        <v>50.457958090171914</v>
      </c>
      <c r="Z32">
        <f t="shared" si="16"/>
        <v>1.0247320251811598</v>
      </c>
      <c r="AA32">
        <f t="shared" si="17"/>
        <v>2.0308630471131863</v>
      </c>
      <c r="AB32">
        <f t="shared" si="18"/>
        <v>1.3217041924744872</v>
      </c>
      <c r="AC32">
        <f t="shared" si="19"/>
        <v>-32.050494528857726</v>
      </c>
      <c r="AD32">
        <f t="shared" si="20"/>
        <v>-344.90782994230619</v>
      </c>
      <c r="AE32">
        <f t="shared" si="21"/>
        <v>-24.762303199943528</v>
      </c>
      <c r="AF32">
        <f t="shared" si="22"/>
        <v>-0.29344081450221893</v>
      </c>
      <c r="AG32">
        <f t="shared" si="23"/>
        <v>5.5777800466953247</v>
      </c>
      <c r="AH32">
        <f t="shared" si="24"/>
        <v>0.61919823800119256</v>
      </c>
      <c r="AI32">
        <f t="shared" si="25"/>
        <v>5.5429546166551855</v>
      </c>
      <c r="AJ32">
        <v>424.4218414094637</v>
      </c>
      <c r="AK32">
        <v>417.69932727272709</v>
      </c>
      <c r="AL32">
        <v>-2.3858157470594199E-5</v>
      </c>
      <c r="AM32">
        <v>65.135956036091045</v>
      </c>
      <c r="AN32">
        <f t="shared" si="26"/>
        <v>0.72676858342081008</v>
      </c>
      <c r="AO32">
        <v>10.512816114042771</v>
      </c>
      <c r="AP32">
        <v>11.31691398601399</v>
      </c>
      <c r="AQ32">
        <v>7.992673764122776E-3</v>
      </c>
      <c r="AR32">
        <v>96.735478278444774</v>
      </c>
      <c r="AS32">
        <v>1</v>
      </c>
      <c r="AT32">
        <v>0</v>
      </c>
      <c r="AU32">
        <f t="shared" si="27"/>
        <v>1</v>
      </c>
      <c r="AV32">
        <f t="shared" si="28"/>
        <v>0</v>
      </c>
      <c r="AW32">
        <f t="shared" si="29"/>
        <v>49676.834068593751</v>
      </c>
      <c r="AX32" t="s">
        <v>490</v>
      </c>
      <c r="AY32">
        <v>5019.71</v>
      </c>
      <c r="AZ32">
        <v>703.10399999999993</v>
      </c>
      <c r="BA32">
        <v>1676.142600937771</v>
      </c>
      <c r="BB32">
        <f t="shared" si="30"/>
        <v>0.5805225643649734</v>
      </c>
      <c r="BC32">
        <v>-0.85444885496179257</v>
      </c>
      <c r="BD32" t="s">
        <v>508</v>
      </c>
      <c r="BE32">
        <v>5045.45</v>
      </c>
      <c r="BF32">
        <v>1460.6428000000001</v>
      </c>
      <c r="BG32">
        <v>1613.617642110212</v>
      </c>
      <c r="BH32">
        <f t="shared" si="31"/>
        <v>9.4802410507955792E-2</v>
      </c>
      <c r="BI32">
        <v>0.5</v>
      </c>
      <c r="BJ32">
        <f t="shared" si="48"/>
        <v>1868.2144126200028</v>
      </c>
      <c r="BK32">
        <f t="shared" si="32"/>
        <v>5.5429546166551855</v>
      </c>
      <c r="BL32">
        <f t="shared" si="49"/>
        <v>88.555614831040501</v>
      </c>
      <c r="BM32">
        <f t="shared" si="33"/>
        <v>3.4243411400756698E-3</v>
      </c>
      <c r="BN32">
        <f t="shared" si="34"/>
        <v>3.8748311369347588E-2</v>
      </c>
      <c r="BO32">
        <f t="shared" si="35"/>
        <v>691.85850264049134</v>
      </c>
      <c r="BP32" t="s">
        <v>509</v>
      </c>
      <c r="BQ32">
        <v>808.07</v>
      </c>
      <c r="BR32">
        <f t="shared" si="36"/>
        <v>808.07</v>
      </c>
      <c r="BS32">
        <f t="shared" si="37"/>
        <v>0.49921841524783728</v>
      </c>
      <c r="BT32">
        <f t="shared" si="38"/>
        <v>0.18990166951451709</v>
      </c>
      <c r="BU32">
        <f t="shared" si="39"/>
        <v>7.2027338220344503E-2</v>
      </c>
      <c r="BV32">
        <f t="shared" si="40"/>
        <v>0.16800939056297554</v>
      </c>
      <c r="BW32">
        <f t="shared" si="41"/>
        <v>6.4257429013916012E-2</v>
      </c>
      <c r="BX32">
        <f t="shared" si="42"/>
        <v>0.10505911649624113</v>
      </c>
      <c r="BY32">
        <f t="shared" si="43"/>
        <v>0.89494088350375889</v>
      </c>
      <c r="BZ32">
        <v>396</v>
      </c>
      <c r="CA32">
        <v>290.00000000000011</v>
      </c>
      <c r="CB32">
        <v>1566.62</v>
      </c>
      <c r="CC32">
        <v>165</v>
      </c>
      <c r="CD32">
        <v>5045.45</v>
      </c>
      <c r="CE32">
        <v>1565.87</v>
      </c>
      <c r="CF32">
        <v>0.75</v>
      </c>
      <c r="CG32">
        <v>300.00000000000011</v>
      </c>
      <c r="CH32">
        <v>23.9</v>
      </c>
      <c r="CI32">
        <v>1613.617642110212</v>
      </c>
      <c r="CJ32">
        <v>1.508892253840125</v>
      </c>
      <c r="CK32">
        <v>-24.091546285046611</v>
      </c>
      <c r="CL32">
        <v>0.68490575142044441</v>
      </c>
      <c r="CM32">
        <v>0.97787049751619792</v>
      </c>
      <c r="CN32">
        <v>-3.1867183537263679E-3</v>
      </c>
      <c r="CO32">
        <v>289.99999999999989</v>
      </c>
      <c r="CP32">
        <v>1563.69</v>
      </c>
      <c r="CQ32">
        <v>635</v>
      </c>
      <c r="CR32">
        <v>5044.66</v>
      </c>
      <c r="CS32">
        <v>1565.86</v>
      </c>
      <c r="CT32">
        <v>-2.17</v>
      </c>
      <c r="DH32">
        <f t="shared" si="44"/>
        <v>2276.942</v>
      </c>
      <c r="DI32">
        <f t="shared" si="45"/>
        <v>1868.2144126200028</v>
      </c>
      <c r="DJ32">
        <f t="shared" si="46"/>
        <v>0.82049275415008494</v>
      </c>
      <c r="DK32">
        <f t="shared" si="47"/>
        <v>0.17630101550966393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1761680070.349999</v>
      </c>
      <c r="DR32">
        <v>412.99856666666659</v>
      </c>
      <c r="DS32">
        <v>419.99913333333342</v>
      </c>
      <c r="DT32">
        <v>11.258316666666669</v>
      </c>
      <c r="DU32">
        <v>10.523606666666669</v>
      </c>
      <c r="DV32">
        <v>412.17380000000009</v>
      </c>
      <c r="DW32">
        <v>11.168049999999999</v>
      </c>
      <c r="DX32">
        <v>499.97449999999998</v>
      </c>
      <c r="DY32">
        <v>91.000293333333317</v>
      </c>
      <c r="DZ32">
        <v>1.9710413333333329E-2</v>
      </c>
      <c r="EA32">
        <v>17.687036666666671</v>
      </c>
      <c r="EB32">
        <v>17.949583333333329</v>
      </c>
      <c r="EC32">
        <v>999.9000000000002</v>
      </c>
      <c r="ED32">
        <v>0</v>
      </c>
      <c r="EE32">
        <v>0</v>
      </c>
      <c r="EF32">
        <v>10003.53733333333</v>
      </c>
      <c r="EG32">
        <v>0</v>
      </c>
      <c r="EH32">
        <v>1076.952666666667</v>
      </c>
      <c r="EI32">
        <v>-7.0007213333333329</v>
      </c>
      <c r="EJ32">
        <v>417.70106666666669</v>
      </c>
      <c r="EK32">
        <v>424.46609999999998</v>
      </c>
      <c r="EL32">
        <v>0.73471833333333325</v>
      </c>
      <c r="EM32">
        <v>419.99913333333342</v>
      </c>
      <c r="EN32">
        <v>10.523606666666669</v>
      </c>
      <c r="EO32">
        <v>1.024510333333333</v>
      </c>
      <c r="EP32">
        <v>0.95765063333333333</v>
      </c>
      <c r="EQ32">
        <v>7.2695570000000007</v>
      </c>
      <c r="ER32">
        <v>6.2874879999999997</v>
      </c>
      <c r="ES32">
        <v>1199.989333333333</v>
      </c>
      <c r="ET32">
        <v>0.96701300000000023</v>
      </c>
      <c r="EU32">
        <v>3.2987499999999989E-2</v>
      </c>
      <c r="EV32">
        <v>0</v>
      </c>
      <c r="EW32">
        <v>1460.713666666667</v>
      </c>
      <c r="EX32">
        <v>5.0005600000000019</v>
      </c>
      <c r="EY32">
        <v>17487.986666666671</v>
      </c>
      <c r="EZ32">
        <v>10316.76666666667</v>
      </c>
      <c r="FA32">
        <v>38.562266666666659</v>
      </c>
      <c r="FB32">
        <v>41.812333333333328</v>
      </c>
      <c r="FC32">
        <v>39.703933333333318</v>
      </c>
      <c r="FD32">
        <v>41.408066666666649</v>
      </c>
      <c r="FE32">
        <v>40.003799999999977</v>
      </c>
      <c r="FF32">
        <v>1155.5693333333329</v>
      </c>
      <c r="FG32">
        <v>39.420000000000009</v>
      </c>
      <c r="FH32">
        <v>0</v>
      </c>
      <c r="FI32">
        <v>127.4000000953674</v>
      </c>
      <c r="FJ32">
        <v>0</v>
      </c>
      <c r="FK32">
        <v>1460.6428000000001</v>
      </c>
      <c r="FL32">
        <v>-9.2107692178445788</v>
      </c>
      <c r="FM32">
        <v>-91.015384461948273</v>
      </c>
      <c r="FN32">
        <v>17487.252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-6.9864655000000004</v>
      </c>
      <c r="GD32">
        <v>-0.28225238273920511</v>
      </c>
      <c r="GE32">
        <v>4.2609543470330732E-2</v>
      </c>
      <c r="GF32">
        <v>1</v>
      </c>
      <c r="GG32">
        <v>1461.177352941176</v>
      </c>
      <c r="GH32">
        <v>-8.2605042031049489</v>
      </c>
      <c r="GI32">
        <v>0.83692472366373172</v>
      </c>
      <c r="GJ32">
        <v>0</v>
      </c>
      <c r="GK32">
        <v>0.70270644999999998</v>
      </c>
      <c r="GL32">
        <v>0.71414199624765307</v>
      </c>
      <c r="GM32">
        <v>7.095901952111161E-2</v>
      </c>
      <c r="GN32">
        <v>0</v>
      </c>
      <c r="GO32">
        <v>1</v>
      </c>
      <c r="GP32">
        <v>3</v>
      </c>
      <c r="GQ32" t="s">
        <v>442</v>
      </c>
      <c r="GR32">
        <v>3.1324800000000002</v>
      </c>
      <c r="GS32">
        <v>2.69774</v>
      </c>
      <c r="GT32">
        <v>8.60905E-2</v>
      </c>
      <c r="GU32">
        <v>8.7766399999999994E-2</v>
      </c>
      <c r="GV32">
        <v>6.3379199999999997E-2</v>
      </c>
      <c r="GW32">
        <v>6.0316099999999997E-2</v>
      </c>
      <c r="GX32">
        <v>27800.9</v>
      </c>
      <c r="GY32">
        <v>26766.799999999999</v>
      </c>
      <c r="GZ32">
        <v>30941.200000000001</v>
      </c>
      <c r="HA32">
        <v>29571.3</v>
      </c>
      <c r="HB32">
        <v>39950.6</v>
      </c>
      <c r="HC32">
        <v>36580.400000000001</v>
      </c>
      <c r="HD32">
        <v>47263.1</v>
      </c>
      <c r="HE32">
        <v>43952.6</v>
      </c>
      <c r="HF32">
        <v>1.8933800000000001</v>
      </c>
      <c r="HG32">
        <v>1.91462</v>
      </c>
      <c r="HH32">
        <v>5.5424899999999999E-2</v>
      </c>
      <c r="HI32">
        <v>0</v>
      </c>
      <c r="HJ32">
        <v>17.0349</v>
      </c>
      <c r="HK32">
        <v>999.9</v>
      </c>
      <c r="HL32">
        <v>28.8</v>
      </c>
      <c r="HM32">
        <v>30</v>
      </c>
      <c r="HN32">
        <v>13.4838</v>
      </c>
      <c r="HO32">
        <v>63.828899999999997</v>
      </c>
      <c r="HP32">
        <v>19.535299999999999</v>
      </c>
      <c r="HQ32">
        <v>1</v>
      </c>
      <c r="HR32">
        <v>-0.26790399999999998</v>
      </c>
      <c r="HS32">
        <v>3.0113799999999999</v>
      </c>
      <c r="HT32">
        <v>20.188500000000001</v>
      </c>
      <c r="HU32">
        <v>5.2404999999999999</v>
      </c>
      <c r="HV32">
        <v>11.974</v>
      </c>
      <c r="HW32">
        <v>4.9733000000000001</v>
      </c>
      <c r="HX32">
        <v>3.2909999999999999</v>
      </c>
      <c r="HY32">
        <v>9999</v>
      </c>
      <c r="HZ32">
        <v>9999</v>
      </c>
      <c r="IA32">
        <v>9999</v>
      </c>
      <c r="IB32">
        <v>999.9</v>
      </c>
      <c r="IC32">
        <v>4.9729000000000001</v>
      </c>
      <c r="ID32">
        <v>1.8772200000000001</v>
      </c>
      <c r="IE32">
        <v>1.87531</v>
      </c>
      <c r="IF32">
        <v>1.87808</v>
      </c>
      <c r="IG32">
        <v>1.8748499999999999</v>
      </c>
      <c r="IH32">
        <v>1.8784799999999999</v>
      </c>
      <c r="II32">
        <v>1.8755599999999999</v>
      </c>
      <c r="IJ32">
        <v>1.87669</v>
      </c>
      <c r="IK32">
        <v>0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0.82499999999999996</v>
      </c>
      <c r="IY32">
        <v>9.1300000000000006E-2</v>
      </c>
      <c r="IZ32">
        <v>6.1933660764125778E-2</v>
      </c>
      <c r="JA32">
        <v>2.058711587971173E-3</v>
      </c>
      <c r="JB32">
        <v>-6.1309262243104059E-7</v>
      </c>
      <c r="JC32">
        <v>2.6183910446277612E-10</v>
      </c>
      <c r="JD32">
        <v>3.5078820932035488E-4</v>
      </c>
      <c r="JE32">
        <v>-4.3284922736758413E-3</v>
      </c>
      <c r="JF32">
        <v>1.4186339569364E-3</v>
      </c>
      <c r="JG32">
        <v>-2.7770646863349432E-5</v>
      </c>
      <c r="JH32">
        <v>2</v>
      </c>
      <c r="JI32">
        <v>2136</v>
      </c>
      <c r="JJ32">
        <v>1</v>
      </c>
      <c r="JK32">
        <v>19</v>
      </c>
      <c r="JL32">
        <v>29361334.600000001</v>
      </c>
      <c r="JM32">
        <v>29361334.600000001</v>
      </c>
      <c r="JN32">
        <v>1.09863</v>
      </c>
      <c r="JO32">
        <v>2.5305200000000001</v>
      </c>
      <c r="JP32">
        <v>1.39893</v>
      </c>
      <c r="JQ32">
        <v>2.32178</v>
      </c>
      <c r="JR32">
        <v>1.4489700000000001</v>
      </c>
      <c r="JS32">
        <v>2.5927699999999998</v>
      </c>
      <c r="JT32">
        <v>35.847700000000003</v>
      </c>
      <c r="JU32">
        <v>23.8949</v>
      </c>
      <c r="JV32">
        <v>18</v>
      </c>
      <c r="JW32">
        <v>479.13299999999998</v>
      </c>
      <c r="JX32">
        <v>461.66300000000001</v>
      </c>
      <c r="JY32">
        <v>13.1755</v>
      </c>
      <c r="JZ32">
        <v>23.5441</v>
      </c>
      <c r="KA32">
        <v>30.000299999999999</v>
      </c>
      <c r="KB32">
        <v>23.396599999999999</v>
      </c>
      <c r="KC32">
        <v>23.491499999999998</v>
      </c>
      <c r="KD32">
        <v>22.036000000000001</v>
      </c>
      <c r="KE32">
        <v>18.151800000000001</v>
      </c>
      <c r="KF32">
        <v>24.8809</v>
      </c>
      <c r="KG32">
        <v>13.1517</v>
      </c>
      <c r="KH32">
        <v>420</v>
      </c>
      <c r="KI32">
        <v>10.334899999999999</v>
      </c>
      <c r="KJ32">
        <v>102.199</v>
      </c>
      <c r="KK32">
        <v>101.08799999999999</v>
      </c>
    </row>
    <row r="33" spans="1:297" x14ac:dyDescent="0.3">
      <c r="A33">
        <v>17</v>
      </c>
      <c r="B33">
        <v>1761680166.0999999</v>
      </c>
      <c r="C33">
        <v>2716.099999904633</v>
      </c>
      <c r="D33" t="s">
        <v>510</v>
      </c>
      <c r="E33" t="s">
        <v>511</v>
      </c>
      <c r="F33">
        <v>5</v>
      </c>
      <c r="G33" t="s">
        <v>495</v>
      </c>
      <c r="H33" t="s">
        <v>436</v>
      </c>
      <c r="I33">
        <v>1761680158.099999</v>
      </c>
      <c r="J33">
        <f t="shared" si="0"/>
        <v>6.5880506784185078E-4</v>
      </c>
      <c r="K33">
        <f t="shared" si="1"/>
        <v>0.65880506784185078</v>
      </c>
      <c r="L33">
        <f t="shared" si="2"/>
        <v>5.4922044650392969</v>
      </c>
      <c r="M33">
        <f t="shared" si="3"/>
        <v>413.08016129032262</v>
      </c>
      <c r="N33">
        <f t="shared" si="4"/>
        <v>210.33529841718885</v>
      </c>
      <c r="O33">
        <f t="shared" si="5"/>
        <v>19.14608774237416</v>
      </c>
      <c r="P33">
        <f t="shared" si="6"/>
        <v>37.6012446423128</v>
      </c>
      <c r="Q33">
        <f t="shared" si="7"/>
        <v>4.5313474390274978E-2</v>
      </c>
      <c r="R33">
        <f t="shared" si="8"/>
        <v>2.766697294855379</v>
      </c>
      <c r="S33">
        <f t="shared" si="9"/>
        <v>4.4905177875268855E-2</v>
      </c>
      <c r="T33">
        <f t="shared" si="10"/>
        <v>2.8102113249190628E-2</v>
      </c>
      <c r="U33">
        <f t="shared" si="11"/>
        <v>349.15896481779089</v>
      </c>
      <c r="V33">
        <f t="shared" si="12"/>
        <v>19.878347321791157</v>
      </c>
      <c r="W33">
        <f t="shared" si="13"/>
        <v>19.878347321791157</v>
      </c>
      <c r="X33">
        <f t="shared" si="14"/>
        <v>2.3289933520978852</v>
      </c>
      <c r="Y33">
        <f t="shared" si="15"/>
        <v>49.541884029603594</v>
      </c>
      <c r="Z33">
        <f t="shared" si="16"/>
        <v>1.0180936141814583</v>
      </c>
      <c r="AA33">
        <f t="shared" si="17"/>
        <v>2.0550159408009185</v>
      </c>
      <c r="AB33">
        <f t="shared" si="18"/>
        <v>1.3108997379164269</v>
      </c>
      <c r="AC33">
        <f t="shared" si="19"/>
        <v>-29.05330349182562</v>
      </c>
      <c r="AD33">
        <f t="shared" si="20"/>
        <v>-298.85702892932431</v>
      </c>
      <c r="AE33">
        <f t="shared" si="21"/>
        <v>-21.469191942572415</v>
      </c>
      <c r="AF33">
        <f t="shared" si="22"/>
        <v>-0.22055954593145088</v>
      </c>
      <c r="AG33">
        <f t="shared" si="23"/>
        <v>5.4776311617060864</v>
      </c>
      <c r="AH33">
        <f t="shared" si="24"/>
        <v>0.63689761519114052</v>
      </c>
      <c r="AI33">
        <f t="shared" si="25"/>
        <v>5.4922044650392969</v>
      </c>
      <c r="AJ33">
        <v>424.40934845449237</v>
      </c>
      <c r="AK33">
        <v>417.7466</v>
      </c>
      <c r="AL33">
        <v>5.5155565175501575E-4</v>
      </c>
      <c r="AM33">
        <v>65.135956036091045</v>
      </c>
      <c r="AN33">
        <f t="shared" si="26"/>
        <v>0.65880506784185078</v>
      </c>
      <c r="AO33">
        <v>10.43832933866905</v>
      </c>
      <c r="AP33">
        <v>11.21468041958042</v>
      </c>
      <c r="AQ33">
        <v>7.3415948265931786E-4</v>
      </c>
      <c r="AR33">
        <v>96.735478278444774</v>
      </c>
      <c r="AS33">
        <v>1</v>
      </c>
      <c r="AT33">
        <v>0</v>
      </c>
      <c r="AU33">
        <f t="shared" si="27"/>
        <v>1</v>
      </c>
      <c r="AV33">
        <f t="shared" si="28"/>
        <v>0</v>
      </c>
      <c r="AW33">
        <f t="shared" si="29"/>
        <v>49624.188422988787</v>
      </c>
      <c r="AX33" t="s">
        <v>490</v>
      </c>
      <c r="AY33">
        <v>5019.71</v>
      </c>
      <c r="AZ33">
        <v>703.10399999999993</v>
      </c>
      <c r="BA33">
        <v>1676.142600937771</v>
      </c>
      <c r="BB33">
        <f t="shared" si="30"/>
        <v>0.5805225643649734</v>
      </c>
      <c r="BC33">
        <v>-0.85444885496179257</v>
      </c>
      <c r="BD33" t="s">
        <v>512</v>
      </c>
      <c r="BE33">
        <v>5049.46</v>
      </c>
      <c r="BF33">
        <v>1419.490769230769</v>
      </c>
      <c r="BG33">
        <v>1612.876488587038</v>
      </c>
      <c r="BH33">
        <f t="shared" si="31"/>
        <v>0.11990113361109545</v>
      </c>
      <c r="BI33">
        <v>0.5</v>
      </c>
      <c r="BJ33">
        <f t="shared" si="48"/>
        <v>1622.3823937088675</v>
      </c>
      <c r="BK33">
        <f t="shared" si="32"/>
        <v>5.4922044650392969</v>
      </c>
      <c r="BL33">
        <f t="shared" si="49"/>
        <v>97.262744078187893</v>
      </c>
      <c r="BM33">
        <f t="shared" si="33"/>
        <v>3.9119342915773653E-3</v>
      </c>
      <c r="BN33">
        <f t="shared" si="34"/>
        <v>3.9225639903869729E-2</v>
      </c>
      <c r="BO33">
        <f t="shared" si="35"/>
        <v>691.72221532437868</v>
      </c>
      <c r="BP33" t="s">
        <v>513</v>
      </c>
      <c r="BQ33">
        <v>813.93</v>
      </c>
      <c r="BR33">
        <f t="shared" si="36"/>
        <v>813.93</v>
      </c>
      <c r="BS33">
        <f t="shared" si="37"/>
        <v>0.49535503446203488</v>
      </c>
      <c r="BT33">
        <f t="shared" si="38"/>
        <v>0.24205090343194033</v>
      </c>
      <c r="BU33">
        <f t="shared" si="39"/>
        <v>7.3376464554012186E-2</v>
      </c>
      <c r="BV33">
        <f t="shared" si="40"/>
        <v>0.21256492340916475</v>
      </c>
      <c r="BW33">
        <f t="shared" si="41"/>
        <v>6.5019118758248604E-2</v>
      </c>
      <c r="BX33">
        <f t="shared" si="42"/>
        <v>0.13879096370392144</v>
      </c>
      <c r="BY33">
        <f t="shared" si="43"/>
        <v>0.86120903629607859</v>
      </c>
      <c r="BZ33">
        <v>398</v>
      </c>
      <c r="CA33">
        <v>290.00000000000011</v>
      </c>
      <c r="CB33">
        <v>1572.76</v>
      </c>
      <c r="CC33">
        <v>185</v>
      </c>
      <c r="CD33">
        <v>5049.46</v>
      </c>
      <c r="CE33">
        <v>1571.52</v>
      </c>
      <c r="CF33">
        <v>1.24</v>
      </c>
      <c r="CG33">
        <v>300.00000000000011</v>
      </c>
      <c r="CH33">
        <v>23.9</v>
      </c>
      <c r="CI33">
        <v>1612.876488587038</v>
      </c>
      <c r="CJ33">
        <v>1.6067559339344331</v>
      </c>
      <c r="CK33">
        <v>-20.88444366607883</v>
      </c>
      <c r="CL33">
        <v>0.72325185937220315</v>
      </c>
      <c r="CM33">
        <v>0.9675102114479619</v>
      </c>
      <c r="CN33">
        <v>-3.4369626251390438E-3</v>
      </c>
      <c r="CO33">
        <v>289.99999999999989</v>
      </c>
      <c r="CP33">
        <v>1570.04</v>
      </c>
      <c r="CQ33">
        <v>665</v>
      </c>
      <c r="CR33">
        <v>5048.7</v>
      </c>
      <c r="CS33">
        <v>1571.51</v>
      </c>
      <c r="CT33">
        <v>-1.47</v>
      </c>
      <c r="DH33">
        <f t="shared" si="44"/>
        <v>1976.9330645161294</v>
      </c>
      <c r="DI33">
        <f t="shared" si="45"/>
        <v>1622.3823937088675</v>
      </c>
      <c r="DJ33">
        <f t="shared" si="46"/>
        <v>0.82065620876544898</v>
      </c>
      <c r="DK33">
        <f t="shared" si="47"/>
        <v>0.17661648291731638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1761680158.099999</v>
      </c>
      <c r="DR33">
        <v>413.08016129032262</v>
      </c>
      <c r="DS33">
        <v>419.96896774193561</v>
      </c>
      <c r="DT33">
        <v>11.184583870967749</v>
      </c>
      <c r="DU33">
        <v>10.42886129032258</v>
      </c>
      <c r="DV33">
        <v>412.25538709677431</v>
      </c>
      <c r="DW33">
        <v>11.09553548387097</v>
      </c>
      <c r="DX33">
        <v>500.00425806451608</v>
      </c>
      <c r="DY33">
        <v>91.006751612903244</v>
      </c>
      <c r="DZ33">
        <v>1.9756474193548389E-2</v>
      </c>
      <c r="EA33">
        <v>17.874722580645159</v>
      </c>
      <c r="EB33">
        <v>18.029664516129031</v>
      </c>
      <c r="EC33">
        <v>999.90000000000032</v>
      </c>
      <c r="ED33">
        <v>0</v>
      </c>
      <c r="EE33">
        <v>0</v>
      </c>
      <c r="EF33">
        <v>9998.4712903225827</v>
      </c>
      <c r="EG33">
        <v>0</v>
      </c>
      <c r="EH33">
        <v>1076.9232258064519</v>
      </c>
      <c r="EI33">
        <v>-6.8887719354838701</v>
      </c>
      <c r="EJ33">
        <v>417.75270967741932</v>
      </c>
      <c r="EK33">
        <v>424.39503225806448</v>
      </c>
      <c r="EL33">
        <v>0.75570645161290306</v>
      </c>
      <c r="EM33">
        <v>419.96896774193561</v>
      </c>
      <c r="EN33">
        <v>10.42886129032258</v>
      </c>
      <c r="EO33">
        <v>1.017872580645161</v>
      </c>
      <c r="EP33">
        <v>0.94909783870967723</v>
      </c>
      <c r="EQ33">
        <v>7.1747251612903238</v>
      </c>
      <c r="ER33">
        <v>6.1575222580645148</v>
      </c>
      <c r="ES33">
        <v>900.00983870967741</v>
      </c>
      <c r="ET33">
        <v>0.95600722580645159</v>
      </c>
      <c r="EU33">
        <v>4.399276129032257E-2</v>
      </c>
      <c r="EV33">
        <v>0</v>
      </c>
      <c r="EW33">
        <v>1419.4967741935491</v>
      </c>
      <c r="EX33">
        <v>5.0005600000000019</v>
      </c>
      <c r="EY33">
        <v>12689.55806451613</v>
      </c>
      <c r="EZ33">
        <v>7699.8183870967741</v>
      </c>
      <c r="FA33">
        <v>38.058161290322559</v>
      </c>
      <c r="FB33">
        <v>39.99377419354839</v>
      </c>
      <c r="FC33">
        <v>38.921096774193529</v>
      </c>
      <c r="FD33">
        <v>38.973516129032262</v>
      </c>
      <c r="FE33">
        <v>38.64290322580645</v>
      </c>
      <c r="FF33">
        <v>855.63516129032234</v>
      </c>
      <c r="FG33">
        <v>39.372903225806439</v>
      </c>
      <c r="FH33">
        <v>0</v>
      </c>
      <c r="FI33">
        <v>86</v>
      </c>
      <c r="FJ33">
        <v>0</v>
      </c>
      <c r="FK33">
        <v>1419.490769230769</v>
      </c>
      <c r="FL33">
        <v>-0.2994871829055471</v>
      </c>
      <c r="FM33">
        <v>-42.680341738360582</v>
      </c>
      <c r="FN33">
        <v>12689.015384615381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-6.8678827499999997</v>
      </c>
      <c r="GD33">
        <v>-0.43636063789867741</v>
      </c>
      <c r="GE33">
        <v>4.7157208462095118E-2</v>
      </c>
      <c r="GF33">
        <v>1</v>
      </c>
      <c r="GG33">
        <v>1419.4629411764711</v>
      </c>
      <c r="GH33">
        <v>0.131703587101347</v>
      </c>
      <c r="GI33">
        <v>0.21031530127778841</v>
      </c>
      <c r="GJ33">
        <v>1</v>
      </c>
      <c r="GK33">
        <v>0.76207487500000004</v>
      </c>
      <c r="GL33">
        <v>-5.7546675422140113E-2</v>
      </c>
      <c r="GM33">
        <v>1.666172209615125E-2</v>
      </c>
      <c r="GN33">
        <v>1</v>
      </c>
      <c r="GO33">
        <v>3</v>
      </c>
      <c r="GP33">
        <v>3</v>
      </c>
      <c r="GQ33" t="s">
        <v>470</v>
      </c>
      <c r="GR33">
        <v>3.1326200000000002</v>
      </c>
      <c r="GS33">
        <v>2.6972900000000002</v>
      </c>
      <c r="GT33">
        <v>8.6111599999999996E-2</v>
      </c>
      <c r="GU33">
        <v>8.7775900000000004E-2</v>
      </c>
      <c r="GV33">
        <v>6.2966499999999995E-2</v>
      </c>
      <c r="GW33">
        <v>6.0253599999999997E-2</v>
      </c>
      <c r="GX33">
        <v>27799.9</v>
      </c>
      <c r="GY33">
        <v>26765.4</v>
      </c>
      <c r="GZ33">
        <v>30940.799999999999</v>
      </c>
      <c r="HA33">
        <v>29570</v>
      </c>
      <c r="HB33">
        <v>39968.300000000003</v>
      </c>
      <c r="HC33">
        <v>36581.300000000003</v>
      </c>
      <c r="HD33">
        <v>47262.9</v>
      </c>
      <c r="HE33">
        <v>43950.7</v>
      </c>
      <c r="HF33">
        <v>1.8933500000000001</v>
      </c>
      <c r="HG33">
        <v>1.9150499999999999</v>
      </c>
      <c r="HH33">
        <v>5.15059E-2</v>
      </c>
      <c r="HI33">
        <v>0</v>
      </c>
      <c r="HJ33">
        <v>17.182500000000001</v>
      </c>
      <c r="HK33">
        <v>999.9</v>
      </c>
      <c r="HL33">
        <v>28.7</v>
      </c>
      <c r="HM33">
        <v>30</v>
      </c>
      <c r="HN33">
        <v>13.4351</v>
      </c>
      <c r="HO33">
        <v>63.8489</v>
      </c>
      <c r="HP33">
        <v>19.2668</v>
      </c>
      <c r="HQ33">
        <v>1</v>
      </c>
      <c r="HR33">
        <v>-0.26647100000000001</v>
      </c>
      <c r="HS33">
        <v>3.2510300000000001</v>
      </c>
      <c r="HT33">
        <v>20.183399999999999</v>
      </c>
      <c r="HU33">
        <v>5.2404999999999999</v>
      </c>
      <c r="HV33">
        <v>11.974</v>
      </c>
      <c r="HW33">
        <v>4.9718499999999999</v>
      </c>
      <c r="HX33">
        <v>3.2909999999999999</v>
      </c>
      <c r="HY33">
        <v>9999</v>
      </c>
      <c r="HZ33">
        <v>9999</v>
      </c>
      <c r="IA33">
        <v>9999</v>
      </c>
      <c r="IB33">
        <v>999.9</v>
      </c>
      <c r="IC33">
        <v>4.9729099999999997</v>
      </c>
      <c r="ID33">
        <v>1.87724</v>
      </c>
      <c r="IE33">
        <v>1.87531</v>
      </c>
      <c r="IF33">
        <v>1.8780600000000001</v>
      </c>
      <c r="IG33">
        <v>1.8748499999999999</v>
      </c>
      <c r="IH33">
        <v>1.8784700000000001</v>
      </c>
      <c r="II33">
        <v>1.87554</v>
      </c>
      <c r="IJ33">
        <v>1.8766799999999999</v>
      </c>
      <c r="IK33">
        <v>0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0.82499999999999996</v>
      </c>
      <c r="IY33">
        <v>8.9599999999999999E-2</v>
      </c>
      <c r="IZ33">
        <v>6.1933660764125778E-2</v>
      </c>
      <c r="JA33">
        <v>2.058711587971173E-3</v>
      </c>
      <c r="JB33">
        <v>-6.1309262243104059E-7</v>
      </c>
      <c r="JC33">
        <v>2.6183910446277612E-10</v>
      </c>
      <c r="JD33">
        <v>3.5078820932035488E-4</v>
      </c>
      <c r="JE33">
        <v>-4.3284922736758413E-3</v>
      </c>
      <c r="JF33">
        <v>1.4186339569364E-3</v>
      </c>
      <c r="JG33">
        <v>-2.7770646863349432E-5</v>
      </c>
      <c r="JH33">
        <v>2</v>
      </c>
      <c r="JI33">
        <v>2136</v>
      </c>
      <c r="JJ33">
        <v>1</v>
      </c>
      <c r="JK33">
        <v>19</v>
      </c>
      <c r="JL33">
        <v>29361336.100000001</v>
      </c>
      <c r="JM33">
        <v>29361336.100000001</v>
      </c>
      <c r="JN33">
        <v>1.09985</v>
      </c>
      <c r="JO33">
        <v>2.5463900000000002</v>
      </c>
      <c r="JP33">
        <v>1.39893</v>
      </c>
      <c r="JQ33">
        <v>2.32178</v>
      </c>
      <c r="JR33">
        <v>1.4489700000000001</v>
      </c>
      <c r="JS33">
        <v>2.4841299999999999</v>
      </c>
      <c r="JT33">
        <v>35.801000000000002</v>
      </c>
      <c r="JU33">
        <v>23.877400000000002</v>
      </c>
      <c r="JV33">
        <v>18</v>
      </c>
      <c r="JW33">
        <v>478.94900000000001</v>
      </c>
      <c r="JX33">
        <v>461.71199999999999</v>
      </c>
      <c r="JY33">
        <v>13.494999999999999</v>
      </c>
      <c r="JZ33">
        <v>23.528300000000002</v>
      </c>
      <c r="KA33">
        <v>29.9999</v>
      </c>
      <c r="KB33">
        <v>23.372599999999998</v>
      </c>
      <c r="KC33">
        <v>23.4664</v>
      </c>
      <c r="KD33">
        <v>22.036300000000001</v>
      </c>
      <c r="KE33">
        <v>17.2347</v>
      </c>
      <c r="KF33">
        <v>24.8809</v>
      </c>
      <c r="KG33">
        <v>13.4939</v>
      </c>
      <c r="KH33">
        <v>420</v>
      </c>
      <c r="KI33">
        <v>10.493399999999999</v>
      </c>
      <c r="KJ33">
        <v>102.19799999999999</v>
      </c>
      <c r="KK33">
        <v>101.084</v>
      </c>
    </row>
    <row r="34" spans="1:297" x14ac:dyDescent="0.3">
      <c r="A34">
        <v>18</v>
      </c>
      <c r="B34">
        <v>1761680235.5999999</v>
      </c>
      <c r="C34">
        <v>2785.599999904633</v>
      </c>
      <c r="D34" t="s">
        <v>514</v>
      </c>
      <c r="E34" t="s">
        <v>515</v>
      </c>
      <c r="F34">
        <v>5</v>
      </c>
      <c r="G34" t="s">
        <v>495</v>
      </c>
      <c r="H34" t="s">
        <v>436</v>
      </c>
      <c r="I34">
        <v>1761680227.849999</v>
      </c>
      <c r="J34">
        <f t="shared" si="0"/>
        <v>7.8032900534973527E-4</v>
      </c>
      <c r="K34">
        <f t="shared" si="1"/>
        <v>0.78032900534973526</v>
      </c>
      <c r="L34">
        <f t="shared" si="2"/>
        <v>5.1880275934913778</v>
      </c>
      <c r="M34">
        <f t="shared" si="3"/>
        <v>413.40696666666668</v>
      </c>
      <c r="N34">
        <f t="shared" si="4"/>
        <v>257.20232197709777</v>
      </c>
      <c r="O34">
        <f t="shared" si="5"/>
        <v>23.414284398507323</v>
      </c>
      <c r="P34">
        <f t="shared" si="6"/>
        <v>37.634295893796327</v>
      </c>
      <c r="Q34">
        <f t="shared" si="7"/>
        <v>5.6361138593178851E-2</v>
      </c>
      <c r="R34">
        <f t="shared" si="8"/>
        <v>2.7680212930887982</v>
      </c>
      <c r="S34">
        <f t="shared" si="9"/>
        <v>5.5731274095064821E-2</v>
      </c>
      <c r="T34">
        <f t="shared" si="10"/>
        <v>3.4888050505249402E-2</v>
      </c>
      <c r="U34">
        <f t="shared" si="11"/>
        <v>297.26020167787715</v>
      </c>
      <c r="V34">
        <f t="shared" si="12"/>
        <v>19.565102430804068</v>
      </c>
      <c r="W34">
        <f t="shared" si="13"/>
        <v>19.565102430804068</v>
      </c>
      <c r="X34">
        <f t="shared" si="14"/>
        <v>2.2841565924463012</v>
      </c>
      <c r="Y34">
        <f t="shared" si="15"/>
        <v>50.10980550558326</v>
      </c>
      <c r="Z34">
        <f t="shared" si="16"/>
        <v>1.0327457235955788</v>
      </c>
      <c r="AA34">
        <f t="shared" si="17"/>
        <v>2.0609653403673853</v>
      </c>
      <c r="AB34">
        <f t="shared" si="18"/>
        <v>1.2514108688507224</v>
      </c>
      <c r="AC34">
        <f t="shared" si="19"/>
        <v>-34.412509135923322</v>
      </c>
      <c r="AD34">
        <f t="shared" si="20"/>
        <v>-245.39992432658721</v>
      </c>
      <c r="AE34">
        <f t="shared" si="21"/>
        <v>-17.596263255732946</v>
      </c>
      <c r="AF34">
        <f t="shared" si="22"/>
        <v>-0.14849504036632766</v>
      </c>
      <c r="AG34">
        <f t="shared" si="23"/>
        <v>5.1700598797467165</v>
      </c>
      <c r="AH34">
        <f t="shared" si="24"/>
        <v>0.77474396509503274</v>
      </c>
      <c r="AI34">
        <f t="shared" si="25"/>
        <v>5.1880275934913778</v>
      </c>
      <c r="AJ34">
        <v>424.41203222287157</v>
      </c>
      <c r="AK34">
        <v>418.12246666666658</v>
      </c>
      <c r="AL34">
        <v>-3.159545691640873E-4</v>
      </c>
      <c r="AM34">
        <v>65.135956036091045</v>
      </c>
      <c r="AN34">
        <f t="shared" si="26"/>
        <v>0.78032900534973526</v>
      </c>
      <c r="AO34">
        <v>10.42391864724577</v>
      </c>
      <c r="AP34">
        <v>11.349434265734271</v>
      </c>
      <c r="AQ34">
        <v>3.2394688835616851E-5</v>
      </c>
      <c r="AR34">
        <v>96.735478278444774</v>
      </c>
      <c r="AS34">
        <v>1</v>
      </c>
      <c r="AT34">
        <v>0</v>
      </c>
      <c r="AU34">
        <f t="shared" si="27"/>
        <v>1</v>
      </c>
      <c r="AV34">
        <f t="shared" si="28"/>
        <v>0</v>
      </c>
      <c r="AW34">
        <f t="shared" si="29"/>
        <v>49653.726097397353</v>
      </c>
      <c r="AX34" t="s">
        <v>490</v>
      </c>
      <c r="AY34">
        <v>5019.71</v>
      </c>
      <c r="AZ34">
        <v>703.10399999999993</v>
      </c>
      <c r="BA34">
        <v>1676.142600937771</v>
      </c>
      <c r="BB34">
        <f t="shared" si="30"/>
        <v>0.5805225643649734</v>
      </c>
      <c r="BC34">
        <v>-0.85444885496179257</v>
      </c>
      <c r="BD34" t="s">
        <v>516</v>
      </c>
      <c r="BE34">
        <v>5052.8100000000004</v>
      </c>
      <c r="BF34">
        <v>1344.2159999999999</v>
      </c>
      <c r="BG34">
        <v>1624.8912359339081</v>
      </c>
      <c r="BH34">
        <f t="shared" si="31"/>
        <v>0.17273478355158323</v>
      </c>
      <c r="BI34">
        <v>0.5</v>
      </c>
      <c r="BJ34">
        <f t="shared" si="48"/>
        <v>1376.682041823598</v>
      </c>
      <c r="BK34">
        <f t="shared" si="32"/>
        <v>5.1880275934913778</v>
      </c>
      <c r="BL34">
        <f t="shared" si="49"/>
        <v>118.90043725687542</v>
      </c>
      <c r="BM34">
        <f t="shared" si="33"/>
        <v>4.3891590540754847E-3</v>
      </c>
      <c r="BN34">
        <f t="shared" si="34"/>
        <v>3.1541412662248837E-2</v>
      </c>
      <c r="BO34">
        <f t="shared" si="35"/>
        <v>693.92276966319776</v>
      </c>
      <c r="BP34" t="s">
        <v>517</v>
      </c>
      <c r="BQ34">
        <v>800.53</v>
      </c>
      <c r="BR34">
        <f t="shared" si="36"/>
        <v>800.53</v>
      </c>
      <c r="BS34">
        <f t="shared" si="37"/>
        <v>0.50733317880202944</v>
      </c>
      <c r="BT34">
        <f t="shared" si="38"/>
        <v>0.34047602397986954</v>
      </c>
      <c r="BU34">
        <f t="shared" si="39"/>
        <v>5.853200941714784E-2</v>
      </c>
      <c r="BV34">
        <f t="shared" si="40"/>
        <v>0.30449026086756587</v>
      </c>
      <c r="BW34">
        <f t="shared" si="41"/>
        <v>5.2671461290918112E-2</v>
      </c>
      <c r="BX34">
        <f t="shared" si="42"/>
        <v>0.20276597769748683</v>
      </c>
      <c r="BY34">
        <f t="shared" si="43"/>
        <v>0.79723402230251317</v>
      </c>
      <c r="BZ34">
        <v>400</v>
      </c>
      <c r="CA34">
        <v>290.00000000000011</v>
      </c>
      <c r="CB34">
        <v>1584.03</v>
      </c>
      <c r="CC34">
        <v>155</v>
      </c>
      <c r="CD34">
        <v>5052.8100000000004</v>
      </c>
      <c r="CE34">
        <v>1583.28</v>
      </c>
      <c r="CF34">
        <v>0.75</v>
      </c>
      <c r="CG34">
        <v>300.00000000000011</v>
      </c>
      <c r="CH34">
        <v>23.9</v>
      </c>
      <c r="CI34">
        <v>1624.8912359339081</v>
      </c>
      <c r="CJ34">
        <v>1.5230194450983909</v>
      </c>
      <c r="CK34">
        <v>-21.027477574682319</v>
      </c>
      <c r="CL34">
        <v>0.67953745532328302</v>
      </c>
      <c r="CM34">
        <v>0.97158858415106697</v>
      </c>
      <c r="CN34">
        <v>-3.6881372636262508E-3</v>
      </c>
      <c r="CO34">
        <v>289.99999999999989</v>
      </c>
      <c r="CP34">
        <v>1581.39</v>
      </c>
      <c r="CQ34">
        <v>675</v>
      </c>
      <c r="CR34">
        <v>5051.71</v>
      </c>
      <c r="CS34">
        <v>1583.27</v>
      </c>
      <c r="CT34">
        <v>-1.88</v>
      </c>
      <c r="DH34">
        <f t="shared" si="44"/>
        <v>1676.8421666666668</v>
      </c>
      <c r="DI34">
        <f t="shared" si="45"/>
        <v>1376.682041823598</v>
      </c>
      <c r="DJ34">
        <f t="shared" si="46"/>
        <v>0.82099679337158715</v>
      </c>
      <c r="DK34">
        <f t="shared" si="47"/>
        <v>0.17727381120716318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1761680227.849999</v>
      </c>
      <c r="DR34">
        <v>413.40696666666668</v>
      </c>
      <c r="DS34">
        <v>419.99526666666662</v>
      </c>
      <c r="DT34">
        <v>11.34455333333333</v>
      </c>
      <c r="DU34">
        <v>10.425423333333329</v>
      </c>
      <c r="DV34">
        <v>412.58170000000001</v>
      </c>
      <c r="DW34">
        <v>11.25283333333333</v>
      </c>
      <c r="DX34">
        <v>500.0086</v>
      </c>
      <c r="DY34">
        <v>91.014619999999979</v>
      </c>
      <c r="DZ34">
        <v>1.9878516666666669E-2</v>
      </c>
      <c r="EA34">
        <v>17.92065666666667</v>
      </c>
      <c r="EB34">
        <v>17.82300333333334</v>
      </c>
      <c r="EC34">
        <v>999.9000000000002</v>
      </c>
      <c r="ED34">
        <v>0</v>
      </c>
      <c r="EE34">
        <v>0</v>
      </c>
      <c r="EF34">
        <v>10005.422</v>
      </c>
      <c r="EG34">
        <v>0</v>
      </c>
      <c r="EH34">
        <v>1076.866</v>
      </c>
      <c r="EI34">
        <v>-6.5881396666666667</v>
      </c>
      <c r="EJ34">
        <v>418.15069999999997</v>
      </c>
      <c r="EK34">
        <v>424.41983333333337</v>
      </c>
      <c r="EL34">
        <v>0.91912909999999992</v>
      </c>
      <c r="EM34">
        <v>419.99526666666662</v>
      </c>
      <c r="EN34">
        <v>10.425423333333329</v>
      </c>
      <c r="EO34">
        <v>1.032520333333333</v>
      </c>
      <c r="EP34">
        <v>0.94886603333333341</v>
      </c>
      <c r="EQ34">
        <v>7.383531333333333</v>
      </c>
      <c r="ER34">
        <v>6.153996666666667</v>
      </c>
      <c r="ES34">
        <v>599.9761666666667</v>
      </c>
      <c r="ET34">
        <v>0.93298433333333319</v>
      </c>
      <c r="EU34">
        <v>6.7015806666666677E-2</v>
      </c>
      <c r="EV34">
        <v>0</v>
      </c>
      <c r="EW34">
        <v>1344.1996666666671</v>
      </c>
      <c r="EX34">
        <v>5.0005600000000019</v>
      </c>
      <c r="EY34">
        <v>7965.7376666666669</v>
      </c>
      <c r="EZ34">
        <v>5080.896999999999</v>
      </c>
      <c r="FA34">
        <v>36.674733333333322</v>
      </c>
      <c r="FB34">
        <v>38.837266666666657</v>
      </c>
      <c r="FC34">
        <v>37.820533333333323</v>
      </c>
      <c r="FD34">
        <v>37.516466666666673</v>
      </c>
      <c r="FE34">
        <v>37.420533333333317</v>
      </c>
      <c r="FF34">
        <v>555.10333333333324</v>
      </c>
      <c r="FG34">
        <v>39.869999999999983</v>
      </c>
      <c r="FH34">
        <v>0</v>
      </c>
      <c r="FI34">
        <v>67.400000095367432</v>
      </c>
      <c r="FJ34">
        <v>0</v>
      </c>
      <c r="FK34">
        <v>1344.2159999999999</v>
      </c>
      <c r="FL34">
        <v>-0.95615383156093869</v>
      </c>
      <c r="FM34">
        <v>-26.02153847716238</v>
      </c>
      <c r="FN34">
        <v>7965.9647999999997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-6.582810243902439</v>
      </c>
      <c r="GD34">
        <v>-0.16800188153308299</v>
      </c>
      <c r="GE34">
        <v>2.7869989234668071E-2</v>
      </c>
      <c r="GF34">
        <v>1</v>
      </c>
      <c r="GG34">
        <v>1344.17294117647</v>
      </c>
      <c r="GH34">
        <v>0.53200917309784501</v>
      </c>
      <c r="GI34">
        <v>0.26156238049981839</v>
      </c>
      <c r="GJ34">
        <v>1</v>
      </c>
      <c r="GK34">
        <v>0.91510073170731698</v>
      </c>
      <c r="GL34">
        <v>7.0050919860627905E-2</v>
      </c>
      <c r="GM34">
        <v>7.0219403649557392E-3</v>
      </c>
      <c r="GN34">
        <v>1</v>
      </c>
      <c r="GO34">
        <v>3</v>
      </c>
      <c r="GP34">
        <v>3</v>
      </c>
      <c r="GQ34" t="s">
        <v>470</v>
      </c>
      <c r="GR34">
        <v>3.1324200000000002</v>
      </c>
      <c r="GS34">
        <v>2.6972999999999998</v>
      </c>
      <c r="GT34">
        <v>8.6173299999999994E-2</v>
      </c>
      <c r="GU34">
        <v>8.7786100000000006E-2</v>
      </c>
      <c r="GV34">
        <v>6.3531699999999997E-2</v>
      </c>
      <c r="GW34">
        <v>6.01434E-2</v>
      </c>
      <c r="GX34">
        <v>27799.5</v>
      </c>
      <c r="GY34">
        <v>26765</v>
      </c>
      <c r="GZ34">
        <v>30942.3</v>
      </c>
      <c r="HA34">
        <v>29569.9</v>
      </c>
      <c r="HB34">
        <v>39945.199999999997</v>
      </c>
      <c r="HC34">
        <v>36585.199999999997</v>
      </c>
      <c r="HD34">
        <v>47264.4</v>
      </c>
      <c r="HE34">
        <v>43950.1</v>
      </c>
      <c r="HF34">
        <v>1.89333</v>
      </c>
      <c r="HG34">
        <v>1.9157999999999999</v>
      </c>
      <c r="HH34">
        <v>3.4045400000000003E-2</v>
      </c>
      <c r="HI34">
        <v>0</v>
      </c>
      <c r="HJ34">
        <v>17.2683</v>
      </c>
      <c r="HK34">
        <v>999.9</v>
      </c>
      <c r="HL34">
        <v>28.7</v>
      </c>
      <c r="HM34">
        <v>30</v>
      </c>
      <c r="HN34">
        <v>13.435700000000001</v>
      </c>
      <c r="HO34">
        <v>63.578899999999997</v>
      </c>
      <c r="HP34">
        <v>19.334900000000001</v>
      </c>
      <c r="HQ34">
        <v>1</v>
      </c>
      <c r="HR34">
        <v>-0.27132400000000001</v>
      </c>
      <c r="HS34">
        <v>1.5159</v>
      </c>
      <c r="HT34">
        <v>20.209299999999999</v>
      </c>
      <c r="HU34">
        <v>5.2366099999999998</v>
      </c>
      <c r="HV34">
        <v>11.973100000000001</v>
      </c>
      <c r="HW34">
        <v>4.9729000000000001</v>
      </c>
      <c r="HX34">
        <v>3.29033</v>
      </c>
      <c r="HY34">
        <v>9999</v>
      </c>
      <c r="HZ34">
        <v>9999</v>
      </c>
      <c r="IA34">
        <v>9999</v>
      </c>
      <c r="IB34">
        <v>999.9</v>
      </c>
      <c r="IC34">
        <v>4.9729200000000002</v>
      </c>
      <c r="ID34">
        <v>1.8772599999999999</v>
      </c>
      <c r="IE34">
        <v>1.8753200000000001</v>
      </c>
      <c r="IF34">
        <v>1.87815</v>
      </c>
      <c r="IG34">
        <v>1.87486</v>
      </c>
      <c r="IH34">
        <v>1.87849</v>
      </c>
      <c r="II34">
        <v>1.8755999999999999</v>
      </c>
      <c r="IJ34">
        <v>1.8767</v>
      </c>
      <c r="IK34">
        <v>0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0.82499999999999996</v>
      </c>
      <c r="IY34">
        <v>9.1800000000000007E-2</v>
      </c>
      <c r="IZ34">
        <v>6.1933660764125778E-2</v>
      </c>
      <c r="JA34">
        <v>2.058711587971173E-3</v>
      </c>
      <c r="JB34">
        <v>-6.1309262243104059E-7</v>
      </c>
      <c r="JC34">
        <v>2.6183910446277612E-10</v>
      </c>
      <c r="JD34">
        <v>3.5078820932035488E-4</v>
      </c>
      <c r="JE34">
        <v>-4.3284922736758413E-3</v>
      </c>
      <c r="JF34">
        <v>1.4186339569364E-3</v>
      </c>
      <c r="JG34">
        <v>-2.7770646863349432E-5</v>
      </c>
      <c r="JH34">
        <v>2</v>
      </c>
      <c r="JI34">
        <v>2136</v>
      </c>
      <c r="JJ34">
        <v>1</v>
      </c>
      <c r="JK34">
        <v>19</v>
      </c>
      <c r="JL34">
        <v>29361337.300000001</v>
      </c>
      <c r="JM34">
        <v>29361337.300000001</v>
      </c>
      <c r="JN34">
        <v>1.09863</v>
      </c>
      <c r="JO34">
        <v>2.5354000000000001</v>
      </c>
      <c r="JP34">
        <v>1.39893</v>
      </c>
      <c r="JQ34">
        <v>2.32178</v>
      </c>
      <c r="JR34">
        <v>1.4489700000000001</v>
      </c>
      <c r="JS34">
        <v>2.49756</v>
      </c>
      <c r="JT34">
        <v>35.777700000000003</v>
      </c>
      <c r="JU34">
        <v>23.921099999999999</v>
      </c>
      <c r="JV34">
        <v>18</v>
      </c>
      <c r="JW34">
        <v>478.83699999999999</v>
      </c>
      <c r="JX34">
        <v>462.05500000000001</v>
      </c>
      <c r="JY34">
        <v>14.9122</v>
      </c>
      <c r="JZ34">
        <v>23.522300000000001</v>
      </c>
      <c r="KA34">
        <v>29.9999</v>
      </c>
      <c r="KB34">
        <v>23.358899999999998</v>
      </c>
      <c r="KC34">
        <v>23.451799999999999</v>
      </c>
      <c r="KD34">
        <v>22.038599999999999</v>
      </c>
      <c r="KE34">
        <v>17.2347</v>
      </c>
      <c r="KF34">
        <v>24.8809</v>
      </c>
      <c r="KG34">
        <v>14.9832</v>
      </c>
      <c r="KH34">
        <v>420</v>
      </c>
      <c r="KI34">
        <v>10.416399999999999</v>
      </c>
      <c r="KJ34">
        <v>102.202</v>
      </c>
      <c r="KK34">
        <v>101.083</v>
      </c>
    </row>
    <row r="35" spans="1:297" x14ac:dyDescent="0.3">
      <c r="A35">
        <v>19</v>
      </c>
      <c r="B35">
        <v>1761680365.0999999</v>
      </c>
      <c r="C35">
        <v>2915.099999904633</v>
      </c>
      <c r="D35" t="s">
        <v>518</v>
      </c>
      <c r="E35" t="s">
        <v>519</v>
      </c>
      <c r="F35">
        <v>5</v>
      </c>
      <c r="G35" t="s">
        <v>495</v>
      </c>
      <c r="H35" t="s">
        <v>436</v>
      </c>
      <c r="I35">
        <v>1761680357.349999</v>
      </c>
      <c r="J35">
        <f t="shared" si="0"/>
        <v>6.8275948358368917E-4</v>
      </c>
      <c r="K35">
        <f t="shared" si="1"/>
        <v>0.68275948358368921</v>
      </c>
      <c r="L35">
        <f t="shared" si="2"/>
        <v>4.5554731757711107</v>
      </c>
      <c r="M35">
        <f t="shared" si="3"/>
        <v>414.21766666666662</v>
      </c>
      <c r="N35">
        <f t="shared" si="4"/>
        <v>258.70371398529005</v>
      </c>
      <c r="O35">
        <f t="shared" si="5"/>
        <v>23.552764248605591</v>
      </c>
      <c r="P35">
        <f t="shared" si="6"/>
        <v>37.710981803540015</v>
      </c>
      <c r="Q35">
        <f t="shared" si="7"/>
        <v>4.9652079468850578E-2</v>
      </c>
      <c r="R35">
        <f t="shared" si="8"/>
        <v>2.7683128942826989</v>
      </c>
      <c r="S35">
        <f t="shared" si="9"/>
        <v>4.9162592714728892E-2</v>
      </c>
      <c r="T35">
        <f t="shared" si="10"/>
        <v>3.0770196631477786E-2</v>
      </c>
      <c r="U35">
        <f t="shared" si="11"/>
        <v>245.36146442216375</v>
      </c>
      <c r="V35">
        <f t="shared" si="12"/>
        <v>19.633432271256751</v>
      </c>
      <c r="W35">
        <f t="shared" si="13"/>
        <v>19.633432271256751</v>
      </c>
      <c r="X35">
        <f t="shared" si="14"/>
        <v>2.2938720340100875</v>
      </c>
      <c r="Y35">
        <f t="shared" si="15"/>
        <v>49.917135900186366</v>
      </c>
      <c r="Z35">
        <f t="shared" si="16"/>
        <v>1.0527464095629424</v>
      </c>
      <c r="AA35">
        <f t="shared" si="17"/>
        <v>2.1089880069802081</v>
      </c>
      <c r="AB35">
        <f t="shared" si="18"/>
        <v>1.2411256244471451</v>
      </c>
      <c r="AC35">
        <f t="shared" si="19"/>
        <v>-30.109693226040694</v>
      </c>
      <c r="AD35">
        <f t="shared" si="20"/>
        <v>-200.91434131365506</v>
      </c>
      <c r="AE35">
        <f t="shared" si="21"/>
        <v>-14.437128469423941</v>
      </c>
      <c r="AF35">
        <f t="shared" si="22"/>
        <v>-9.9698586955952351E-2</v>
      </c>
      <c r="AG35">
        <f t="shared" si="23"/>
        <v>4.5399999870706056</v>
      </c>
      <c r="AH35">
        <f t="shared" si="24"/>
        <v>0.67048235367243825</v>
      </c>
      <c r="AI35">
        <f t="shared" si="25"/>
        <v>4.5554731757711107</v>
      </c>
      <c r="AJ35">
        <v>424.59011082109691</v>
      </c>
      <c r="AK35">
        <v>419.06471515151497</v>
      </c>
      <c r="AL35">
        <v>-2.7042109855997101E-5</v>
      </c>
      <c r="AM35">
        <v>65.135956036091045</v>
      </c>
      <c r="AN35">
        <f t="shared" si="26"/>
        <v>0.68275948358368921</v>
      </c>
      <c r="AO35">
        <v>10.771626793152279</v>
      </c>
      <c r="AP35">
        <v>11.580061538461541</v>
      </c>
      <c r="AQ35">
        <v>1.8012777851640589E-4</v>
      </c>
      <c r="AR35">
        <v>96.735478278444774</v>
      </c>
      <c r="AS35">
        <v>1</v>
      </c>
      <c r="AT35">
        <v>0</v>
      </c>
      <c r="AU35">
        <f t="shared" si="27"/>
        <v>1</v>
      </c>
      <c r="AV35">
        <f t="shared" si="28"/>
        <v>0</v>
      </c>
      <c r="AW35">
        <f t="shared" si="29"/>
        <v>49599.578265035358</v>
      </c>
      <c r="AX35" t="s">
        <v>490</v>
      </c>
      <c r="AY35">
        <v>5019.71</v>
      </c>
      <c r="AZ35">
        <v>703.10399999999993</v>
      </c>
      <c r="BA35">
        <v>1676.142600937771</v>
      </c>
      <c r="BB35">
        <f t="shared" si="30"/>
        <v>0.5805225643649734</v>
      </c>
      <c r="BC35">
        <v>-0.85444885496179257</v>
      </c>
      <c r="BD35" t="s">
        <v>520</v>
      </c>
      <c r="BE35">
        <v>5042.17</v>
      </c>
      <c r="BF35">
        <v>1144.382692307692</v>
      </c>
      <c r="BG35">
        <v>1648.6887816088431</v>
      </c>
      <c r="BH35">
        <f t="shared" si="31"/>
        <v>0.30588313266075184</v>
      </c>
      <c r="BI35">
        <v>0.5</v>
      </c>
      <c r="BJ35">
        <f t="shared" si="48"/>
        <v>1131.1051460434355</v>
      </c>
      <c r="BK35">
        <f t="shared" si="32"/>
        <v>4.5554731757711107</v>
      </c>
      <c r="BL35">
        <f t="shared" si="49"/>
        <v>172.99299272023163</v>
      </c>
      <c r="BM35">
        <f t="shared" si="33"/>
        <v>4.7828639535914168E-3</v>
      </c>
      <c r="BN35">
        <f t="shared" si="34"/>
        <v>1.6651911285608195E-2</v>
      </c>
      <c r="BO35">
        <f t="shared" si="35"/>
        <v>698.22681514423175</v>
      </c>
      <c r="BP35" t="s">
        <v>521</v>
      </c>
      <c r="BQ35">
        <v>779.33</v>
      </c>
      <c r="BR35">
        <f t="shared" si="36"/>
        <v>779.33</v>
      </c>
      <c r="BS35">
        <f t="shared" si="37"/>
        <v>0.52730314617686369</v>
      </c>
      <c r="BT35">
        <f t="shared" si="38"/>
        <v>0.58008971666206421</v>
      </c>
      <c r="BU35">
        <f t="shared" si="39"/>
        <v>3.0612660103370822E-2</v>
      </c>
      <c r="BV35">
        <f t="shared" si="40"/>
        <v>0.53332720567172343</v>
      </c>
      <c r="BW35">
        <f t="shared" si="41"/>
        <v>2.8214522324673613E-2</v>
      </c>
      <c r="BX35">
        <f t="shared" si="42"/>
        <v>0.39504382749323752</v>
      </c>
      <c r="BY35">
        <f t="shared" si="43"/>
        <v>0.60495617250676248</v>
      </c>
      <c r="BZ35">
        <v>402</v>
      </c>
      <c r="CA35">
        <v>290.00000000000011</v>
      </c>
      <c r="CB35">
        <v>1603.32</v>
      </c>
      <c r="CC35">
        <v>225</v>
      </c>
      <c r="CD35">
        <v>5042.17</v>
      </c>
      <c r="CE35">
        <v>1603.63</v>
      </c>
      <c r="CF35">
        <v>-0.31</v>
      </c>
      <c r="CG35">
        <v>300.00000000000011</v>
      </c>
      <c r="CH35">
        <v>23.9</v>
      </c>
      <c r="CI35">
        <v>1648.6887816088431</v>
      </c>
      <c r="CJ35">
        <v>1.782339793750469</v>
      </c>
      <c r="CK35">
        <v>-22.71787265430067</v>
      </c>
      <c r="CL35">
        <v>0.78610263309937956</v>
      </c>
      <c r="CM35">
        <v>0.96756157029802237</v>
      </c>
      <c r="CN35">
        <v>-3.9285390433815336E-3</v>
      </c>
      <c r="CO35">
        <v>289.99999999999989</v>
      </c>
      <c r="CP35">
        <v>1601.34</v>
      </c>
      <c r="CQ35">
        <v>695</v>
      </c>
      <c r="CR35">
        <v>5041.6099999999997</v>
      </c>
      <c r="CS35">
        <v>1603.63</v>
      </c>
      <c r="CT35">
        <v>-2.29</v>
      </c>
      <c r="DH35">
        <f t="shared" si="44"/>
        <v>1376.9205666666667</v>
      </c>
      <c r="DI35">
        <f t="shared" si="45"/>
        <v>1131.1051460434355</v>
      </c>
      <c r="DJ35">
        <f t="shared" si="46"/>
        <v>0.82147450871598493</v>
      </c>
      <c r="DK35">
        <f t="shared" si="47"/>
        <v>0.17819580182185074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1761680357.349999</v>
      </c>
      <c r="DR35">
        <v>414.21766666666662</v>
      </c>
      <c r="DS35">
        <v>419.99836666666658</v>
      </c>
      <c r="DT35">
        <v>11.563373333333329</v>
      </c>
      <c r="DU35">
        <v>10.768176666666671</v>
      </c>
      <c r="DV35">
        <v>413.39093333333341</v>
      </c>
      <c r="DW35">
        <v>11.46796666666666</v>
      </c>
      <c r="DX35">
        <v>500.04936666666669</v>
      </c>
      <c r="DY35">
        <v>91.021596666666682</v>
      </c>
      <c r="DZ35">
        <v>1.9864956666666669E-2</v>
      </c>
      <c r="EA35">
        <v>18.28722999999999</v>
      </c>
      <c r="EB35">
        <v>18.03351</v>
      </c>
      <c r="EC35">
        <v>999.9000000000002</v>
      </c>
      <c r="ED35">
        <v>0</v>
      </c>
      <c r="EE35">
        <v>0</v>
      </c>
      <c r="EF35">
        <v>10006.376666666671</v>
      </c>
      <c r="EG35">
        <v>0</v>
      </c>
      <c r="EH35">
        <v>1076.923</v>
      </c>
      <c r="EI35">
        <v>-5.7807473333333332</v>
      </c>
      <c r="EJ35">
        <v>419.0634</v>
      </c>
      <c r="EK35">
        <v>424.57020000000011</v>
      </c>
      <c r="EL35">
        <v>0.79518909999999998</v>
      </c>
      <c r="EM35">
        <v>419.99836666666658</v>
      </c>
      <c r="EN35">
        <v>10.768176666666671</v>
      </c>
      <c r="EO35">
        <v>1.052516666666667</v>
      </c>
      <c r="EP35">
        <v>0.98013703333333335</v>
      </c>
      <c r="EQ35">
        <v>7.664366666666667</v>
      </c>
      <c r="ER35">
        <v>6.6244086666666684</v>
      </c>
      <c r="ES35">
        <v>299.99756666666673</v>
      </c>
      <c r="ET35">
        <v>0.9000391666666665</v>
      </c>
      <c r="EU35">
        <v>9.9960646666666708E-2</v>
      </c>
      <c r="EV35">
        <v>0</v>
      </c>
      <c r="EW35">
        <v>1144.376</v>
      </c>
      <c r="EX35">
        <v>5.0005600000000019</v>
      </c>
      <c r="EY35">
        <v>3428.434999999999</v>
      </c>
      <c r="EZ35">
        <v>2492.422</v>
      </c>
      <c r="FA35">
        <v>34.789366666666659</v>
      </c>
      <c r="FB35">
        <v>39.50183333333333</v>
      </c>
      <c r="FC35">
        <v>37.249633333333328</v>
      </c>
      <c r="FD35">
        <v>38.316433333333329</v>
      </c>
      <c r="FE35">
        <v>37.099666666666657</v>
      </c>
      <c r="FF35">
        <v>265.50766666666669</v>
      </c>
      <c r="FG35">
        <v>29.49</v>
      </c>
      <c r="FH35">
        <v>0</v>
      </c>
      <c r="FI35">
        <v>127.4000000953674</v>
      </c>
      <c r="FJ35">
        <v>0</v>
      </c>
      <c r="FK35">
        <v>1144.382692307692</v>
      </c>
      <c r="FL35">
        <v>3.0916239292063938</v>
      </c>
      <c r="FM35">
        <v>13.40341876005176</v>
      </c>
      <c r="FN35">
        <v>3428.440384615385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-5.7995582926829261</v>
      </c>
      <c r="GD35">
        <v>0.30313484320558132</v>
      </c>
      <c r="GE35">
        <v>4.9233065624066139E-2</v>
      </c>
      <c r="GF35">
        <v>1</v>
      </c>
      <c r="GG35">
        <v>1144.1820588235289</v>
      </c>
      <c r="GH35">
        <v>3.840336135771877</v>
      </c>
      <c r="GI35">
        <v>0.42956735698472848</v>
      </c>
      <c r="GJ35">
        <v>0</v>
      </c>
      <c r="GK35">
        <v>0.79055885365853662</v>
      </c>
      <c r="GL35">
        <v>7.6796257839723173E-2</v>
      </c>
      <c r="GM35">
        <v>8.9155718160896739E-3</v>
      </c>
      <c r="GN35">
        <v>1</v>
      </c>
      <c r="GO35">
        <v>2</v>
      </c>
      <c r="GP35">
        <v>3</v>
      </c>
      <c r="GQ35" t="s">
        <v>479</v>
      </c>
      <c r="GR35">
        <v>3.13245</v>
      </c>
      <c r="GS35">
        <v>2.6974300000000002</v>
      </c>
      <c r="GT35">
        <v>8.6315299999999998E-2</v>
      </c>
      <c r="GU35">
        <v>8.7804499999999994E-2</v>
      </c>
      <c r="GV35">
        <v>6.4501500000000003E-2</v>
      </c>
      <c r="GW35">
        <v>6.1718599999999998E-2</v>
      </c>
      <c r="GX35">
        <v>27795.5</v>
      </c>
      <c r="GY35">
        <v>26763.8</v>
      </c>
      <c r="GZ35">
        <v>30942.6</v>
      </c>
      <c r="HA35">
        <v>29569</v>
      </c>
      <c r="HB35">
        <v>39903.800000000003</v>
      </c>
      <c r="HC35">
        <v>36522.400000000001</v>
      </c>
      <c r="HD35">
        <v>47265</v>
      </c>
      <c r="HE35">
        <v>43949.2</v>
      </c>
      <c r="HF35">
        <v>1.8931199999999999</v>
      </c>
      <c r="HG35">
        <v>1.9171499999999999</v>
      </c>
      <c r="HH35">
        <v>2.50563E-2</v>
      </c>
      <c r="HI35">
        <v>0</v>
      </c>
      <c r="HJ35">
        <v>17.636700000000001</v>
      </c>
      <c r="HK35">
        <v>999.9</v>
      </c>
      <c r="HL35">
        <v>28.5</v>
      </c>
      <c r="HM35">
        <v>30</v>
      </c>
      <c r="HN35">
        <v>13.340299999999999</v>
      </c>
      <c r="HO35">
        <v>64.018900000000002</v>
      </c>
      <c r="HP35">
        <v>19.318899999999999</v>
      </c>
      <c r="HQ35">
        <v>1</v>
      </c>
      <c r="HR35">
        <v>-0.27001500000000001</v>
      </c>
      <c r="HS35">
        <v>2.4855399999999999</v>
      </c>
      <c r="HT35">
        <v>20.2027</v>
      </c>
      <c r="HU35">
        <v>5.24125</v>
      </c>
      <c r="HV35">
        <v>11.9739</v>
      </c>
      <c r="HW35">
        <v>4.9736500000000001</v>
      </c>
      <c r="HX35">
        <v>3.2909999999999999</v>
      </c>
      <c r="HY35">
        <v>9999</v>
      </c>
      <c r="HZ35">
        <v>9999</v>
      </c>
      <c r="IA35">
        <v>9999</v>
      </c>
      <c r="IB35">
        <v>999.9</v>
      </c>
      <c r="IC35">
        <v>4.9729099999999997</v>
      </c>
      <c r="ID35">
        <v>1.87723</v>
      </c>
      <c r="IE35">
        <v>1.87531</v>
      </c>
      <c r="IF35">
        <v>1.8781000000000001</v>
      </c>
      <c r="IG35">
        <v>1.8748499999999999</v>
      </c>
      <c r="IH35">
        <v>1.87845</v>
      </c>
      <c r="II35">
        <v>1.87554</v>
      </c>
      <c r="IJ35">
        <v>1.87669</v>
      </c>
      <c r="IK35">
        <v>0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0.82699999999999996</v>
      </c>
      <c r="IY35">
        <v>9.5699999999999993E-2</v>
      </c>
      <c r="IZ35">
        <v>6.1933660764125778E-2</v>
      </c>
      <c r="JA35">
        <v>2.058711587971173E-3</v>
      </c>
      <c r="JB35">
        <v>-6.1309262243104059E-7</v>
      </c>
      <c r="JC35">
        <v>2.6183910446277612E-10</v>
      </c>
      <c r="JD35">
        <v>3.5078820932035488E-4</v>
      </c>
      <c r="JE35">
        <v>-4.3284922736758413E-3</v>
      </c>
      <c r="JF35">
        <v>1.4186339569364E-3</v>
      </c>
      <c r="JG35">
        <v>-2.7770646863349432E-5</v>
      </c>
      <c r="JH35">
        <v>2</v>
      </c>
      <c r="JI35">
        <v>2136</v>
      </c>
      <c r="JJ35">
        <v>1</v>
      </c>
      <c r="JK35">
        <v>19</v>
      </c>
      <c r="JL35">
        <v>29361339.399999999</v>
      </c>
      <c r="JM35">
        <v>29361339.399999999</v>
      </c>
      <c r="JN35">
        <v>1.09985</v>
      </c>
      <c r="JO35">
        <v>2.5415000000000001</v>
      </c>
      <c r="JP35">
        <v>1.39893</v>
      </c>
      <c r="JQ35">
        <v>2.32178</v>
      </c>
      <c r="JR35">
        <v>1.4489700000000001</v>
      </c>
      <c r="JS35">
        <v>2.5744600000000002</v>
      </c>
      <c r="JT35">
        <v>35.731099999999998</v>
      </c>
      <c r="JU35">
        <v>23.9299</v>
      </c>
      <c r="JV35">
        <v>18</v>
      </c>
      <c r="JW35">
        <v>478.577</v>
      </c>
      <c r="JX35">
        <v>462.71300000000002</v>
      </c>
      <c r="JY35">
        <v>14.972300000000001</v>
      </c>
      <c r="JZ35">
        <v>23.498899999999999</v>
      </c>
      <c r="KA35">
        <v>30</v>
      </c>
      <c r="KB35">
        <v>23.337199999999999</v>
      </c>
      <c r="KC35">
        <v>23.430099999999999</v>
      </c>
      <c r="KD35">
        <v>22.0472</v>
      </c>
      <c r="KE35">
        <v>13.110200000000001</v>
      </c>
      <c r="KF35">
        <v>25.2532</v>
      </c>
      <c r="KG35">
        <v>14.940200000000001</v>
      </c>
      <c r="KH35">
        <v>420</v>
      </c>
      <c r="KI35">
        <v>10.802300000000001</v>
      </c>
      <c r="KJ35">
        <v>102.203</v>
      </c>
      <c r="KK35">
        <v>101.08</v>
      </c>
    </row>
    <row r="36" spans="1:297" x14ac:dyDescent="0.3">
      <c r="A36">
        <v>20</v>
      </c>
      <c r="B36">
        <v>1761680494.5999999</v>
      </c>
      <c r="C36">
        <v>3044.599999904633</v>
      </c>
      <c r="D36" t="s">
        <v>522</v>
      </c>
      <c r="E36" t="s">
        <v>523</v>
      </c>
      <c r="F36">
        <v>5</v>
      </c>
      <c r="G36" t="s">
        <v>495</v>
      </c>
      <c r="H36" t="s">
        <v>436</v>
      </c>
      <c r="I36">
        <v>1761680486.849999</v>
      </c>
      <c r="J36">
        <f t="shared" si="0"/>
        <v>7.4837645392628624E-4</v>
      </c>
      <c r="K36">
        <f t="shared" si="1"/>
        <v>0.74837645392628627</v>
      </c>
      <c r="L36">
        <f t="shared" si="2"/>
        <v>3.2426819905402997</v>
      </c>
      <c r="M36">
        <f t="shared" si="3"/>
        <v>415.71773333333329</v>
      </c>
      <c r="N36">
        <f t="shared" si="4"/>
        <v>312.87295665649481</v>
      </c>
      <c r="O36">
        <f t="shared" si="5"/>
        <v>28.4849687555411</v>
      </c>
      <c r="P36">
        <f t="shared" si="6"/>
        <v>37.848290794034497</v>
      </c>
      <c r="Q36">
        <f t="shared" si="7"/>
        <v>5.52078819119542E-2</v>
      </c>
      <c r="R36">
        <f t="shared" si="8"/>
        <v>2.7669934757707471</v>
      </c>
      <c r="S36">
        <f t="shared" si="9"/>
        <v>5.4603159152827131E-2</v>
      </c>
      <c r="T36">
        <f t="shared" si="10"/>
        <v>3.4180754362035798E-2</v>
      </c>
      <c r="U36">
        <f t="shared" si="11"/>
        <v>218.57279067811146</v>
      </c>
      <c r="V36">
        <f t="shared" si="12"/>
        <v>19.545388637778409</v>
      </c>
      <c r="W36">
        <f t="shared" si="13"/>
        <v>19.545388637778409</v>
      </c>
      <c r="X36">
        <f t="shared" si="14"/>
        <v>2.2813603094130364</v>
      </c>
      <c r="Y36">
        <f t="shared" si="15"/>
        <v>49.786963682477463</v>
      </c>
      <c r="Z36">
        <f t="shared" si="16"/>
        <v>1.0564190612300932</v>
      </c>
      <c r="AA36">
        <f t="shared" si="17"/>
        <v>2.1218788676641074</v>
      </c>
      <c r="AB36">
        <f t="shared" si="18"/>
        <v>1.2249412481829431</v>
      </c>
      <c r="AC36">
        <f t="shared" si="19"/>
        <v>-33.003401618149226</v>
      </c>
      <c r="AD36">
        <f t="shared" si="20"/>
        <v>-173.19198206663515</v>
      </c>
      <c r="AE36">
        <f t="shared" si="21"/>
        <v>-12.451579352784121</v>
      </c>
      <c r="AF36">
        <f t="shared" si="22"/>
        <v>-7.4172359457008952E-2</v>
      </c>
      <c r="AG36">
        <f t="shared" si="23"/>
        <v>3.249204347005465</v>
      </c>
      <c r="AH36">
        <f t="shared" si="24"/>
        <v>0.7485391866720299</v>
      </c>
      <c r="AI36">
        <f t="shared" si="25"/>
        <v>3.2426819905402997</v>
      </c>
      <c r="AJ36">
        <v>424.51432542893559</v>
      </c>
      <c r="AK36">
        <v>420.58222424242422</v>
      </c>
      <c r="AL36">
        <v>-2.9712880763210292E-4</v>
      </c>
      <c r="AM36">
        <v>65.135956036091045</v>
      </c>
      <c r="AN36">
        <f t="shared" si="26"/>
        <v>0.74837645392628627</v>
      </c>
      <c r="AO36">
        <v>10.7153858489028</v>
      </c>
      <c r="AP36">
        <v>11.603240559440559</v>
      </c>
      <c r="AQ36">
        <v>-2.488945376120334E-5</v>
      </c>
      <c r="AR36">
        <v>96.735478278444774</v>
      </c>
      <c r="AS36">
        <v>2</v>
      </c>
      <c r="AT36">
        <v>0</v>
      </c>
      <c r="AU36">
        <f t="shared" si="27"/>
        <v>1</v>
      </c>
      <c r="AV36">
        <f t="shared" si="28"/>
        <v>0</v>
      </c>
      <c r="AW36">
        <f t="shared" si="29"/>
        <v>49546.079267121066</v>
      </c>
      <c r="AX36" t="s">
        <v>490</v>
      </c>
      <c r="AY36">
        <v>5019.71</v>
      </c>
      <c r="AZ36">
        <v>703.10399999999993</v>
      </c>
      <c r="BA36">
        <v>1676.142600937771</v>
      </c>
      <c r="BB36">
        <f t="shared" si="30"/>
        <v>0.5805225643649734</v>
      </c>
      <c r="BC36">
        <v>-0.85444885496179257</v>
      </c>
      <c r="BD36" t="s">
        <v>524</v>
      </c>
      <c r="BE36">
        <v>5026.22</v>
      </c>
      <c r="BF36">
        <v>926.15939999999989</v>
      </c>
      <c r="BG36">
        <v>1677.51375642988</v>
      </c>
      <c r="BH36">
        <f t="shared" si="31"/>
        <v>0.44789758268744584</v>
      </c>
      <c r="BI36">
        <v>0.5</v>
      </c>
      <c r="BJ36">
        <f t="shared" si="48"/>
        <v>1007.8574229808869</v>
      </c>
      <c r="BK36">
        <f t="shared" si="32"/>
        <v>3.2426819905402997</v>
      </c>
      <c r="BL36">
        <f t="shared" si="49"/>
        <v>225.70845172336894</v>
      </c>
      <c r="BM36">
        <f t="shared" si="33"/>
        <v>4.0651889365305501E-3</v>
      </c>
      <c r="BN36">
        <f t="shared" si="34"/>
        <v>-8.1737362024804177E-4</v>
      </c>
      <c r="BO36">
        <f t="shared" si="35"/>
        <v>703.34515580599339</v>
      </c>
      <c r="BP36" t="s">
        <v>525</v>
      </c>
      <c r="BQ36">
        <v>751.8</v>
      </c>
      <c r="BR36">
        <f t="shared" si="36"/>
        <v>751.8</v>
      </c>
      <c r="BS36">
        <f t="shared" si="37"/>
        <v>0.55183676013483396</v>
      </c>
      <c r="BT36">
        <f t="shared" si="38"/>
        <v>0.81164868860495631</v>
      </c>
      <c r="BU36">
        <f t="shared" si="39"/>
        <v>-1.4833845056128623E-3</v>
      </c>
      <c r="BV36">
        <f t="shared" si="40"/>
        <v>0.77108665165951529</v>
      </c>
      <c r="BW36">
        <f t="shared" si="41"/>
        <v>-1.4091480962703067E-3</v>
      </c>
      <c r="BX36">
        <f t="shared" si="42"/>
        <v>0.65884715319329068</v>
      </c>
      <c r="BY36">
        <f t="shared" si="43"/>
        <v>0.34115284680670932</v>
      </c>
      <c r="BZ36">
        <v>404</v>
      </c>
      <c r="CA36">
        <v>290.00000000000011</v>
      </c>
      <c r="CB36">
        <v>1625.22</v>
      </c>
      <c r="CC36">
        <v>295</v>
      </c>
      <c r="CD36">
        <v>5026.22</v>
      </c>
      <c r="CE36">
        <v>1625.62</v>
      </c>
      <c r="CF36">
        <v>-0.4</v>
      </c>
      <c r="CG36">
        <v>300.00000000000011</v>
      </c>
      <c r="CH36">
        <v>23.9</v>
      </c>
      <c r="CI36">
        <v>1677.51375642988</v>
      </c>
      <c r="CJ36">
        <v>1.650487642466594</v>
      </c>
      <c r="CK36">
        <v>-26.082402242649941</v>
      </c>
      <c r="CL36">
        <v>0.72215301186687642</v>
      </c>
      <c r="CM36">
        <v>0.97898651813398474</v>
      </c>
      <c r="CN36">
        <v>-4.0402820912124613E-3</v>
      </c>
      <c r="CO36">
        <v>289.99999999999989</v>
      </c>
      <c r="CP36">
        <v>1621.96</v>
      </c>
      <c r="CQ36">
        <v>735</v>
      </c>
      <c r="CR36">
        <v>5025.74</v>
      </c>
      <c r="CS36">
        <v>1625.62</v>
      </c>
      <c r="CT36">
        <v>-3.66</v>
      </c>
      <c r="DH36">
        <f t="shared" si="44"/>
        <v>1226.9263000000001</v>
      </c>
      <c r="DI36">
        <f t="shared" si="45"/>
        <v>1007.8574229808869</v>
      </c>
      <c r="DJ36">
        <f t="shared" si="46"/>
        <v>0.82144903323116214</v>
      </c>
      <c r="DK36">
        <f t="shared" si="47"/>
        <v>0.17814663413614285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1761680486.849999</v>
      </c>
      <c r="DR36">
        <v>415.71773333333329</v>
      </c>
      <c r="DS36">
        <v>419.99039999999991</v>
      </c>
      <c r="DT36">
        <v>11.603486666666671</v>
      </c>
      <c r="DU36">
        <v>10.715619999999999</v>
      </c>
      <c r="DV36">
        <v>414.88850000000002</v>
      </c>
      <c r="DW36">
        <v>11.507403333333331</v>
      </c>
      <c r="DX36">
        <v>499.97609999999997</v>
      </c>
      <c r="DY36">
        <v>91.02390666666669</v>
      </c>
      <c r="DZ36">
        <v>1.933676333333333E-2</v>
      </c>
      <c r="EA36">
        <v>18.384383333333339</v>
      </c>
      <c r="EB36">
        <v>18.04339666666667</v>
      </c>
      <c r="EC36">
        <v>999.9000000000002</v>
      </c>
      <c r="ED36">
        <v>0</v>
      </c>
      <c r="EE36">
        <v>0</v>
      </c>
      <c r="EF36">
        <v>9998.3346666666639</v>
      </c>
      <c r="EG36">
        <v>0</v>
      </c>
      <c r="EH36">
        <v>1076.932</v>
      </c>
      <c r="EI36">
        <v>-4.2726896666666656</v>
      </c>
      <c r="EJ36">
        <v>420.59809999999999</v>
      </c>
      <c r="EK36">
        <v>424.53949999999998</v>
      </c>
      <c r="EL36">
        <v>0.88786480000000012</v>
      </c>
      <c r="EM36">
        <v>419.99039999999991</v>
      </c>
      <c r="EN36">
        <v>10.715619999999999</v>
      </c>
      <c r="EO36">
        <v>1.0561946666666671</v>
      </c>
      <c r="EP36">
        <v>0.97537763333333349</v>
      </c>
      <c r="EQ36">
        <v>7.7155159999999983</v>
      </c>
      <c r="ER36">
        <v>6.5536793333333332</v>
      </c>
      <c r="ES36">
        <v>149.99430000000001</v>
      </c>
      <c r="ET36">
        <v>0.90008669999999968</v>
      </c>
      <c r="EU36">
        <v>9.9913576666666629E-2</v>
      </c>
      <c r="EV36">
        <v>0</v>
      </c>
      <c r="EW36">
        <v>926.16783333333319</v>
      </c>
      <c r="EX36">
        <v>5.0005600000000019</v>
      </c>
      <c r="EY36">
        <v>1476.8209999999999</v>
      </c>
      <c r="EZ36">
        <v>1225.066</v>
      </c>
      <c r="FA36">
        <v>35.880933333333331</v>
      </c>
      <c r="FB36">
        <v>41.274666666666647</v>
      </c>
      <c r="FC36">
        <v>38.033066666666649</v>
      </c>
      <c r="FD36">
        <v>40.847699999999989</v>
      </c>
      <c r="FE36">
        <v>37.930966666666663</v>
      </c>
      <c r="FF36">
        <v>130.506</v>
      </c>
      <c r="FG36">
        <v>14.49</v>
      </c>
      <c r="FH36">
        <v>0</v>
      </c>
      <c r="FI36">
        <v>127.4000000953674</v>
      </c>
      <c r="FJ36">
        <v>0</v>
      </c>
      <c r="FK36">
        <v>926.15939999999989</v>
      </c>
      <c r="FL36">
        <v>1.844384619499692</v>
      </c>
      <c r="FM36">
        <v>3.8153845605558581</v>
      </c>
      <c r="FN36">
        <v>1476.8463999999999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-4.2776215000000004</v>
      </c>
      <c r="GD36">
        <v>0.21824667917449311</v>
      </c>
      <c r="GE36">
        <v>3.5696708360155538E-2</v>
      </c>
      <c r="GF36">
        <v>1</v>
      </c>
      <c r="GG36">
        <v>926.01244117647059</v>
      </c>
      <c r="GH36">
        <v>2.27442323087763</v>
      </c>
      <c r="GI36">
        <v>0.30653463398759467</v>
      </c>
      <c r="GJ36">
        <v>0</v>
      </c>
      <c r="GK36">
        <v>0.88895650000000015</v>
      </c>
      <c r="GL36">
        <v>-7.5490806754196834E-3</v>
      </c>
      <c r="GM36">
        <v>4.9418199785099424E-3</v>
      </c>
      <c r="GN36">
        <v>1</v>
      </c>
      <c r="GO36">
        <v>2</v>
      </c>
      <c r="GP36">
        <v>3</v>
      </c>
      <c r="GQ36" t="s">
        <v>479</v>
      </c>
      <c r="GR36">
        <v>3.1323400000000001</v>
      </c>
      <c r="GS36">
        <v>2.6975500000000001</v>
      </c>
      <c r="GT36">
        <v>8.6563100000000004E-2</v>
      </c>
      <c r="GU36">
        <v>8.7812799999999996E-2</v>
      </c>
      <c r="GV36">
        <v>6.4601800000000001E-2</v>
      </c>
      <c r="GW36">
        <v>6.1408900000000002E-2</v>
      </c>
      <c r="GX36">
        <v>27788.3</v>
      </c>
      <c r="GY36">
        <v>26762.2</v>
      </c>
      <c r="GZ36">
        <v>30943</v>
      </c>
      <c r="HA36">
        <v>29567.5</v>
      </c>
      <c r="HB36">
        <v>39900.1</v>
      </c>
      <c r="HC36">
        <v>36532.5</v>
      </c>
      <c r="HD36">
        <v>47265.7</v>
      </c>
      <c r="HE36">
        <v>43946.7</v>
      </c>
      <c r="HF36">
        <v>1.89255</v>
      </c>
      <c r="HG36">
        <v>1.91795</v>
      </c>
      <c r="HH36">
        <v>1.55158E-2</v>
      </c>
      <c r="HI36">
        <v>0</v>
      </c>
      <c r="HJ36">
        <v>17.8035</v>
      </c>
      <c r="HK36">
        <v>999.9</v>
      </c>
      <c r="HL36">
        <v>28.5</v>
      </c>
      <c r="HM36">
        <v>30</v>
      </c>
      <c r="HN36">
        <v>13.339</v>
      </c>
      <c r="HO36">
        <v>63.7789</v>
      </c>
      <c r="HP36">
        <v>19.390999999999998</v>
      </c>
      <c r="HQ36">
        <v>1</v>
      </c>
      <c r="HR36">
        <v>-0.27016299999999999</v>
      </c>
      <c r="HS36">
        <v>2.5015700000000001</v>
      </c>
      <c r="HT36">
        <v>20.203700000000001</v>
      </c>
      <c r="HU36">
        <v>5.2411000000000003</v>
      </c>
      <c r="HV36">
        <v>11.973100000000001</v>
      </c>
      <c r="HW36">
        <v>4.9734999999999996</v>
      </c>
      <c r="HX36">
        <v>3.2909999999999999</v>
      </c>
      <c r="HY36">
        <v>9999</v>
      </c>
      <c r="HZ36">
        <v>9999</v>
      </c>
      <c r="IA36">
        <v>9999</v>
      </c>
      <c r="IB36">
        <v>999.9</v>
      </c>
      <c r="IC36">
        <v>4.97295</v>
      </c>
      <c r="ID36">
        <v>1.8772</v>
      </c>
      <c r="IE36">
        <v>1.87531</v>
      </c>
      <c r="IF36">
        <v>1.8780699999999999</v>
      </c>
      <c r="IG36">
        <v>1.8748400000000001</v>
      </c>
      <c r="IH36">
        <v>1.87845</v>
      </c>
      <c r="II36">
        <v>1.8755500000000001</v>
      </c>
      <c r="IJ36">
        <v>1.8766799999999999</v>
      </c>
      <c r="IK36">
        <v>0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0.82899999999999996</v>
      </c>
      <c r="IY36">
        <v>9.6100000000000005E-2</v>
      </c>
      <c r="IZ36">
        <v>6.1933660764125778E-2</v>
      </c>
      <c r="JA36">
        <v>2.058711587971173E-3</v>
      </c>
      <c r="JB36">
        <v>-6.1309262243104059E-7</v>
      </c>
      <c r="JC36">
        <v>2.6183910446277612E-10</v>
      </c>
      <c r="JD36">
        <v>3.5078820932035488E-4</v>
      </c>
      <c r="JE36">
        <v>-4.3284922736758413E-3</v>
      </c>
      <c r="JF36">
        <v>1.4186339569364E-3</v>
      </c>
      <c r="JG36">
        <v>-2.7770646863349432E-5</v>
      </c>
      <c r="JH36">
        <v>2</v>
      </c>
      <c r="JI36">
        <v>2136</v>
      </c>
      <c r="JJ36">
        <v>1</v>
      </c>
      <c r="JK36">
        <v>19</v>
      </c>
      <c r="JL36">
        <v>29361341.600000001</v>
      </c>
      <c r="JM36">
        <v>29361341.600000001</v>
      </c>
      <c r="JN36">
        <v>1.09985</v>
      </c>
      <c r="JO36">
        <v>2.5390600000000001</v>
      </c>
      <c r="JP36">
        <v>1.39893</v>
      </c>
      <c r="JQ36">
        <v>2.32178</v>
      </c>
      <c r="JR36">
        <v>1.4489700000000001</v>
      </c>
      <c r="JS36">
        <v>2.5573700000000001</v>
      </c>
      <c r="JT36">
        <v>35.661299999999997</v>
      </c>
      <c r="JU36">
        <v>23.921099999999999</v>
      </c>
      <c r="JV36">
        <v>18</v>
      </c>
      <c r="JW36">
        <v>478.17399999999998</v>
      </c>
      <c r="JX36">
        <v>463.08499999999998</v>
      </c>
      <c r="JY36">
        <v>15.196099999999999</v>
      </c>
      <c r="JZ36">
        <v>23.494700000000002</v>
      </c>
      <c r="KA36">
        <v>30.000599999999999</v>
      </c>
      <c r="KB36">
        <v>23.323</v>
      </c>
      <c r="KC36">
        <v>23.415099999999999</v>
      </c>
      <c r="KD36">
        <v>22.055199999999999</v>
      </c>
      <c r="KE36">
        <v>14.561500000000001</v>
      </c>
      <c r="KF36">
        <v>25.994700000000002</v>
      </c>
      <c r="KG36">
        <v>15.174799999999999</v>
      </c>
      <c r="KH36">
        <v>420</v>
      </c>
      <c r="KI36">
        <v>10.6937</v>
      </c>
      <c r="KJ36">
        <v>102.20399999999999</v>
      </c>
      <c r="KK36">
        <v>101.075</v>
      </c>
    </row>
    <row r="37" spans="1:297" x14ac:dyDescent="0.3">
      <c r="A37">
        <v>21</v>
      </c>
      <c r="B37">
        <v>1761680582.5</v>
      </c>
      <c r="C37">
        <v>3132.5</v>
      </c>
      <c r="D37" t="s">
        <v>526</v>
      </c>
      <c r="E37" t="s">
        <v>527</v>
      </c>
      <c r="F37">
        <v>5</v>
      </c>
      <c r="G37" t="s">
        <v>495</v>
      </c>
      <c r="H37" t="s">
        <v>436</v>
      </c>
      <c r="I37">
        <v>1761680574.5</v>
      </c>
      <c r="J37">
        <f t="shared" si="0"/>
        <v>7.6582614132522512E-4</v>
      </c>
      <c r="K37">
        <f t="shared" si="1"/>
        <v>0.76582614132522508</v>
      </c>
      <c r="L37">
        <f t="shared" si="2"/>
        <v>0.98133589912414254</v>
      </c>
      <c r="M37">
        <f t="shared" si="3"/>
        <v>418.37790322580639</v>
      </c>
      <c r="N37">
        <f t="shared" si="4"/>
        <v>382.06837892500579</v>
      </c>
      <c r="O37">
        <f t="shared" si="5"/>
        <v>34.785953788812371</v>
      </c>
      <c r="P37">
        <f t="shared" si="6"/>
        <v>38.091805578942676</v>
      </c>
      <c r="Q37">
        <f t="shared" si="7"/>
        <v>5.7308123013054948E-2</v>
      </c>
      <c r="R37">
        <f t="shared" si="8"/>
        <v>2.7661762748524121</v>
      </c>
      <c r="S37">
        <f t="shared" si="9"/>
        <v>5.6656617567044917E-2</v>
      </c>
      <c r="T37">
        <f t="shared" si="10"/>
        <v>3.5468303915361016E-2</v>
      </c>
      <c r="U37">
        <f t="shared" si="11"/>
        <v>200.53723640164634</v>
      </c>
      <c r="V37">
        <f t="shared" si="12"/>
        <v>19.45053990119202</v>
      </c>
      <c r="W37">
        <f t="shared" si="13"/>
        <v>19.45053990119202</v>
      </c>
      <c r="X37">
        <f t="shared" si="14"/>
        <v>2.2679484882629941</v>
      </c>
      <c r="Y37">
        <f t="shared" si="15"/>
        <v>49.874225130989103</v>
      </c>
      <c r="Z37">
        <f t="shared" si="16"/>
        <v>1.0597666874561242</v>
      </c>
      <c r="AA37">
        <f t="shared" si="17"/>
        <v>2.1248785012153371</v>
      </c>
      <c r="AB37">
        <f t="shared" si="18"/>
        <v>1.2081818008068699</v>
      </c>
      <c r="AC37">
        <f t="shared" si="19"/>
        <v>-33.772932832442429</v>
      </c>
      <c r="AD37">
        <f t="shared" si="20"/>
        <v>-155.63571263067539</v>
      </c>
      <c r="AE37">
        <f t="shared" si="21"/>
        <v>-11.188516503508119</v>
      </c>
      <c r="AF37">
        <f t="shared" si="22"/>
        <v>-5.9925564979579349E-2</v>
      </c>
      <c r="AG37">
        <f t="shared" si="23"/>
        <v>1.0352749399125849</v>
      </c>
      <c r="AH37">
        <f t="shared" si="24"/>
        <v>0.7603053442728499</v>
      </c>
      <c r="AI37">
        <f t="shared" si="25"/>
        <v>0.98133589912414254</v>
      </c>
      <c r="AJ37">
        <v>424.60623279257391</v>
      </c>
      <c r="AK37">
        <v>423.40678181818191</v>
      </c>
      <c r="AL37">
        <v>1.8499934289621699E-3</v>
      </c>
      <c r="AM37">
        <v>65.135956036091045</v>
      </c>
      <c r="AN37">
        <f t="shared" si="26"/>
        <v>0.76582614132522508</v>
      </c>
      <c r="AO37">
        <v>10.736289763191801</v>
      </c>
      <c r="AP37">
        <v>11.644558041958049</v>
      </c>
      <c r="AQ37">
        <v>4.595322609580448E-6</v>
      </c>
      <c r="AR37">
        <v>96.735478278444774</v>
      </c>
      <c r="AS37">
        <v>2</v>
      </c>
      <c r="AT37">
        <v>0</v>
      </c>
      <c r="AU37">
        <f t="shared" si="27"/>
        <v>1</v>
      </c>
      <c r="AV37">
        <f t="shared" si="28"/>
        <v>0</v>
      </c>
      <c r="AW37">
        <f t="shared" si="29"/>
        <v>49519.395044917677</v>
      </c>
      <c r="AX37" t="s">
        <v>490</v>
      </c>
      <c r="AY37">
        <v>5019.71</v>
      </c>
      <c r="AZ37">
        <v>703.10399999999993</v>
      </c>
      <c r="BA37">
        <v>1676.142600937771</v>
      </c>
      <c r="BB37">
        <f t="shared" si="30"/>
        <v>0.5805225643649734</v>
      </c>
      <c r="BC37">
        <v>-0.85444885496179257</v>
      </c>
      <c r="BD37" t="s">
        <v>528</v>
      </c>
      <c r="BE37">
        <v>5016.08</v>
      </c>
      <c r="BF37">
        <v>789.63903846153858</v>
      </c>
      <c r="BG37">
        <v>1689.100682532888</v>
      </c>
      <c r="BH37">
        <f t="shared" si="31"/>
        <v>0.53250919461033153</v>
      </c>
      <c r="BI37">
        <v>0.5</v>
      </c>
      <c r="BJ37">
        <f t="shared" si="48"/>
        <v>925.6026479349996</v>
      </c>
      <c r="BK37">
        <f t="shared" si="32"/>
        <v>0.98133589912414254</v>
      </c>
      <c r="BL37">
        <f t="shared" si="49"/>
        <v>246.44596029052843</v>
      </c>
      <c r="BM37">
        <f t="shared" si="33"/>
        <v>1.9833399981963461E-3</v>
      </c>
      <c r="BN37">
        <f t="shared" si="34"/>
        <v>-7.6715862642869033E-3</v>
      </c>
      <c r="BO37">
        <f t="shared" si="35"/>
        <v>705.37393376032367</v>
      </c>
      <c r="BP37" t="s">
        <v>529</v>
      </c>
      <c r="BQ37">
        <v>730.67</v>
      </c>
      <c r="BR37">
        <f t="shared" si="36"/>
        <v>730.67</v>
      </c>
      <c r="BS37">
        <f t="shared" si="37"/>
        <v>0.56742069460043965</v>
      </c>
      <c r="BT37">
        <f t="shared" si="38"/>
        <v>0.93847334028821106</v>
      </c>
      <c r="BU37">
        <f t="shared" si="39"/>
        <v>-1.3705401491555025E-2</v>
      </c>
      <c r="BV37">
        <f t="shared" si="40"/>
        <v>0.91223597402047829</v>
      </c>
      <c r="BW37">
        <f t="shared" si="41"/>
        <v>-1.3317130052835023E-2</v>
      </c>
      <c r="BX37">
        <f t="shared" si="42"/>
        <v>0.86838958327639304</v>
      </c>
      <c r="BY37">
        <f t="shared" si="43"/>
        <v>0.13161041672360696</v>
      </c>
      <c r="BZ37">
        <v>406</v>
      </c>
      <c r="CA37">
        <v>290.00000000000011</v>
      </c>
      <c r="CB37">
        <v>1642.39</v>
      </c>
      <c r="CC37">
        <v>275</v>
      </c>
      <c r="CD37">
        <v>5016.08</v>
      </c>
      <c r="CE37">
        <v>1642.57</v>
      </c>
      <c r="CF37">
        <v>-0.18</v>
      </c>
      <c r="CG37">
        <v>300.00000000000011</v>
      </c>
      <c r="CH37">
        <v>23.9</v>
      </c>
      <c r="CI37">
        <v>1689.100682532888</v>
      </c>
      <c r="CJ37">
        <v>1.797900794342038</v>
      </c>
      <c r="CK37">
        <v>-23.337958780956349</v>
      </c>
      <c r="CL37">
        <v>0.78247197857565443</v>
      </c>
      <c r="CM37">
        <v>0.96948516337064949</v>
      </c>
      <c r="CN37">
        <v>-4.1152800889877614E-3</v>
      </c>
      <c r="CO37">
        <v>289.99999999999989</v>
      </c>
      <c r="CP37">
        <v>1641</v>
      </c>
      <c r="CQ37">
        <v>655</v>
      </c>
      <c r="CR37">
        <v>5016.04</v>
      </c>
      <c r="CS37">
        <v>1642.57</v>
      </c>
      <c r="CT37">
        <v>-1.57</v>
      </c>
      <c r="DH37">
        <f t="shared" si="44"/>
        <v>1126.9325806451611</v>
      </c>
      <c r="DI37">
        <f t="shared" si="45"/>
        <v>925.6026479349996</v>
      </c>
      <c r="DJ37">
        <f t="shared" si="46"/>
        <v>0.82134695884388975</v>
      </c>
      <c r="DK37">
        <f t="shared" si="47"/>
        <v>0.17794963056870727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1761680574.5</v>
      </c>
      <c r="DR37">
        <v>418.37790322580639</v>
      </c>
      <c r="DS37">
        <v>420.00196774193552</v>
      </c>
      <c r="DT37">
        <v>11.63985161290322</v>
      </c>
      <c r="DU37">
        <v>10.73809354838709</v>
      </c>
      <c r="DV37">
        <v>417.54432258064509</v>
      </c>
      <c r="DW37">
        <v>11.54316129032258</v>
      </c>
      <c r="DX37">
        <v>499.99364516129032</v>
      </c>
      <c r="DY37">
        <v>91.026864516129038</v>
      </c>
      <c r="DZ37">
        <v>1.954420967741935E-2</v>
      </c>
      <c r="EA37">
        <v>18.406916129032261</v>
      </c>
      <c r="EB37">
        <v>17.971470967741929</v>
      </c>
      <c r="EC37">
        <v>999.90000000000032</v>
      </c>
      <c r="ED37">
        <v>0</v>
      </c>
      <c r="EE37">
        <v>0</v>
      </c>
      <c r="EF37">
        <v>9993.1880645161273</v>
      </c>
      <c r="EG37">
        <v>0</v>
      </c>
      <c r="EH37">
        <v>1076.9345161290321</v>
      </c>
      <c r="EI37">
        <v>-1.6239977419354841</v>
      </c>
      <c r="EJ37">
        <v>423.30522580645157</v>
      </c>
      <c r="EK37">
        <v>424.56087096774189</v>
      </c>
      <c r="EL37">
        <v>0.90176690322580633</v>
      </c>
      <c r="EM37">
        <v>420.00196774193552</v>
      </c>
      <c r="EN37">
        <v>10.73809354838709</v>
      </c>
      <c r="EO37">
        <v>1.059540322580645</v>
      </c>
      <c r="EP37">
        <v>0.97745506451612907</v>
      </c>
      <c r="EQ37">
        <v>7.7618990322580643</v>
      </c>
      <c r="ER37">
        <v>6.5845848387096781</v>
      </c>
      <c r="ES37">
        <v>49.998064516129027</v>
      </c>
      <c r="ET37">
        <v>0.90027600000000041</v>
      </c>
      <c r="EU37">
        <v>9.9723899999999976E-2</v>
      </c>
      <c r="EV37">
        <v>0</v>
      </c>
      <c r="EW37">
        <v>789.6431935483871</v>
      </c>
      <c r="EX37">
        <v>5.0005600000000019</v>
      </c>
      <c r="EY37">
        <v>513.97774193548389</v>
      </c>
      <c r="EZ37">
        <v>380.21199999999999</v>
      </c>
      <c r="FA37">
        <v>35.78193548387096</v>
      </c>
      <c r="FB37">
        <v>41.951322580645162</v>
      </c>
      <c r="FC37">
        <v>38.546096774193543</v>
      </c>
      <c r="FD37">
        <v>41.965483870967738</v>
      </c>
      <c r="FE37">
        <v>38.380838709677413</v>
      </c>
      <c r="FF37">
        <v>40.510967741935481</v>
      </c>
      <c r="FG37">
        <v>4.49</v>
      </c>
      <c r="FH37">
        <v>0</v>
      </c>
      <c r="FI37">
        <v>86</v>
      </c>
      <c r="FJ37">
        <v>0</v>
      </c>
      <c r="FK37">
        <v>789.63903846153858</v>
      </c>
      <c r="FL37">
        <v>-0.80119657832829205</v>
      </c>
      <c r="FM37">
        <v>2.7758974338699112</v>
      </c>
      <c r="FN37">
        <v>514.00996153846154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-1.6478114634146339</v>
      </c>
      <c r="GD37">
        <v>0.46993418048924179</v>
      </c>
      <c r="GE37">
        <v>6.3760518924081661E-2</v>
      </c>
      <c r="GF37">
        <v>1</v>
      </c>
      <c r="GG37">
        <v>789.66479411764715</v>
      </c>
      <c r="GH37">
        <v>-0.82311688274112182</v>
      </c>
      <c r="GI37">
        <v>0.17923444709157291</v>
      </c>
      <c r="GJ37">
        <v>1</v>
      </c>
      <c r="GK37">
        <v>0.90139714634146351</v>
      </c>
      <c r="GL37">
        <v>3.3329618250191842E-3</v>
      </c>
      <c r="GM37">
        <v>5.1153034078335888E-3</v>
      </c>
      <c r="GN37">
        <v>1</v>
      </c>
      <c r="GO37">
        <v>3</v>
      </c>
      <c r="GP37">
        <v>3</v>
      </c>
      <c r="GQ37" t="s">
        <v>470</v>
      </c>
      <c r="GR37">
        <v>3.1324200000000002</v>
      </c>
      <c r="GS37">
        <v>2.6968299999999998</v>
      </c>
      <c r="GT37">
        <v>8.6997599999999994E-2</v>
      </c>
      <c r="GU37">
        <v>8.7815400000000002E-2</v>
      </c>
      <c r="GV37">
        <v>6.4776600000000004E-2</v>
      </c>
      <c r="GW37">
        <v>6.1641399999999999E-2</v>
      </c>
      <c r="GX37">
        <v>27774.5</v>
      </c>
      <c r="GY37">
        <v>26762.1</v>
      </c>
      <c r="GZ37">
        <v>30942.400000000001</v>
      </c>
      <c r="HA37">
        <v>29567.599999999999</v>
      </c>
      <c r="HB37">
        <v>39891.699999999997</v>
      </c>
      <c r="HC37">
        <v>36523.5</v>
      </c>
      <c r="HD37">
        <v>47264.7</v>
      </c>
      <c r="HE37">
        <v>43946.9</v>
      </c>
      <c r="HF37">
        <v>1.8928799999999999</v>
      </c>
      <c r="HG37">
        <v>1.91805</v>
      </c>
      <c r="HH37">
        <v>7.5548899999999999E-3</v>
      </c>
      <c r="HI37">
        <v>0</v>
      </c>
      <c r="HJ37">
        <v>17.870999999999999</v>
      </c>
      <c r="HK37">
        <v>999.9</v>
      </c>
      <c r="HL37">
        <v>28.5</v>
      </c>
      <c r="HM37">
        <v>30</v>
      </c>
      <c r="HN37">
        <v>13.3385</v>
      </c>
      <c r="HO37">
        <v>63.648899999999998</v>
      </c>
      <c r="HP37">
        <v>19.150600000000001</v>
      </c>
      <c r="HQ37">
        <v>1</v>
      </c>
      <c r="HR37">
        <v>-0.27101399999999998</v>
      </c>
      <c r="HS37">
        <v>2.1446399999999999</v>
      </c>
      <c r="HT37">
        <v>20.2074</v>
      </c>
      <c r="HU37">
        <v>5.2364600000000001</v>
      </c>
      <c r="HV37">
        <v>11.9733</v>
      </c>
      <c r="HW37">
        <v>4.9716500000000003</v>
      </c>
      <c r="HX37">
        <v>3.2905199999999999</v>
      </c>
      <c r="HY37">
        <v>9999</v>
      </c>
      <c r="HZ37">
        <v>9999</v>
      </c>
      <c r="IA37">
        <v>9999</v>
      </c>
      <c r="IB37">
        <v>999.9</v>
      </c>
      <c r="IC37">
        <v>4.9729000000000001</v>
      </c>
      <c r="ID37">
        <v>1.87714</v>
      </c>
      <c r="IE37">
        <v>1.87521</v>
      </c>
      <c r="IF37">
        <v>1.87805</v>
      </c>
      <c r="IG37">
        <v>1.87476</v>
      </c>
      <c r="IH37">
        <v>1.87836</v>
      </c>
      <c r="II37">
        <v>1.87547</v>
      </c>
      <c r="IJ37">
        <v>1.8766700000000001</v>
      </c>
      <c r="IK37">
        <v>0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0.83399999999999996</v>
      </c>
      <c r="IY37">
        <v>9.6799999999999997E-2</v>
      </c>
      <c r="IZ37">
        <v>6.1933660764125778E-2</v>
      </c>
      <c r="JA37">
        <v>2.058711587971173E-3</v>
      </c>
      <c r="JB37">
        <v>-6.1309262243104059E-7</v>
      </c>
      <c r="JC37">
        <v>2.6183910446277612E-10</v>
      </c>
      <c r="JD37">
        <v>3.5078820932035488E-4</v>
      </c>
      <c r="JE37">
        <v>-4.3284922736758413E-3</v>
      </c>
      <c r="JF37">
        <v>1.4186339569364E-3</v>
      </c>
      <c r="JG37">
        <v>-2.7770646863349432E-5</v>
      </c>
      <c r="JH37">
        <v>2</v>
      </c>
      <c r="JI37">
        <v>2136</v>
      </c>
      <c r="JJ37">
        <v>1</v>
      </c>
      <c r="JK37">
        <v>19</v>
      </c>
      <c r="JL37">
        <v>29361343</v>
      </c>
      <c r="JM37">
        <v>29361343</v>
      </c>
      <c r="JN37">
        <v>1.09985</v>
      </c>
      <c r="JO37">
        <v>2.5329600000000001</v>
      </c>
      <c r="JP37">
        <v>1.39893</v>
      </c>
      <c r="JQ37">
        <v>2.32178</v>
      </c>
      <c r="JR37">
        <v>1.4489700000000001</v>
      </c>
      <c r="JS37">
        <v>2.5817899999999998</v>
      </c>
      <c r="JT37">
        <v>35.637999999999998</v>
      </c>
      <c r="JU37">
        <v>23.938700000000001</v>
      </c>
      <c r="JV37">
        <v>18</v>
      </c>
      <c r="JW37">
        <v>478.32</v>
      </c>
      <c r="JX37">
        <v>463.12400000000002</v>
      </c>
      <c r="JY37">
        <v>15.284800000000001</v>
      </c>
      <c r="JZ37">
        <v>23.500599999999999</v>
      </c>
      <c r="KA37">
        <v>30.0002</v>
      </c>
      <c r="KB37">
        <v>23.319500000000001</v>
      </c>
      <c r="KC37">
        <v>23.412500000000001</v>
      </c>
      <c r="KD37">
        <v>22.0565</v>
      </c>
      <c r="KE37">
        <v>14.561500000000001</v>
      </c>
      <c r="KF37">
        <v>26.741</v>
      </c>
      <c r="KG37">
        <v>15.2905</v>
      </c>
      <c r="KH37">
        <v>420</v>
      </c>
      <c r="KI37">
        <v>10.724600000000001</v>
      </c>
      <c r="KJ37">
        <v>102.202</v>
      </c>
      <c r="KK37">
        <v>101.075</v>
      </c>
    </row>
    <row r="38" spans="1:297" x14ac:dyDescent="0.3">
      <c r="A38">
        <v>22</v>
      </c>
      <c r="B38">
        <v>1761680712</v>
      </c>
      <c r="C38">
        <v>3262</v>
      </c>
      <c r="D38" t="s">
        <v>530</v>
      </c>
      <c r="E38" t="s">
        <v>531</v>
      </c>
      <c r="F38">
        <v>5</v>
      </c>
      <c r="G38" t="s">
        <v>495</v>
      </c>
      <c r="H38" t="s">
        <v>436</v>
      </c>
      <c r="I38">
        <v>1761680704.25</v>
      </c>
      <c r="J38">
        <f t="shared" si="0"/>
        <v>7.5738441232520474E-4</v>
      </c>
      <c r="K38">
        <f t="shared" si="1"/>
        <v>0.7573844123252047</v>
      </c>
      <c r="L38">
        <f t="shared" si="2"/>
        <v>-1.194939765495004</v>
      </c>
      <c r="M38">
        <f t="shared" si="3"/>
        <v>420.97606666666678</v>
      </c>
      <c r="N38">
        <f t="shared" si="4"/>
        <v>444.02583610372642</v>
      </c>
      <c r="O38">
        <f t="shared" si="5"/>
        <v>40.428723075576549</v>
      </c>
      <c r="P38">
        <f t="shared" si="6"/>
        <v>38.330032707232576</v>
      </c>
      <c r="Q38">
        <f t="shared" si="7"/>
        <v>6.0837645195569202E-2</v>
      </c>
      <c r="R38">
        <f t="shared" si="8"/>
        <v>2.7673207041164383</v>
      </c>
      <c r="S38">
        <f t="shared" si="9"/>
        <v>6.0104271551666845E-2</v>
      </c>
      <c r="T38">
        <f t="shared" si="10"/>
        <v>3.7630323763910102E-2</v>
      </c>
      <c r="U38">
        <f t="shared" si="11"/>
        <v>107.20058202539306</v>
      </c>
      <c r="V38">
        <f t="shared" si="12"/>
        <v>18.91828491796252</v>
      </c>
      <c r="W38">
        <f t="shared" si="13"/>
        <v>18.91828491796252</v>
      </c>
      <c r="X38">
        <f t="shared" si="14"/>
        <v>2.19396081200729</v>
      </c>
      <c r="Y38">
        <f t="shared" si="15"/>
        <v>50.066195533114922</v>
      </c>
      <c r="Z38">
        <f t="shared" si="16"/>
        <v>1.0671660462931711</v>
      </c>
      <c r="AA38">
        <f t="shared" si="17"/>
        <v>2.1315101635540157</v>
      </c>
      <c r="AB38">
        <f t="shared" si="18"/>
        <v>1.1267947657141189</v>
      </c>
      <c r="AC38">
        <f t="shared" si="19"/>
        <v>-33.400652583541529</v>
      </c>
      <c r="AD38">
        <f t="shared" si="20"/>
        <v>-68.874628021590169</v>
      </c>
      <c r="AE38">
        <f t="shared" si="21"/>
        <v>-4.9370158998026161</v>
      </c>
      <c r="AF38">
        <f t="shared" si="22"/>
        <v>-1.1714479541254263E-2</v>
      </c>
      <c r="AG38">
        <f t="shared" si="23"/>
        <v>-1.1107084678659547</v>
      </c>
      <c r="AH38">
        <f t="shared" si="24"/>
        <v>0.75262392607193673</v>
      </c>
      <c r="AI38">
        <f t="shared" si="25"/>
        <v>-1.194939765495004</v>
      </c>
      <c r="AJ38">
        <v>424.68919087331022</v>
      </c>
      <c r="AK38">
        <v>426.0783393939393</v>
      </c>
      <c r="AL38">
        <v>1.2350026887432241E-2</v>
      </c>
      <c r="AM38">
        <v>65.135956036091045</v>
      </c>
      <c r="AN38">
        <f t="shared" si="26"/>
        <v>0.7573844123252047</v>
      </c>
      <c r="AO38">
        <v>10.826661417150611</v>
      </c>
      <c r="AP38">
        <v>11.72469790209791</v>
      </c>
      <c r="AQ38">
        <v>1.7229523429742679E-5</v>
      </c>
      <c r="AR38">
        <v>96.735478278444774</v>
      </c>
      <c r="AS38">
        <v>2</v>
      </c>
      <c r="AT38">
        <v>0</v>
      </c>
      <c r="AU38">
        <f t="shared" si="27"/>
        <v>1</v>
      </c>
      <c r="AV38">
        <f t="shared" si="28"/>
        <v>0</v>
      </c>
      <c r="AW38">
        <f t="shared" si="29"/>
        <v>49543.120809078129</v>
      </c>
      <c r="AX38" t="s">
        <v>532</v>
      </c>
      <c r="AY38">
        <v>5015.3900000000003</v>
      </c>
      <c r="AZ38">
        <v>720.62307692307695</v>
      </c>
      <c r="BA38">
        <v>1722.6585452279171</v>
      </c>
      <c r="BB38">
        <f t="shared" si="30"/>
        <v>0.58167967823958144</v>
      </c>
      <c r="BC38">
        <v>-1.1949397654950511</v>
      </c>
      <c r="BD38" t="s">
        <v>491</v>
      </c>
      <c r="BE38" t="s">
        <v>491</v>
      </c>
      <c r="BF38">
        <v>0</v>
      </c>
      <c r="BG38">
        <v>0</v>
      </c>
      <c r="BH38" t="e">
        <f t="shared" si="31"/>
        <v>#DIV/0!</v>
      </c>
      <c r="BI38">
        <v>0.5</v>
      </c>
      <c r="BJ38">
        <f t="shared" si="48"/>
        <v>453.40058823392138</v>
      </c>
      <c r="BK38">
        <f t="shared" si="32"/>
        <v>-1.194939765495004</v>
      </c>
      <c r="BL38" t="e">
        <f t="shared" si="49"/>
        <v>#DIV/0!</v>
      </c>
      <c r="BM38">
        <f t="shared" si="33"/>
        <v>1.0382310359910736E-16</v>
      </c>
      <c r="BN38" t="e">
        <f t="shared" si="34"/>
        <v>#DIV/0!</v>
      </c>
      <c r="BO38" t="e">
        <f t="shared" si="35"/>
        <v>#DIV/0!</v>
      </c>
      <c r="BP38" t="s">
        <v>491</v>
      </c>
      <c r="BQ38">
        <v>0</v>
      </c>
      <c r="BR38" t="e">
        <f t="shared" si="36"/>
        <v>#DIV/0!</v>
      </c>
      <c r="BS38" t="e">
        <f t="shared" si="37"/>
        <v>#DIV/0!</v>
      </c>
      <c r="BT38" t="e">
        <f t="shared" si="38"/>
        <v>#DIV/0!</v>
      </c>
      <c r="BU38" t="e">
        <f t="shared" si="39"/>
        <v>#DIV/0!</v>
      </c>
      <c r="BV38">
        <f t="shared" si="40"/>
        <v>0</v>
      </c>
      <c r="BW38">
        <f t="shared" si="41"/>
        <v>1.7191592510614089</v>
      </c>
      <c r="BX38" t="e">
        <f t="shared" si="42"/>
        <v>#DIV/0!</v>
      </c>
      <c r="BY38" t="e">
        <f t="shared" si="43"/>
        <v>#DIV/0!</v>
      </c>
      <c r="BZ38">
        <v>408</v>
      </c>
      <c r="CA38">
        <v>290.00000000000011</v>
      </c>
      <c r="CB38">
        <v>1671.08</v>
      </c>
      <c r="CC38">
        <v>295</v>
      </c>
      <c r="CD38">
        <v>5015.3900000000003</v>
      </c>
      <c r="CE38">
        <v>1670.78</v>
      </c>
      <c r="CF38">
        <v>0.3</v>
      </c>
      <c r="CG38">
        <v>300.00000000000011</v>
      </c>
      <c r="CH38">
        <v>23.9</v>
      </c>
      <c r="CI38">
        <v>1722.6585452279171</v>
      </c>
      <c r="CJ38">
        <v>1.355827190557553</v>
      </c>
      <c r="CK38">
        <v>-26.01868771412936</v>
      </c>
      <c r="CL38">
        <v>0.58913134414527624</v>
      </c>
      <c r="CM38">
        <v>0.98584788264377965</v>
      </c>
      <c r="CN38">
        <v>-4.1517414905450512E-3</v>
      </c>
      <c r="CO38">
        <v>289.99999999999989</v>
      </c>
      <c r="CP38">
        <v>1668.12</v>
      </c>
      <c r="CQ38">
        <v>685</v>
      </c>
      <c r="CR38">
        <v>5015.22</v>
      </c>
      <c r="CS38">
        <v>1670.78</v>
      </c>
      <c r="CT38">
        <v>-2.66</v>
      </c>
      <c r="DH38">
        <f t="shared" si="44"/>
        <v>1076.9550005600001</v>
      </c>
      <c r="DI38">
        <f t="shared" si="45"/>
        <v>453.40058823392138</v>
      </c>
      <c r="DJ38">
        <f t="shared" si="46"/>
        <v>0.42100235200000002</v>
      </c>
      <c r="DK38">
        <f t="shared" si="47"/>
        <v>9.9540446879999994E-2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1761680704.25</v>
      </c>
      <c r="DR38">
        <v>420.97606666666678</v>
      </c>
      <c r="DS38">
        <v>420.02346666666671</v>
      </c>
      <c r="DT38">
        <v>11.720610000000001</v>
      </c>
      <c r="DU38">
        <v>10.82809</v>
      </c>
      <c r="DV38">
        <v>420.13793333333331</v>
      </c>
      <c r="DW38">
        <v>11.62254333333334</v>
      </c>
      <c r="DX38">
        <v>500.02423333333343</v>
      </c>
      <c r="DY38">
        <v>91.030519999999996</v>
      </c>
      <c r="DZ38">
        <v>1.986443333333333E-2</v>
      </c>
      <c r="EA38">
        <v>18.45663333333334</v>
      </c>
      <c r="EB38">
        <v>17.986953333333339</v>
      </c>
      <c r="EC38">
        <v>999.9000000000002</v>
      </c>
      <c r="ED38">
        <v>0</v>
      </c>
      <c r="EE38">
        <v>0</v>
      </c>
      <c r="EF38">
        <v>9999.5393333333323</v>
      </c>
      <c r="EG38">
        <v>0</v>
      </c>
      <c r="EH38">
        <v>1076.95</v>
      </c>
      <c r="EI38">
        <v>0.95243893333333329</v>
      </c>
      <c r="EJ38">
        <v>425.96859999999998</v>
      </c>
      <c r="EK38">
        <v>424.62139999999999</v>
      </c>
      <c r="EL38">
        <v>0.89252446666666674</v>
      </c>
      <c r="EM38">
        <v>420.02346666666671</v>
      </c>
      <c r="EN38">
        <v>10.82809</v>
      </c>
      <c r="EO38">
        <v>1.066933333333334</v>
      </c>
      <c r="EP38">
        <v>0.98568653333333323</v>
      </c>
      <c r="EQ38">
        <v>7.8639469999999978</v>
      </c>
      <c r="ER38">
        <v>6.7065059999999983</v>
      </c>
      <c r="ES38">
        <v>5.0005599999999976E-3</v>
      </c>
      <c r="ET38">
        <v>0</v>
      </c>
      <c r="EU38">
        <v>0</v>
      </c>
      <c r="EV38">
        <v>0</v>
      </c>
      <c r="EW38">
        <v>720.47333333333347</v>
      </c>
      <c r="EX38">
        <v>5.0005599999999976E-3</v>
      </c>
      <c r="EY38">
        <v>146.00333333333339</v>
      </c>
      <c r="EZ38">
        <v>-1.586666666666666</v>
      </c>
      <c r="FA38">
        <v>34.099799999999988</v>
      </c>
      <c r="FB38">
        <v>38.003866666666653</v>
      </c>
      <c r="FC38">
        <v>36.195599999999992</v>
      </c>
      <c r="FD38">
        <v>36.941399999999987</v>
      </c>
      <c r="FE38">
        <v>35.545666666666662</v>
      </c>
      <c r="FF38">
        <v>0</v>
      </c>
      <c r="FG38">
        <v>0</v>
      </c>
      <c r="FH38">
        <v>0</v>
      </c>
      <c r="FI38">
        <v>127.4000000953674</v>
      </c>
      <c r="FJ38">
        <v>0</v>
      </c>
      <c r="FK38">
        <v>720.62307692307695</v>
      </c>
      <c r="FL38">
        <v>-1.1076923780415371</v>
      </c>
      <c r="FM38">
        <v>1.770939315329614</v>
      </c>
      <c r="FN38">
        <v>145.9769230769231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0.94501304878048786</v>
      </c>
      <c r="GD38">
        <v>0.15454576306620299</v>
      </c>
      <c r="GE38">
        <v>4.2089937999798578E-2</v>
      </c>
      <c r="GF38">
        <v>1</v>
      </c>
      <c r="GG38">
        <v>719.99411764705894</v>
      </c>
      <c r="GH38">
        <v>7.4957982209436844</v>
      </c>
      <c r="GI38">
        <v>5.6858410923394249</v>
      </c>
      <c r="GJ38">
        <v>0</v>
      </c>
      <c r="GK38">
        <v>0.89041758536585358</v>
      </c>
      <c r="GL38">
        <v>4.3981296167249162E-2</v>
      </c>
      <c r="GM38">
        <v>4.5090780463503243E-3</v>
      </c>
      <c r="GN38">
        <v>1</v>
      </c>
      <c r="GO38">
        <v>2</v>
      </c>
      <c r="GP38">
        <v>3</v>
      </c>
      <c r="GQ38" t="s">
        <v>479</v>
      </c>
      <c r="GR38">
        <v>3.13239</v>
      </c>
      <c r="GS38">
        <v>2.69753</v>
      </c>
      <c r="GT38">
        <v>8.7392800000000007E-2</v>
      </c>
      <c r="GU38">
        <v>8.7808999999999998E-2</v>
      </c>
      <c r="GV38">
        <v>6.5098100000000006E-2</v>
      </c>
      <c r="GW38">
        <v>6.1886799999999999E-2</v>
      </c>
      <c r="GX38">
        <v>27762</v>
      </c>
      <c r="GY38">
        <v>26761.1</v>
      </c>
      <c r="GZ38">
        <v>30941.9</v>
      </c>
      <c r="HA38">
        <v>29566.3</v>
      </c>
      <c r="HB38">
        <v>39877.599999999999</v>
      </c>
      <c r="HC38">
        <v>36512</v>
      </c>
      <c r="HD38">
        <v>47264.4</v>
      </c>
      <c r="HE38">
        <v>43944.7</v>
      </c>
      <c r="HF38">
        <v>1.8925000000000001</v>
      </c>
      <c r="HG38">
        <v>1.9187000000000001</v>
      </c>
      <c r="HH38">
        <v>1.4901200000000001E-5</v>
      </c>
      <c r="HI38">
        <v>0</v>
      </c>
      <c r="HJ38">
        <v>17.972300000000001</v>
      </c>
      <c r="HK38">
        <v>999.9</v>
      </c>
      <c r="HL38">
        <v>28.6</v>
      </c>
      <c r="HM38">
        <v>30</v>
      </c>
      <c r="HN38">
        <v>13.3879</v>
      </c>
      <c r="HO38">
        <v>63.578899999999997</v>
      </c>
      <c r="HP38">
        <v>19.102599999999999</v>
      </c>
      <c r="HQ38">
        <v>1</v>
      </c>
      <c r="HR38">
        <v>-0.26954499999999998</v>
      </c>
      <c r="HS38">
        <v>2.1514500000000001</v>
      </c>
      <c r="HT38">
        <v>20.2105</v>
      </c>
      <c r="HU38">
        <v>5.2354099999999999</v>
      </c>
      <c r="HV38">
        <v>11.974</v>
      </c>
      <c r="HW38">
        <v>4.9732000000000003</v>
      </c>
      <c r="HX38">
        <v>3.2909999999999999</v>
      </c>
      <c r="HY38">
        <v>9999</v>
      </c>
      <c r="HZ38">
        <v>9999</v>
      </c>
      <c r="IA38">
        <v>9999</v>
      </c>
      <c r="IB38">
        <v>999.9</v>
      </c>
      <c r="IC38">
        <v>4.9729099999999997</v>
      </c>
      <c r="ID38">
        <v>1.87714</v>
      </c>
      <c r="IE38">
        <v>1.8752800000000001</v>
      </c>
      <c r="IF38">
        <v>1.8780600000000001</v>
      </c>
      <c r="IG38">
        <v>1.8748199999999999</v>
      </c>
      <c r="IH38">
        <v>1.87839</v>
      </c>
      <c r="II38">
        <v>1.87551</v>
      </c>
      <c r="IJ38">
        <v>1.8766799999999999</v>
      </c>
      <c r="IK38">
        <v>0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0.83799999999999997</v>
      </c>
      <c r="IY38">
        <v>9.8199999999999996E-2</v>
      </c>
      <c r="IZ38">
        <v>6.1933660764125778E-2</v>
      </c>
      <c r="JA38">
        <v>2.058711587971173E-3</v>
      </c>
      <c r="JB38">
        <v>-6.1309262243104059E-7</v>
      </c>
      <c r="JC38">
        <v>2.6183910446277612E-10</v>
      </c>
      <c r="JD38">
        <v>3.5078820932035488E-4</v>
      </c>
      <c r="JE38">
        <v>-4.3284922736758413E-3</v>
      </c>
      <c r="JF38">
        <v>1.4186339569364E-3</v>
      </c>
      <c r="JG38">
        <v>-2.7770646863349432E-5</v>
      </c>
      <c r="JH38">
        <v>2</v>
      </c>
      <c r="JI38">
        <v>2136</v>
      </c>
      <c r="JJ38">
        <v>1</v>
      </c>
      <c r="JK38">
        <v>19</v>
      </c>
      <c r="JL38">
        <v>29361345.199999999</v>
      </c>
      <c r="JM38">
        <v>29361345.199999999</v>
      </c>
      <c r="JN38">
        <v>1.09985</v>
      </c>
      <c r="JO38">
        <v>2.5476100000000002</v>
      </c>
      <c r="JP38">
        <v>1.39893</v>
      </c>
      <c r="JQ38">
        <v>2.32178</v>
      </c>
      <c r="JR38">
        <v>1.4489700000000001</v>
      </c>
      <c r="JS38">
        <v>2.4438499999999999</v>
      </c>
      <c r="JT38">
        <v>35.637999999999998</v>
      </c>
      <c r="JU38">
        <v>23.9299</v>
      </c>
      <c r="JV38">
        <v>18</v>
      </c>
      <c r="JW38">
        <v>478.15100000000001</v>
      </c>
      <c r="JX38">
        <v>463.53699999999998</v>
      </c>
      <c r="JY38">
        <v>15.4262</v>
      </c>
      <c r="JZ38">
        <v>23.514399999999998</v>
      </c>
      <c r="KA38">
        <v>29.9999</v>
      </c>
      <c r="KB38">
        <v>23.323399999999999</v>
      </c>
      <c r="KC38">
        <v>23.4129</v>
      </c>
      <c r="KD38">
        <v>22.0579</v>
      </c>
      <c r="KE38">
        <v>14.561500000000001</v>
      </c>
      <c r="KF38">
        <v>27.483499999999999</v>
      </c>
      <c r="KG38">
        <v>15.4474</v>
      </c>
      <c r="KH38">
        <v>420</v>
      </c>
      <c r="KI38">
        <v>10.7882</v>
      </c>
      <c r="KJ38">
        <v>102.20099999999999</v>
      </c>
      <c r="KK38">
        <v>101.07</v>
      </c>
    </row>
    <row r="39" spans="1:297" x14ac:dyDescent="0.3">
      <c r="A39">
        <v>23</v>
      </c>
      <c r="B39">
        <v>1761681400.5</v>
      </c>
      <c r="C39">
        <v>3950.5</v>
      </c>
      <c r="D39" t="s">
        <v>533</v>
      </c>
      <c r="E39" t="s">
        <v>534</v>
      </c>
      <c r="F39">
        <v>5</v>
      </c>
      <c r="G39" t="s">
        <v>535</v>
      </c>
      <c r="H39" t="s">
        <v>436</v>
      </c>
      <c r="I39">
        <v>1761681392.5</v>
      </c>
      <c r="J39">
        <f t="shared" si="0"/>
        <v>1.8107921375659763E-3</v>
      </c>
      <c r="K39">
        <f t="shared" si="1"/>
        <v>1.8107921375659763</v>
      </c>
      <c r="L39">
        <f t="shared" si="2"/>
        <v>10.038503052535912</v>
      </c>
      <c r="M39">
        <f t="shared" si="3"/>
        <v>407.05874193548379</v>
      </c>
      <c r="N39">
        <f t="shared" si="4"/>
        <v>261.00350702302313</v>
      </c>
      <c r="O39">
        <f t="shared" si="5"/>
        <v>23.765838083055833</v>
      </c>
      <c r="P39">
        <f t="shared" si="6"/>
        <v>37.06498913165089</v>
      </c>
      <c r="Q39">
        <f t="shared" si="7"/>
        <v>0.11897623091537778</v>
      </c>
      <c r="R39">
        <f t="shared" si="8"/>
        <v>2.7673182097060356</v>
      </c>
      <c r="S39">
        <f t="shared" si="9"/>
        <v>0.11620583726066741</v>
      </c>
      <c r="T39">
        <f t="shared" si="10"/>
        <v>7.2872184231016754E-2</v>
      </c>
      <c r="U39">
        <f t="shared" si="11"/>
        <v>541.65924199843926</v>
      </c>
      <c r="V39">
        <f t="shared" si="12"/>
        <v>20.26479239943561</v>
      </c>
      <c r="W39">
        <f t="shared" si="13"/>
        <v>20.26479239943561</v>
      </c>
      <c r="X39">
        <f t="shared" si="14"/>
        <v>2.3853690059479948</v>
      </c>
      <c r="Y39">
        <f t="shared" si="15"/>
        <v>49.861680096821139</v>
      </c>
      <c r="Z39">
        <f t="shared" si="16"/>
        <v>0.99280359111877059</v>
      </c>
      <c r="AA39">
        <f t="shared" si="17"/>
        <v>1.9911154000245279</v>
      </c>
      <c r="AB39">
        <f t="shared" si="18"/>
        <v>1.3925654148292241</v>
      </c>
      <c r="AC39">
        <f t="shared" si="19"/>
        <v>-79.855933266659548</v>
      </c>
      <c r="AD39">
        <f t="shared" si="20"/>
        <v>-431.30280915321396</v>
      </c>
      <c r="AE39">
        <f t="shared" si="21"/>
        <v>-30.959019874770917</v>
      </c>
      <c r="AF39">
        <f t="shared" si="22"/>
        <v>-0.45852029620516532</v>
      </c>
      <c r="AG39">
        <f t="shared" si="23"/>
        <v>10.049092500369888</v>
      </c>
      <c r="AH39">
        <f t="shared" si="24"/>
        <v>1.7943187411180264</v>
      </c>
      <c r="AI39">
        <f t="shared" si="25"/>
        <v>10.038503052535912</v>
      </c>
      <c r="AJ39">
        <v>423.71443030358728</v>
      </c>
      <c r="AK39">
        <v>411.56140606060598</v>
      </c>
      <c r="AL39">
        <v>1.070145571619593E-4</v>
      </c>
      <c r="AM39">
        <v>65.162009686645987</v>
      </c>
      <c r="AN39">
        <f t="shared" si="26"/>
        <v>1.8107921375659763</v>
      </c>
      <c r="AO39">
        <v>8.7632178614318281</v>
      </c>
      <c r="AP39">
        <v>10.912386013986019</v>
      </c>
      <c r="AQ39">
        <v>1.6602197184836501E-6</v>
      </c>
      <c r="AR39">
        <v>96.700883989501207</v>
      </c>
      <c r="AS39">
        <v>0</v>
      </c>
      <c r="AT39">
        <v>0</v>
      </c>
      <c r="AU39">
        <f t="shared" si="27"/>
        <v>1</v>
      </c>
      <c r="AV39">
        <f t="shared" si="28"/>
        <v>0</v>
      </c>
      <c r="AW39">
        <f t="shared" si="29"/>
        <v>49727.900037633575</v>
      </c>
      <c r="AX39" t="s">
        <v>532</v>
      </c>
      <c r="AY39">
        <v>5015.3900000000003</v>
      </c>
      <c r="AZ39">
        <v>720.62307692307695</v>
      </c>
      <c r="BA39">
        <v>1722.6585452279171</v>
      </c>
      <c r="BB39">
        <f t="shared" si="30"/>
        <v>0.58167967823958144</v>
      </c>
      <c r="BC39">
        <v>-1.1949397654950511</v>
      </c>
      <c r="BD39" t="s">
        <v>536</v>
      </c>
      <c r="BE39">
        <v>5062.99</v>
      </c>
      <c r="BF39">
        <v>1343.4819230769231</v>
      </c>
      <c r="BG39">
        <v>1449.681016177097</v>
      </c>
      <c r="BH39">
        <f t="shared" si="31"/>
        <v>7.3256869556192372E-2</v>
      </c>
      <c r="BI39">
        <v>0.5</v>
      </c>
      <c r="BJ39">
        <f t="shared" si="48"/>
        <v>2525.6005370123958</v>
      </c>
      <c r="BK39">
        <f t="shared" si="32"/>
        <v>10.038503052535912</v>
      </c>
      <c r="BL39">
        <f t="shared" si="49"/>
        <v>92.508794545483241</v>
      </c>
      <c r="BM39">
        <f t="shared" si="33"/>
        <v>4.4478303886169267E-3</v>
      </c>
      <c r="BN39">
        <f t="shared" si="34"/>
        <v>0.18830178915543747</v>
      </c>
      <c r="BO39">
        <f t="shared" si="35"/>
        <v>668.00408454328908</v>
      </c>
      <c r="BP39" t="s">
        <v>537</v>
      </c>
      <c r="BQ39">
        <v>754.87</v>
      </c>
      <c r="BR39">
        <f t="shared" si="36"/>
        <v>754.87</v>
      </c>
      <c r="BS39">
        <f t="shared" si="37"/>
        <v>0.4792854486081074</v>
      </c>
      <c r="BT39">
        <f t="shared" si="38"/>
        <v>0.15284601226458591</v>
      </c>
      <c r="BU39">
        <f t="shared" si="39"/>
        <v>0.2820631948960845</v>
      </c>
      <c r="BV39">
        <f t="shared" si="40"/>
        <v>0.14566619109701764</v>
      </c>
      <c r="BW39">
        <f t="shared" si="41"/>
        <v>0.27242302062682533</v>
      </c>
      <c r="BX39">
        <f t="shared" si="42"/>
        <v>8.5880477657578266E-2</v>
      </c>
      <c r="BY39">
        <f t="shared" si="43"/>
        <v>0.91411952234242178</v>
      </c>
      <c r="BZ39">
        <v>409</v>
      </c>
      <c r="CA39">
        <v>290.00000000000011</v>
      </c>
      <c r="CB39">
        <v>1403.82</v>
      </c>
      <c r="CC39">
        <v>245</v>
      </c>
      <c r="CD39">
        <v>5062.99</v>
      </c>
      <c r="CE39">
        <v>1402.97</v>
      </c>
      <c r="CF39">
        <v>0.85</v>
      </c>
      <c r="CG39">
        <v>300.00000000000011</v>
      </c>
      <c r="CH39">
        <v>23.9</v>
      </c>
      <c r="CI39">
        <v>1449.681016177097</v>
      </c>
      <c r="CJ39">
        <v>2.1550515808184079</v>
      </c>
      <c r="CK39">
        <v>-23.647896745651469</v>
      </c>
      <c r="CL39">
        <v>1.0054124620007641</v>
      </c>
      <c r="CM39">
        <v>0.95182532703237144</v>
      </c>
      <c r="CN39">
        <v>-2.5336411568409362E-3</v>
      </c>
      <c r="CO39">
        <v>289.99999999999989</v>
      </c>
      <c r="CP39">
        <v>1402.11</v>
      </c>
      <c r="CQ39">
        <v>705</v>
      </c>
      <c r="CR39">
        <v>5062.45</v>
      </c>
      <c r="CS39">
        <v>1402.97</v>
      </c>
      <c r="CT39">
        <v>-0.86</v>
      </c>
      <c r="DH39">
        <f t="shared" si="44"/>
        <v>3078.8770967741939</v>
      </c>
      <c r="DI39">
        <f t="shared" si="45"/>
        <v>2525.6005370123958</v>
      </c>
      <c r="DJ39">
        <f t="shared" si="46"/>
        <v>0.82029923820555295</v>
      </c>
      <c r="DK39">
        <f t="shared" si="47"/>
        <v>0.17592752973671713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1761681392.5</v>
      </c>
      <c r="DR39">
        <v>407.05874193548379</v>
      </c>
      <c r="DS39">
        <v>419.99377419354829</v>
      </c>
      <c r="DT39">
        <v>10.903264516129029</v>
      </c>
      <c r="DU39">
        <v>8.7736164516129023</v>
      </c>
      <c r="DV39">
        <v>406.24406451612901</v>
      </c>
      <c r="DW39">
        <v>10.81885806451613</v>
      </c>
      <c r="DX39">
        <v>500.01354838709659</v>
      </c>
      <c r="DY39">
        <v>91.035387096774187</v>
      </c>
      <c r="DZ39">
        <v>2.0240293548387099E-2</v>
      </c>
      <c r="EA39">
        <v>17.37386129032258</v>
      </c>
      <c r="EB39">
        <v>17.897154838709671</v>
      </c>
      <c r="EC39">
        <v>999.90000000000032</v>
      </c>
      <c r="ED39">
        <v>0</v>
      </c>
      <c r="EE39">
        <v>0</v>
      </c>
      <c r="EF39">
        <v>9998.9900000000016</v>
      </c>
      <c r="EG39">
        <v>0</v>
      </c>
      <c r="EH39">
        <v>1078.8819354838711</v>
      </c>
      <c r="EI39">
        <v>-12.93506774193548</v>
      </c>
      <c r="EJ39">
        <v>411.54590322580651</v>
      </c>
      <c r="EK39">
        <v>423.71135483870972</v>
      </c>
      <c r="EL39">
        <v>2.1296451612903229</v>
      </c>
      <c r="EM39">
        <v>419.99377419354829</v>
      </c>
      <c r="EN39">
        <v>8.7736164516129023</v>
      </c>
      <c r="EO39">
        <v>0.99258267741935469</v>
      </c>
      <c r="EP39">
        <v>0.7987095806451614</v>
      </c>
      <c r="EQ39">
        <v>6.8079529032258064</v>
      </c>
      <c r="ER39">
        <v>3.684373548387097</v>
      </c>
      <c r="ES39">
        <v>1999.995161290323</v>
      </c>
      <c r="ET39">
        <v>0.98000216129032247</v>
      </c>
      <c r="EU39">
        <v>1.9998106451612901E-2</v>
      </c>
      <c r="EV39">
        <v>0</v>
      </c>
      <c r="EW39">
        <v>1343.6841935483869</v>
      </c>
      <c r="EX39">
        <v>5.0005600000000019</v>
      </c>
      <c r="EY39">
        <v>26915.916129032259</v>
      </c>
      <c r="EZ39">
        <v>17294.84516129033</v>
      </c>
      <c r="FA39">
        <v>39.356548387096773</v>
      </c>
      <c r="FB39">
        <v>41.26183870967742</v>
      </c>
      <c r="FC39">
        <v>39.538032258064497</v>
      </c>
      <c r="FD39">
        <v>40.782032258064497</v>
      </c>
      <c r="FE39">
        <v>40.300193548387092</v>
      </c>
      <c r="FF39">
        <v>1955.099032258064</v>
      </c>
      <c r="FG39">
        <v>39.898387096774208</v>
      </c>
      <c r="FH39">
        <v>0</v>
      </c>
      <c r="FI39">
        <v>688</v>
      </c>
      <c r="FJ39">
        <v>0</v>
      </c>
      <c r="FK39">
        <v>1343.4819230769231</v>
      </c>
      <c r="FL39">
        <v>-17.955897447510129</v>
      </c>
      <c r="FM39">
        <v>-282.30427354303572</v>
      </c>
      <c r="FN39">
        <v>26912.93076923077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-12.953900000000001</v>
      </c>
      <c r="GD39">
        <v>0.20621602787456461</v>
      </c>
      <c r="GE39">
        <v>4.4985244193201303E-2</v>
      </c>
      <c r="GF39">
        <v>1</v>
      </c>
      <c r="GG39">
        <v>1344.687941176471</v>
      </c>
      <c r="GH39">
        <v>-16.884186405903591</v>
      </c>
      <c r="GI39">
        <v>1.671872461030306</v>
      </c>
      <c r="GJ39">
        <v>0</v>
      </c>
      <c r="GK39">
        <v>2.1216439024390241</v>
      </c>
      <c r="GL39">
        <v>0.17350097560975189</v>
      </c>
      <c r="GM39">
        <v>1.971958341691888E-2</v>
      </c>
      <c r="GN39">
        <v>0</v>
      </c>
      <c r="GO39">
        <v>1</v>
      </c>
      <c r="GP39">
        <v>3</v>
      </c>
      <c r="GQ39" t="s">
        <v>442</v>
      </c>
      <c r="GR39">
        <v>3.1328399999999998</v>
      </c>
      <c r="GS39">
        <v>2.6978900000000001</v>
      </c>
      <c r="GT39">
        <v>8.5179599999999994E-2</v>
      </c>
      <c r="GU39">
        <v>8.7786500000000003E-2</v>
      </c>
      <c r="GV39">
        <v>6.1707400000000003E-2</v>
      </c>
      <c r="GW39">
        <v>5.2881400000000002E-2</v>
      </c>
      <c r="GX39">
        <v>27819.5</v>
      </c>
      <c r="GY39">
        <v>26754.9</v>
      </c>
      <c r="GZ39">
        <v>30932</v>
      </c>
      <c r="HA39">
        <v>29559.7</v>
      </c>
      <c r="HB39">
        <v>40012.6</v>
      </c>
      <c r="HC39">
        <v>36859.699999999997</v>
      </c>
      <c r="HD39">
        <v>47251.1</v>
      </c>
      <c r="HE39">
        <v>43936.4</v>
      </c>
      <c r="HF39">
        <v>1.8942000000000001</v>
      </c>
      <c r="HG39">
        <v>1.9088799999999999</v>
      </c>
      <c r="HH39">
        <v>7.4632500000000004E-2</v>
      </c>
      <c r="HI39">
        <v>0</v>
      </c>
      <c r="HJ39">
        <v>16.7013</v>
      </c>
      <c r="HK39">
        <v>999.9</v>
      </c>
      <c r="HL39">
        <v>27.3</v>
      </c>
      <c r="HM39">
        <v>30.1</v>
      </c>
      <c r="HN39">
        <v>12.8492</v>
      </c>
      <c r="HO39">
        <v>63.928899999999999</v>
      </c>
      <c r="HP39">
        <v>19.5152</v>
      </c>
      <c r="HQ39">
        <v>1</v>
      </c>
      <c r="HR39">
        <v>-0.25216499999999997</v>
      </c>
      <c r="HS39">
        <v>3.8059500000000002</v>
      </c>
      <c r="HT39">
        <v>20.167100000000001</v>
      </c>
      <c r="HU39">
        <v>5.2396000000000003</v>
      </c>
      <c r="HV39">
        <v>11.974</v>
      </c>
      <c r="HW39">
        <v>4.9731500000000004</v>
      </c>
      <c r="HX39">
        <v>3.2909999999999999</v>
      </c>
      <c r="HY39">
        <v>9999</v>
      </c>
      <c r="HZ39">
        <v>9999</v>
      </c>
      <c r="IA39">
        <v>9999</v>
      </c>
      <c r="IB39">
        <v>999.9</v>
      </c>
      <c r="IC39">
        <v>4.9729099999999997</v>
      </c>
      <c r="ID39">
        <v>1.8772599999999999</v>
      </c>
      <c r="IE39">
        <v>1.87531</v>
      </c>
      <c r="IF39">
        <v>1.8781000000000001</v>
      </c>
      <c r="IG39">
        <v>1.8748499999999999</v>
      </c>
      <c r="IH39">
        <v>1.8785000000000001</v>
      </c>
      <c r="II39">
        <v>1.8755599999999999</v>
      </c>
      <c r="IJ39">
        <v>1.87669</v>
      </c>
      <c r="IK39">
        <v>0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0.81499999999999995</v>
      </c>
      <c r="IY39">
        <v>8.4599999999999995E-2</v>
      </c>
      <c r="IZ39">
        <v>6.1933660764125778E-2</v>
      </c>
      <c r="JA39">
        <v>2.058711587971173E-3</v>
      </c>
      <c r="JB39">
        <v>-6.1309262243104059E-7</v>
      </c>
      <c r="JC39">
        <v>2.6183910446277612E-10</v>
      </c>
      <c r="JD39">
        <v>3.5078820932035488E-4</v>
      </c>
      <c r="JE39">
        <v>-4.3284922736758413E-3</v>
      </c>
      <c r="JF39">
        <v>1.4186339569364E-3</v>
      </c>
      <c r="JG39">
        <v>-2.7770646863349432E-5</v>
      </c>
      <c r="JH39">
        <v>2</v>
      </c>
      <c r="JI39">
        <v>2136</v>
      </c>
      <c r="JJ39">
        <v>1</v>
      </c>
      <c r="JK39">
        <v>19</v>
      </c>
      <c r="JL39">
        <v>29361356.699999999</v>
      </c>
      <c r="JM39">
        <v>29361356.699999999</v>
      </c>
      <c r="JN39">
        <v>1.09863</v>
      </c>
      <c r="JO39">
        <v>2.5390600000000001</v>
      </c>
      <c r="JP39">
        <v>1.39893</v>
      </c>
      <c r="JQ39">
        <v>2.32178</v>
      </c>
      <c r="JR39">
        <v>1.4489700000000001</v>
      </c>
      <c r="JS39">
        <v>2.49756</v>
      </c>
      <c r="JT39">
        <v>35.871099999999998</v>
      </c>
      <c r="JU39">
        <v>23.842300000000002</v>
      </c>
      <c r="JV39">
        <v>18</v>
      </c>
      <c r="JW39">
        <v>479.84699999999998</v>
      </c>
      <c r="JX39">
        <v>458.17099999999999</v>
      </c>
      <c r="JY39">
        <v>11.992800000000001</v>
      </c>
      <c r="JZ39">
        <v>23.726800000000001</v>
      </c>
      <c r="KA39">
        <v>29.999600000000001</v>
      </c>
      <c r="KB39">
        <v>23.435700000000001</v>
      </c>
      <c r="KC39">
        <v>23.503</v>
      </c>
      <c r="KD39">
        <v>22.022400000000001</v>
      </c>
      <c r="KE39">
        <v>25.58</v>
      </c>
      <c r="KF39">
        <v>23.0031</v>
      </c>
      <c r="KG39">
        <v>12.004899999999999</v>
      </c>
      <c r="KH39">
        <v>420</v>
      </c>
      <c r="KI39">
        <v>8.84145</v>
      </c>
      <c r="KJ39">
        <v>102.17100000000001</v>
      </c>
      <c r="KK39">
        <v>101.05</v>
      </c>
    </row>
    <row r="40" spans="1:297" x14ac:dyDescent="0.3">
      <c r="A40">
        <v>24</v>
      </c>
      <c r="B40">
        <v>1761681530</v>
      </c>
      <c r="C40">
        <v>4080</v>
      </c>
      <c r="D40" t="s">
        <v>538</v>
      </c>
      <c r="E40" t="s">
        <v>539</v>
      </c>
      <c r="F40">
        <v>5</v>
      </c>
      <c r="G40" t="s">
        <v>535</v>
      </c>
      <c r="H40" t="s">
        <v>436</v>
      </c>
      <c r="I40">
        <v>1761681522.25</v>
      </c>
      <c r="J40">
        <f t="shared" si="0"/>
        <v>1.5841210054333898E-3</v>
      </c>
      <c r="K40">
        <f t="shared" si="1"/>
        <v>1.5841210054333899</v>
      </c>
      <c r="L40">
        <f t="shared" si="2"/>
        <v>9.7820136197010505</v>
      </c>
      <c r="M40">
        <f t="shared" si="3"/>
        <v>407.51753333333329</v>
      </c>
      <c r="N40">
        <f t="shared" si="4"/>
        <v>247.98131496685929</v>
      </c>
      <c r="O40">
        <f t="shared" si="5"/>
        <v>22.581054633711759</v>
      </c>
      <c r="P40">
        <f t="shared" si="6"/>
        <v>37.108342963764223</v>
      </c>
      <c r="Q40">
        <f t="shared" si="7"/>
        <v>0.10517589257596802</v>
      </c>
      <c r="R40">
        <f t="shared" si="8"/>
        <v>2.7685168290393478</v>
      </c>
      <c r="S40">
        <f t="shared" si="9"/>
        <v>0.10300551494124632</v>
      </c>
      <c r="T40">
        <f t="shared" si="10"/>
        <v>6.4569716347123107E-2</v>
      </c>
      <c r="U40">
        <f t="shared" si="11"/>
        <v>506.65171728317421</v>
      </c>
      <c r="V40">
        <f t="shared" si="12"/>
        <v>20.220024599960979</v>
      </c>
      <c r="W40">
        <f t="shared" si="13"/>
        <v>20.220024599960979</v>
      </c>
      <c r="X40">
        <f t="shared" si="14"/>
        <v>2.3787775153395465</v>
      </c>
      <c r="Y40">
        <f t="shared" si="15"/>
        <v>50.084394195407825</v>
      </c>
      <c r="Z40">
        <f t="shared" si="16"/>
        <v>1.0043890204984431</v>
      </c>
      <c r="AA40">
        <f t="shared" si="17"/>
        <v>2.0053931701354877</v>
      </c>
      <c r="AB40">
        <f t="shared" si="18"/>
        <v>1.3743884948411034</v>
      </c>
      <c r="AC40">
        <f t="shared" si="19"/>
        <v>-69.859736339612496</v>
      </c>
      <c r="AD40">
        <f t="shared" si="20"/>
        <v>-407.92357059513523</v>
      </c>
      <c r="AE40">
        <f t="shared" si="21"/>
        <v>-29.278383612627213</v>
      </c>
      <c r="AF40">
        <f t="shared" si="22"/>
        <v>-0.40997326420074387</v>
      </c>
      <c r="AG40">
        <f t="shared" si="23"/>
        <v>9.7833379213057992</v>
      </c>
      <c r="AH40">
        <f t="shared" si="24"/>
        <v>1.577291544992101</v>
      </c>
      <c r="AI40">
        <f t="shared" si="25"/>
        <v>9.7820136197010505</v>
      </c>
      <c r="AJ40">
        <v>423.93540265195719</v>
      </c>
      <c r="AK40">
        <v>412.08081212121209</v>
      </c>
      <c r="AL40">
        <v>1.5832227023742219E-3</v>
      </c>
      <c r="AM40">
        <v>65.162009686645987</v>
      </c>
      <c r="AN40">
        <f t="shared" si="26"/>
        <v>1.5841210054333899</v>
      </c>
      <c r="AO40">
        <v>9.1588537522960429</v>
      </c>
      <c r="AP40">
        <v>11.03849580419581</v>
      </c>
      <c r="AQ40">
        <v>4.1777621460826461E-5</v>
      </c>
      <c r="AR40">
        <v>96.700883989501207</v>
      </c>
      <c r="AS40">
        <v>1</v>
      </c>
      <c r="AT40">
        <v>0</v>
      </c>
      <c r="AU40">
        <f t="shared" si="27"/>
        <v>1</v>
      </c>
      <c r="AV40">
        <f t="shared" si="28"/>
        <v>0</v>
      </c>
      <c r="AW40">
        <f t="shared" si="29"/>
        <v>49742.334894415762</v>
      </c>
      <c r="AX40" t="s">
        <v>532</v>
      </c>
      <c r="AY40">
        <v>5015.3900000000003</v>
      </c>
      <c r="AZ40">
        <v>720.62307692307695</v>
      </c>
      <c r="BA40">
        <v>1722.6585452279171</v>
      </c>
      <c r="BB40">
        <f t="shared" si="30"/>
        <v>0.58167967823958144</v>
      </c>
      <c r="BC40">
        <v>-1.1949397654950511</v>
      </c>
      <c r="BD40" t="s">
        <v>540</v>
      </c>
      <c r="BE40">
        <v>5065.53</v>
      </c>
      <c r="BF40">
        <v>1316.0196000000001</v>
      </c>
      <c r="BG40">
        <v>1432.67796516465</v>
      </c>
      <c r="BH40">
        <f t="shared" si="31"/>
        <v>8.1426788155594343E-2</v>
      </c>
      <c r="BI40">
        <v>0.5</v>
      </c>
      <c r="BJ40">
        <f t="shared" si="48"/>
        <v>2361.6853355094167</v>
      </c>
      <c r="BK40">
        <f t="shared" si="32"/>
        <v>9.7820136197010505</v>
      </c>
      <c r="BL40">
        <f t="shared" si="49"/>
        <v>96.152225752349509</v>
      </c>
      <c r="BM40">
        <f t="shared" si="33"/>
        <v>4.6479322287989594E-3</v>
      </c>
      <c r="BN40">
        <f t="shared" si="34"/>
        <v>0.20240457877771659</v>
      </c>
      <c r="BO40">
        <f t="shared" si="35"/>
        <v>664.37083271855636</v>
      </c>
      <c r="BP40" t="s">
        <v>541</v>
      </c>
      <c r="BQ40">
        <v>752.73</v>
      </c>
      <c r="BR40">
        <f t="shared" si="36"/>
        <v>752.73</v>
      </c>
      <c r="BS40">
        <f t="shared" si="37"/>
        <v>0.47459930402887662</v>
      </c>
      <c r="BT40">
        <f t="shared" si="38"/>
        <v>0.17156954817329439</v>
      </c>
      <c r="BU40">
        <f t="shared" si="39"/>
        <v>0.29897107523021343</v>
      </c>
      <c r="BV40">
        <f t="shared" si="40"/>
        <v>0.16383338853657611</v>
      </c>
      <c r="BW40">
        <f t="shared" si="41"/>
        <v>0.28939153277062341</v>
      </c>
      <c r="BX40">
        <f t="shared" si="42"/>
        <v>9.813345180914014E-2</v>
      </c>
      <c r="BY40">
        <f t="shared" si="43"/>
        <v>0.90186654819085987</v>
      </c>
      <c r="BZ40">
        <v>411</v>
      </c>
      <c r="CA40">
        <v>290.00000000000011</v>
      </c>
      <c r="CB40">
        <v>1387.14</v>
      </c>
      <c r="CC40">
        <v>295</v>
      </c>
      <c r="CD40">
        <v>5065.53</v>
      </c>
      <c r="CE40">
        <v>1386.63</v>
      </c>
      <c r="CF40">
        <v>0.51</v>
      </c>
      <c r="CG40">
        <v>300.00000000000011</v>
      </c>
      <c r="CH40">
        <v>23.9</v>
      </c>
      <c r="CI40">
        <v>1432.67796516465</v>
      </c>
      <c r="CJ40">
        <v>2.4417776375427258</v>
      </c>
      <c r="CK40">
        <v>-23.325300748024279</v>
      </c>
      <c r="CL40">
        <v>1.133172592954526</v>
      </c>
      <c r="CM40">
        <v>0.93801247913601771</v>
      </c>
      <c r="CN40">
        <v>-2.7004042269187989E-3</v>
      </c>
      <c r="CO40">
        <v>289.99999999999989</v>
      </c>
      <c r="CP40">
        <v>1385.55</v>
      </c>
      <c r="CQ40">
        <v>635</v>
      </c>
      <c r="CR40">
        <v>5065.51</v>
      </c>
      <c r="CS40">
        <v>1386.63</v>
      </c>
      <c r="CT40">
        <v>-1.08</v>
      </c>
      <c r="DH40">
        <f t="shared" si="44"/>
        <v>2878.9490000000001</v>
      </c>
      <c r="DI40">
        <f t="shared" si="45"/>
        <v>2361.6853355094167</v>
      </c>
      <c r="DJ40">
        <f t="shared" si="46"/>
        <v>0.82032899350055066</v>
      </c>
      <c r="DK40">
        <f t="shared" si="47"/>
        <v>0.17598495745606269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1761681522.25</v>
      </c>
      <c r="DR40">
        <v>407.51753333333329</v>
      </c>
      <c r="DS40">
        <v>420.02876666666663</v>
      </c>
      <c r="DT40">
        <v>11.03003</v>
      </c>
      <c r="DU40">
        <v>9.1581723333333347</v>
      </c>
      <c r="DV40">
        <v>406.70206666666672</v>
      </c>
      <c r="DW40">
        <v>10.943553333333339</v>
      </c>
      <c r="DX40">
        <v>500.00403333333338</v>
      </c>
      <c r="DY40">
        <v>91.038463333333311</v>
      </c>
      <c r="DZ40">
        <v>2.1037003333333339E-2</v>
      </c>
      <c r="EA40">
        <v>17.486983333333331</v>
      </c>
      <c r="EB40">
        <v>18.01714333333333</v>
      </c>
      <c r="EC40">
        <v>999.9000000000002</v>
      </c>
      <c r="ED40">
        <v>0</v>
      </c>
      <c r="EE40">
        <v>0</v>
      </c>
      <c r="EF40">
        <v>10005.72666666666</v>
      </c>
      <c r="EG40">
        <v>0</v>
      </c>
      <c r="EH40">
        <v>1078.914</v>
      </c>
      <c r="EI40">
        <v>-12.51128666666667</v>
      </c>
      <c r="EJ40">
        <v>412.0626666666667</v>
      </c>
      <c r="EK40">
        <v>423.91103333333331</v>
      </c>
      <c r="EL40">
        <v>1.8718563333333329</v>
      </c>
      <c r="EM40">
        <v>420.02876666666663</v>
      </c>
      <c r="EN40">
        <v>9.1581723333333347</v>
      </c>
      <c r="EO40">
        <v>1.004157</v>
      </c>
      <c r="EP40">
        <v>0.83374586666666695</v>
      </c>
      <c r="EQ40">
        <v>6.9768323333333342</v>
      </c>
      <c r="ER40">
        <v>4.2952079999999997</v>
      </c>
      <c r="ES40">
        <v>1800.0350000000001</v>
      </c>
      <c r="ET40">
        <v>0.97800670000000012</v>
      </c>
      <c r="EU40">
        <v>2.1993550000000011E-2</v>
      </c>
      <c r="EV40">
        <v>0</v>
      </c>
      <c r="EW40">
        <v>1316.077666666667</v>
      </c>
      <c r="EX40">
        <v>5.0005600000000019</v>
      </c>
      <c r="EY40">
        <v>23704.26</v>
      </c>
      <c r="EZ40">
        <v>15551.5</v>
      </c>
      <c r="FA40">
        <v>39.578999999999994</v>
      </c>
      <c r="FB40">
        <v>40.25386666666666</v>
      </c>
      <c r="FC40">
        <v>39.626799999999989</v>
      </c>
      <c r="FD40">
        <v>39.16846666666666</v>
      </c>
      <c r="FE40">
        <v>39.612199999999987</v>
      </c>
      <c r="FF40">
        <v>1755.5550000000001</v>
      </c>
      <c r="FG40">
        <v>39.479999999999997</v>
      </c>
      <c r="FH40">
        <v>0</v>
      </c>
      <c r="FI40">
        <v>127.4000000953674</v>
      </c>
      <c r="FJ40">
        <v>0</v>
      </c>
      <c r="FK40">
        <v>1316.0196000000001</v>
      </c>
      <c r="FL40">
        <v>-10.294615360670299</v>
      </c>
      <c r="FM40">
        <v>-238.39230724674559</v>
      </c>
      <c r="FN40">
        <v>23702.2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-12.502789999999999</v>
      </c>
      <c r="GD40">
        <v>-0.14237898686681211</v>
      </c>
      <c r="GE40">
        <v>3.2307629129974778E-2</v>
      </c>
      <c r="GF40">
        <v>1</v>
      </c>
      <c r="GG40">
        <v>1316.7664705882351</v>
      </c>
      <c r="GH40">
        <v>-11.383346062438701</v>
      </c>
      <c r="GI40">
        <v>1.1379493484875209</v>
      </c>
      <c r="GJ40">
        <v>0</v>
      </c>
      <c r="GK40">
        <v>1.8737872499999999</v>
      </c>
      <c r="GL40">
        <v>-1.102525328330909E-2</v>
      </c>
      <c r="GM40">
        <v>7.6765672626181126E-3</v>
      </c>
      <c r="GN40">
        <v>1</v>
      </c>
      <c r="GO40">
        <v>2</v>
      </c>
      <c r="GP40">
        <v>3</v>
      </c>
      <c r="GQ40" t="s">
        <v>479</v>
      </c>
      <c r="GR40">
        <v>3.1328900000000002</v>
      </c>
      <c r="GS40">
        <v>2.6983299999999999</v>
      </c>
      <c r="GT40">
        <v>8.5255499999999998E-2</v>
      </c>
      <c r="GU40">
        <v>8.7789000000000006E-2</v>
      </c>
      <c r="GV40">
        <v>6.2227999999999999E-2</v>
      </c>
      <c r="GW40">
        <v>5.4529099999999997E-2</v>
      </c>
      <c r="GX40">
        <v>27817.5</v>
      </c>
      <c r="GY40">
        <v>26754.6</v>
      </c>
      <c r="GZ40">
        <v>30932.2</v>
      </c>
      <c r="HA40">
        <v>29559.3</v>
      </c>
      <c r="HB40">
        <v>39989.800000000003</v>
      </c>
      <c r="HC40">
        <v>36794.300000000003</v>
      </c>
      <c r="HD40">
        <v>47250.7</v>
      </c>
      <c r="HE40">
        <v>43935.8</v>
      </c>
      <c r="HF40">
        <v>1.89385</v>
      </c>
      <c r="HG40">
        <v>1.9107499999999999</v>
      </c>
      <c r="HH40">
        <v>7.3358400000000004E-2</v>
      </c>
      <c r="HI40">
        <v>0</v>
      </c>
      <c r="HJ40">
        <v>16.779399999999999</v>
      </c>
      <c r="HK40">
        <v>999.9</v>
      </c>
      <c r="HL40">
        <v>27</v>
      </c>
      <c r="HM40">
        <v>30.1</v>
      </c>
      <c r="HN40">
        <v>12.709300000000001</v>
      </c>
      <c r="HO40">
        <v>64.278899999999993</v>
      </c>
      <c r="HP40">
        <v>19.318899999999999</v>
      </c>
      <c r="HQ40">
        <v>1</v>
      </c>
      <c r="HR40">
        <v>-0.250079</v>
      </c>
      <c r="HS40">
        <v>4.7694700000000001</v>
      </c>
      <c r="HT40">
        <v>20.1419</v>
      </c>
      <c r="HU40">
        <v>5.2378099999999996</v>
      </c>
      <c r="HV40">
        <v>11.974</v>
      </c>
      <c r="HW40">
        <v>4.9728000000000003</v>
      </c>
      <c r="HX40">
        <v>3.2908300000000001</v>
      </c>
      <c r="HY40">
        <v>9999</v>
      </c>
      <c r="HZ40">
        <v>9999</v>
      </c>
      <c r="IA40">
        <v>9999</v>
      </c>
      <c r="IB40">
        <v>999.9</v>
      </c>
      <c r="IC40">
        <v>4.9729000000000001</v>
      </c>
      <c r="ID40">
        <v>1.8772800000000001</v>
      </c>
      <c r="IE40">
        <v>1.87531</v>
      </c>
      <c r="IF40">
        <v>1.87808</v>
      </c>
      <c r="IG40">
        <v>1.8748499999999999</v>
      </c>
      <c r="IH40">
        <v>1.8784400000000001</v>
      </c>
      <c r="II40">
        <v>1.8755599999999999</v>
      </c>
      <c r="IJ40">
        <v>1.87669</v>
      </c>
      <c r="IK40">
        <v>0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0.81599999999999995</v>
      </c>
      <c r="IY40">
        <v>8.6699999999999999E-2</v>
      </c>
      <c r="IZ40">
        <v>6.1933660764125778E-2</v>
      </c>
      <c r="JA40">
        <v>2.058711587971173E-3</v>
      </c>
      <c r="JB40">
        <v>-6.1309262243104059E-7</v>
      </c>
      <c r="JC40">
        <v>2.6183910446277612E-10</v>
      </c>
      <c r="JD40">
        <v>3.5078820932035488E-4</v>
      </c>
      <c r="JE40">
        <v>-4.3284922736758413E-3</v>
      </c>
      <c r="JF40">
        <v>1.4186339569364E-3</v>
      </c>
      <c r="JG40">
        <v>-2.7770646863349432E-5</v>
      </c>
      <c r="JH40">
        <v>2</v>
      </c>
      <c r="JI40">
        <v>2136</v>
      </c>
      <c r="JJ40">
        <v>1</v>
      </c>
      <c r="JK40">
        <v>19</v>
      </c>
      <c r="JL40">
        <v>29361358.800000001</v>
      </c>
      <c r="JM40">
        <v>29361358.800000001</v>
      </c>
      <c r="JN40">
        <v>1.09863</v>
      </c>
      <c r="JO40">
        <v>2.5512700000000001</v>
      </c>
      <c r="JP40">
        <v>1.39893</v>
      </c>
      <c r="JQ40">
        <v>2.32178</v>
      </c>
      <c r="JR40">
        <v>1.4489700000000001</v>
      </c>
      <c r="JS40">
        <v>2.4597199999999999</v>
      </c>
      <c r="JT40">
        <v>35.941200000000002</v>
      </c>
      <c r="JU40">
        <v>23.816099999999999</v>
      </c>
      <c r="JV40">
        <v>18</v>
      </c>
      <c r="JW40">
        <v>479.53500000000003</v>
      </c>
      <c r="JX40">
        <v>459.221</v>
      </c>
      <c r="JY40">
        <v>11.545299999999999</v>
      </c>
      <c r="JZ40">
        <v>23.686399999999999</v>
      </c>
      <c r="KA40">
        <v>29.9999</v>
      </c>
      <c r="KB40">
        <v>23.417999999999999</v>
      </c>
      <c r="KC40">
        <v>23.489100000000001</v>
      </c>
      <c r="KD40">
        <v>22.023</v>
      </c>
      <c r="KE40">
        <v>21.658999999999999</v>
      </c>
      <c r="KF40">
        <v>22.632300000000001</v>
      </c>
      <c r="KG40">
        <v>11.5464</v>
      </c>
      <c r="KH40">
        <v>420</v>
      </c>
      <c r="KI40">
        <v>9.1803500000000007</v>
      </c>
      <c r="KJ40">
        <v>102.17100000000001</v>
      </c>
      <c r="KK40">
        <v>101.048</v>
      </c>
    </row>
    <row r="41" spans="1:297" x14ac:dyDescent="0.3">
      <c r="A41">
        <v>25</v>
      </c>
      <c r="B41">
        <v>1761681659.5</v>
      </c>
      <c r="C41">
        <v>4209.5</v>
      </c>
      <c r="D41" t="s">
        <v>542</v>
      </c>
      <c r="E41" t="s">
        <v>543</v>
      </c>
      <c r="F41">
        <v>5</v>
      </c>
      <c r="G41" t="s">
        <v>535</v>
      </c>
      <c r="H41" t="s">
        <v>436</v>
      </c>
      <c r="I41">
        <v>1761681651.75</v>
      </c>
      <c r="J41">
        <f t="shared" si="0"/>
        <v>1.5093485296575669E-3</v>
      </c>
      <c r="K41">
        <f t="shared" si="1"/>
        <v>1.5093485296575668</v>
      </c>
      <c r="L41">
        <f t="shared" si="2"/>
        <v>9.4052815980316726</v>
      </c>
      <c r="M41">
        <f t="shared" si="3"/>
        <v>407.92916666666667</v>
      </c>
      <c r="N41">
        <f t="shared" si="4"/>
        <v>250.99847412822851</v>
      </c>
      <c r="O41">
        <f t="shared" si="5"/>
        <v>22.854792473780698</v>
      </c>
      <c r="P41">
        <f t="shared" si="6"/>
        <v>37.144195718919072</v>
      </c>
      <c r="Q41">
        <f t="shared" si="7"/>
        <v>0.10274266385958114</v>
      </c>
      <c r="R41">
        <f t="shared" si="8"/>
        <v>2.7678130602365569</v>
      </c>
      <c r="S41">
        <f t="shared" si="9"/>
        <v>0.10066996580252734</v>
      </c>
      <c r="T41">
        <f t="shared" si="10"/>
        <v>6.3101469640799684E-2</v>
      </c>
      <c r="U41">
        <f t="shared" si="11"/>
        <v>454.19830637085869</v>
      </c>
      <c r="V41">
        <f t="shared" si="12"/>
        <v>20.019850717829897</v>
      </c>
      <c r="W41">
        <f t="shared" si="13"/>
        <v>20.019850717829897</v>
      </c>
      <c r="X41">
        <f t="shared" si="14"/>
        <v>2.3494992590707495</v>
      </c>
      <c r="Y41">
        <f t="shared" si="15"/>
        <v>49.999552263707962</v>
      </c>
      <c r="Z41">
        <f t="shared" si="16"/>
        <v>1.0094813777376868</v>
      </c>
      <c r="AA41">
        <f t="shared" si="17"/>
        <v>2.0189808348952276</v>
      </c>
      <c r="AB41">
        <f t="shared" si="18"/>
        <v>1.3400178813330628</v>
      </c>
      <c r="AC41">
        <f t="shared" si="19"/>
        <v>-66.562270157898695</v>
      </c>
      <c r="AD41">
        <f t="shared" si="20"/>
        <v>-361.98389860365006</v>
      </c>
      <c r="AE41">
        <f t="shared" si="21"/>
        <v>-25.975143583797667</v>
      </c>
      <c r="AF41">
        <f t="shared" si="22"/>
        <v>-0.32300597448772805</v>
      </c>
      <c r="AG41">
        <f t="shared" si="23"/>
        <v>9.4612797146534415</v>
      </c>
      <c r="AH41">
        <f t="shared" si="24"/>
        <v>1.4423346871411296</v>
      </c>
      <c r="AI41">
        <f t="shared" si="25"/>
        <v>9.4052815980316726</v>
      </c>
      <c r="AJ41">
        <v>423.95401080354901</v>
      </c>
      <c r="AK41">
        <v>412.56065454545461</v>
      </c>
      <c r="AL41">
        <v>1.7339425810691139E-4</v>
      </c>
      <c r="AM41">
        <v>65.162009686645987</v>
      </c>
      <c r="AN41">
        <f t="shared" si="26"/>
        <v>1.5093485296575668</v>
      </c>
      <c r="AO41">
        <v>9.377177499652241</v>
      </c>
      <c r="AP41">
        <v>11.12961958041959</v>
      </c>
      <c r="AQ41">
        <v>5.2884227605798943E-3</v>
      </c>
      <c r="AR41">
        <v>96.700883989501207</v>
      </c>
      <c r="AS41">
        <v>1</v>
      </c>
      <c r="AT41">
        <v>0</v>
      </c>
      <c r="AU41">
        <f t="shared" si="27"/>
        <v>1</v>
      </c>
      <c r="AV41">
        <f t="shared" si="28"/>
        <v>0</v>
      </c>
      <c r="AW41">
        <f t="shared" si="29"/>
        <v>49704.154230600361</v>
      </c>
      <c r="AX41" t="s">
        <v>532</v>
      </c>
      <c r="AY41">
        <v>5015.3900000000003</v>
      </c>
      <c r="AZ41">
        <v>720.62307692307695</v>
      </c>
      <c r="BA41">
        <v>1722.6585452279171</v>
      </c>
      <c r="BB41">
        <f t="shared" si="30"/>
        <v>0.58167967823958144</v>
      </c>
      <c r="BC41">
        <v>-1.1949397654950511</v>
      </c>
      <c r="BD41" t="s">
        <v>544</v>
      </c>
      <c r="BE41">
        <v>5070.84</v>
      </c>
      <c r="BF41">
        <v>1289.2772</v>
      </c>
      <c r="BG41">
        <v>1431.897867033495</v>
      </c>
      <c r="BH41">
        <f t="shared" si="31"/>
        <v>9.9602541715469117E-2</v>
      </c>
      <c r="BI41">
        <v>0.5</v>
      </c>
      <c r="BJ41">
        <f t="shared" si="48"/>
        <v>2115.6406535600304</v>
      </c>
      <c r="BK41">
        <f t="shared" si="32"/>
        <v>9.4052815980316726</v>
      </c>
      <c r="BL41">
        <f t="shared" si="49"/>
        <v>105.36159322557764</v>
      </c>
      <c r="BM41">
        <f t="shared" si="33"/>
        <v>5.0104072946837745E-3</v>
      </c>
      <c r="BN41">
        <f t="shared" si="34"/>
        <v>0.20305964893767148</v>
      </c>
      <c r="BO41">
        <f t="shared" si="35"/>
        <v>664.20302960150877</v>
      </c>
      <c r="BP41" t="s">
        <v>545</v>
      </c>
      <c r="BQ41">
        <v>755.2</v>
      </c>
      <c r="BR41">
        <f t="shared" si="36"/>
        <v>755.2</v>
      </c>
      <c r="BS41">
        <f t="shared" si="37"/>
        <v>0.47258808230186822</v>
      </c>
      <c r="BT41">
        <f t="shared" si="38"/>
        <v>0.21075974076690213</v>
      </c>
      <c r="BU41">
        <f t="shared" si="39"/>
        <v>0.30054071011996047</v>
      </c>
      <c r="BV41">
        <f t="shared" si="40"/>
        <v>0.20051415995125405</v>
      </c>
      <c r="BW41">
        <f t="shared" si="41"/>
        <v>0.2901700462622413</v>
      </c>
      <c r="BX41">
        <f t="shared" si="42"/>
        <v>0.12345347938144295</v>
      </c>
      <c r="BY41">
        <f t="shared" si="43"/>
        <v>0.87654652061855709</v>
      </c>
      <c r="BZ41">
        <v>413</v>
      </c>
      <c r="CA41">
        <v>290.00000000000011</v>
      </c>
      <c r="CB41">
        <v>1382.73</v>
      </c>
      <c r="CC41">
        <v>145</v>
      </c>
      <c r="CD41">
        <v>5070.84</v>
      </c>
      <c r="CE41">
        <v>1382.03</v>
      </c>
      <c r="CF41">
        <v>0.7</v>
      </c>
      <c r="CG41">
        <v>300.00000000000011</v>
      </c>
      <c r="CH41">
        <v>23.9</v>
      </c>
      <c r="CI41">
        <v>1431.897867033495</v>
      </c>
      <c r="CJ41">
        <v>1.9805716395029329</v>
      </c>
      <c r="CK41">
        <v>-25.285831246507769</v>
      </c>
      <c r="CL41">
        <v>0.91175755618622589</v>
      </c>
      <c r="CM41">
        <v>0.96487367143638902</v>
      </c>
      <c r="CN41">
        <v>-2.952682536151283E-3</v>
      </c>
      <c r="CO41">
        <v>289.99999999999989</v>
      </c>
      <c r="CP41">
        <v>1380.6</v>
      </c>
      <c r="CQ41">
        <v>665</v>
      </c>
      <c r="CR41">
        <v>5069.7700000000004</v>
      </c>
      <c r="CS41">
        <v>1382.02</v>
      </c>
      <c r="CT41">
        <v>-1.42</v>
      </c>
      <c r="DH41">
        <f t="shared" si="44"/>
        <v>2578.7799999999997</v>
      </c>
      <c r="DI41">
        <f t="shared" si="45"/>
        <v>2115.6406535600304</v>
      </c>
      <c r="DJ41">
        <f t="shared" si="46"/>
        <v>0.82040370002870755</v>
      </c>
      <c r="DK41">
        <f t="shared" si="47"/>
        <v>0.17612914105540556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1761681651.75</v>
      </c>
      <c r="DR41">
        <v>407.92916666666667</v>
      </c>
      <c r="DS41">
        <v>419.98806666666673</v>
      </c>
      <c r="DT41">
        <v>11.08644</v>
      </c>
      <c r="DU41">
        <v>9.3749233333333351</v>
      </c>
      <c r="DV41">
        <v>407.113</v>
      </c>
      <c r="DW41">
        <v>10.99901333333333</v>
      </c>
      <c r="DX41">
        <v>500.02820000000003</v>
      </c>
      <c r="DY41">
        <v>91.035506666666677</v>
      </c>
      <c r="DZ41">
        <v>1.9996969999999999E-2</v>
      </c>
      <c r="EA41">
        <v>17.59398333333333</v>
      </c>
      <c r="EB41">
        <v>17.96146666666667</v>
      </c>
      <c r="EC41">
        <v>999.9000000000002</v>
      </c>
      <c r="ED41">
        <v>0</v>
      </c>
      <c r="EE41">
        <v>0</v>
      </c>
      <c r="EF41">
        <v>10001.897333333331</v>
      </c>
      <c r="EG41">
        <v>0</v>
      </c>
      <c r="EH41">
        <v>1078.780666666667</v>
      </c>
      <c r="EI41">
        <v>-12.058906666666671</v>
      </c>
      <c r="EJ41">
        <v>412.50223333333332</v>
      </c>
      <c r="EK41">
        <v>423.96263333333332</v>
      </c>
      <c r="EL41">
        <v>1.7115063333333329</v>
      </c>
      <c r="EM41">
        <v>419.98806666666673</v>
      </c>
      <c r="EN41">
        <v>9.3749233333333351</v>
      </c>
      <c r="EO41">
        <v>1.009258666666667</v>
      </c>
      <c r="EP41">
        <v>0.85345090000000001</v>
      </c>
      <c r="EQ41">
        <v>7.0506789999999997</v>
      </c>
      <c r="ER41">
        <v>4.6288453333333326</v>
      </c>
      <c r="ES41">
        <v>1499.999333333333</v>
      </c>
      <c r="ET41">
        <v>0.97299883333333326</v>
      </c>
      <c r="EU41">
        <v>2.7001219999999999E-2</v>
      </c>
      <c r="EV41">
        <v>0</v>
      </c>
      <c r="EW41">
        <v>1289.358666666667</v>
      </c>
      <c r="EX41">
        <v>5.0005600000000019</v>
      </c>
      <c r="EY41">
        <v>19248.953333333331</v>
      </c>
      <c r="EZ41">
        <v>12931.493333333339</v>
      </c>
      <c r="FA41">
        <v>37.62469999999999</v>
      </c>
      <c r="FB41">
        <v>38.858033333333317</v>
      </c>
      <c r="FC41">
        <v>38.120566666666647</v>
      </c>
      <c r="FD41">
        <v>37.426799999999993</v>
      </c>
      <c r="FE41">
        <v>37.918533333333329</v>
      </c>
      <c r="FF41">
        <v>1454.629333333334</v>
      </c>
      <c r="FG41">
        <v>40.369999999999983</v>
      </c>
      <c r="FH41">
        <v>0</v>
      </c>
      <c r="FI41">
        <v>127.4000000953674</v>
      </c>
      <c r="FJ41">
        <v>0</v>
      </c>
      <c r="FK41">
        <v>1289.2772</v>
      </c>
      <c r="FL41">
        <v>-7.7561538289945888</v>
      </c>
      <c r="FM41">
        <v>-149.8384614369032</v>
      </c>
      <c r="FN41">
        <v>19247.603999999999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-12.049090243902439</v>
      </c>
      <c r="GD41">
        <v>-7.6605574912886207E-2</v>
      </c>
      <c r="GE41">
        <v>3.1776021062660718E-2</v>
      </c>
      <c r="GF41">
        <v>1</v>
      </c>
      <c r="GG41">
        <v>1289.734411764706</v>
      </c>
      <c r="GH41">
        <v>-7.1100076372169019</v>
      </c>
      <c r="GI41">
        <v>0.73063305015528968</v>
      </c>
      <c r="GJ41">
        <v>0</v>
      </c>
      <c r="GK41">
        <v>1.6862185365853659</v>
      </c>
      <c r="GL41">
        <v>0.40986188153310182</v>
      </c>
      <c r="GM41">
        <v>4.0523616033061573E-2</v>
      </c>
      <c r="GN41">
        <v>0</v>
      </c>
      <c r="GO41">
        <v>1</v>
      </c>
      <c r="GP41">
        <v>3</v>
      </c>
      <c r="GQ41" t="s">
        <v>442</v>
      </c>
      <c r="GR41">
        <v>3.1326299999999998</v>
      </c>
      <c r="GS41">
        <v>2.6974800000000001</v>
      </c>
      <c r="GT41">
        <v>8.5322200000000001E-2</v>
      </c>
      <c r="GU41">
        <v>8.7802599999999995E-2</v>
      </c>
      <c r="GV41">
        <v>6.2625100000000003E-2</v>
      </c>
      <c r="GW41">
        <v>5.5524900000000002E-2</v>
      </c>
      <c r="GX41">
        <v>27817.5</v>
      </c>
      <c r="GY41">
        <v>26756.3</v>
      </c>
      <c r="GZ41">
        <v>30934.2</v>
      </c>
      <c r="HA41">
        <v>29561.5</v>
      </c>
      <c r="HB41">
        <v>39975.9</v>
      </c>
      <c r="HC41">
        <v>36758.1</v>
      </c>
      <c r="HD41">
        <v>47254.6</v>
      </c>
      <c r="HE41">
        <v>43939.4</v>
      </c>
      <c r="HF41">
        <v>1.89303</v>
      </c>
      <c r="HG41">
        <v>1.9118200000000001</v>
      </c>
      <c r="HH41">
        <v>6.7323400000000005E-2</v>
      </c>
      <c r="HI41">
        <v>0</v>
      </c>
      <c r="HJ41">
        <v>16.849699999999999</v>
      </c>
      <c r="HK41">
        <v>999.9</v>
      </c>
      <c r="HL41">
        <v>26.8</v>
      </c>
      <c r="HM41">
        <v>30.2</v>
      </c>
      <c r="HN41">
        <v>12.686500000000001</v>
      </c>
      <c r="HO41">
        <v>63.558799999999998</v>
      </c>
      <c r="HP41">
        <v>19.242799999999999</v>
      </c>
      <c r="HQ41">
        <v>1</v>
      </c>
      <c r="HR41">
        <v>-0.25623200000000002</v>
      </c>
      <c r="HS41">
        <v>3.7513100000000001</v>
      </c>
      <c r="HT41">
        <v>20.169899999999998</v>
      </c>
      <c r="HU41">
        <v>5.2358599999999997</v>
      </c>
      <c r="HV41">
        <v>11.974</v>
      </c>
      <c r="HW41">
        <v>4.9730999999999996</v>
      </c>
      <c r="HX41">
        <v>3.2909999999999999</v>
      </c>
      <c r="HY41">
        <v>9999</v>
      </c>
      <c r="HZ41">
        <v>9999</v>
      </c>
      <c r="IA41">
        <v>9999</v>
      </c>
      <c r="IB41">
        <v>999.9</v>
      </c>
      <c r="IC41">
        <v>4.9729000000000001</v>
      </c>
      <c r="ID41">
        <v>1.8772</v>
      </c>
      <c r="IE41">
        <v>1.8753</v>
      </c>
      <c r="IF41">
        <v>1.87805</v>
      </c>
      <c r="IG41">
        <v>1.8748400000000001</v>
      </c>
      <c r="IH41">
        <v>1.87842</v>
      </c>
      <c r="II41">
        <v>1.8754900000000001</v>
      </c>
      <c r="IJ41">
        <v>1.8766799999999999</v>
      </c>
      <c r="IK41">
        <v>0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0.81699999999999995</v>
      </c>
      <c r="IY41">
        <v>8.8099999999999998E-2</v>
      </c>
      <c r="IZ41">
        <v>6.1933660764125778E-2</v>
      </c>
      <c r="JA41">
        <v>2.058711587971173E-3</v>
      </c>
      <c r="JB41">
        <v>-6.1309262243104059E-7</v>
      </c>
      <c r="JC41">
        <v>2.6183910446277612E-10</v>
      </c>
      <c r="JD41">
        <v>3.5078820932035488E-4</v>
      </c>
      <c r="JE41">
        <v>-4.3284922736758413E-3</v>
      </c>
      <c r="JF41">
        <v>1.4186339569364E-3</v>
      </c>
      <c r="JG41">
        <v>-2.7770646863349432E-5</v>
      </c>
      <c r="JH41">
        <v>2</v>
      </c>
      <c r="JI41">
        <v>2136</v>
      </c>
      <c r="JJ41">
        <v>1</v>
      </c>
      <c r="JK41">
        <v>19</v>
      </c>
      <c r="JL41">
        <v>29361361</v>
      </c>
      <c r="JM41">
        <v>29361361</v>
      </c>
      <c r="JN41">
        <v>1.09863</v>
      </c>
      <c r="JO41">
        <v>2.5439500000000002</v>
      </c>
      <c r="JP41">
        <v>1.39893</v>
      </c>
      <c r="JQ41">
        <v>2.32178</v>
      </c>
      <c r="JR41">
        <v>1.4489700000000001</v>
      </c>
      <c r="JS41">
        <v>2.4572799999999999</v>
      </c>
      <c r="JT41">
        <v>35.964500000000001</v>
      </c>
      <c r="JU41">
        <v>23.8598</v>
      </c>
      <c r="JV41">
        <v>18</v>
      </c>
      <c r="JW41">
        <v>478.988</v>
      </c>
      <c r="JX41">
        <v>459.79</v>
      </c>
      <c r="JY41">
        <v>12.6157</v>
      </c>
      <c r="JZ41">
        <v>23.6571</v>
      </c>
      <c r="KA41">
        <v>29.9998</v>
      </c>
      <c r="KB41">
        <v>23.402200000000001</v>
      </c>
      <c r="KC41">
        <v>23.477399999999999</v>
      </c>
      <c r="KD41">
        <v>22.026399999999999</v>
      </c>
      <c r="KE41">
        <v>18.906700000000001</v>
      </c>
      <c r="KF41">
        <v>22.261800000000001</v>
      </c>
      <c r="KG41">
        <v>12.637700000000001</v>
      </c>
      <c r="KH41">
        <v>420</v>
      </c>
      <c r="KI41">
        <v>9.3786500000000004</v>
      </c>
      <c r="KJ41">
        <v>102.179</v>
      </c>
      <c r="KK41">
        <v>101.056</v>
      </c>
    </row>
    <row r="42" spans="1:297" x14ac:dyDescent="0.3">
      <c r="A42">
        <v>26</v>
      </c>
      <c r="B42">
        <v>1761681789</v>
      </c>
      <c r="C42">
        <v>4339</v>
      </c>
      <c r="D42" t="s">
        <v>546</v>
      </c>
      <c r="E42" t="s">
        <v>547</v>
      </c>
      <c r="F42">
        <v>5</v>
      </c>
      <c r="G42" t="s">
        <v>535</v>
      </c>
      <c r="H42" t="s">
        <v>436</v>
      </c>
      <c r="I42">
        <v>1761681781.25</v>
      </c>
      <c r="J42">
        <f t="shared" si="0"/>
        <v>1.4377684041954595E-3</v>
      </c>
      <c r="K42">
        <f t="shared" si="1"/>
        <v>1.4377684041954595</v>
      </c>
      <c r="L42">
        <f t="shared" si="2"/>
        <v>9.1032477637338651</v>
      </c>
      <c r="M42">
        <f t="shared" si="3"/>
        <v>408.3776666666667</v>
      </c>
      <c r="N42">
        <f t="shared" si="4"/>
        <v>252.45739778195031</v>
      </c>
      <c r="O42">
        <f t="shared" si="5"/>
        <v>22.989673930386036</v>
      </c>
      <c r="P42">
        <f t="shared" si="6"/>
        <v>37.188331495151715</v>
      </c>
      <c r="Q42">
        <f t="shared" si="7"/>
        <v>9.9975518381886008E-2</v>
      </c>
      <c r="R42">
        <f t="shared" si="8"/>
        <v>2.7684244106494669</v>
      </c>
      <c r="S42">
        <f t="shared" si="9"/>
        <v>9.8012238491940323E-2</v>
      </c>
      <c r="T42">
        <f t="shared" si="10"/>
        <v>6.1430830771849035E-2</v>
      </c>
      <c r="U42">
        <f t="shared" si="11"/>
        <v>400.92813477083769</v>
      </c>
      <c r="V42">
        <f t="shared" si="12"/>
        <v>19.90596364287655</v>
      </c>
      <c r="W42">
        <f t="shared" si="13"/>
        <v>19.90596364287655</v>
      </c>
      <c r="X42">
        <f t="shared" si="14"/>
        <v>2.3329829974231955</v>
      </c>
      <c r="Y42">
        <f t="shared" si="15"/>
        <v>49.971899305793514</v>
      </c>
      <c r="Z42">
        <f t="shared" si="16"/>
        <v>1.0217521647791161</v>
      </c>
      <c r="AA42">
        <f t="shared" si="17"/>
        <v>2.0446534531871574</v>
      </c>
      <c r="AB42">
        <f t="shared" si="18"/>
        <v>1.3112308326440794</v>
      </c>
      <c r="AC42">
        <f t="shared" si="19"/>
        <v>-63.405586625019765</v>
      </c>
      <c r="AD42">
        <f t="shared" si="20"/>
        <v>-315.14813948437944</v>
      </c>
      <c r="AE42">
        <f t="shared" si="21"/>
        <v>-22.619289291888187</v>
      </c>
      <c r="AF42">
        <f t="shared" si="22"/>
        <v>-0.24488063044969977</v>
      </c>
      <c r="AG42">
        <f t="shared" si="23"/>
        <v>9.1147982399433811</v>
      </c>
      <c r="AH42">
        <f t="shared" si="24"/>
        <v>1.3996136938945449</v>
      </c>
      <c r="AI42">
        <f t="shared" si="25"/>
        <v>9.1032477637338651</v>
      </c>
      <c r="AJ42">
        <v>424.06384861641749</v>
      </c>
      <c r="AK42">
        <v>413.03447878787881</v>
      </c>
      <c r="AL42">
        <v>1.6401727763238621E-4</v>
      </c>
      <c r="AM42">
        <v>65.162009686645987</v>
      </c>
      <c r="AN42">
        <f t="shared" si="26"/>
        <v>1.4377684041954595</v>
      </c>
      <c r="AO42">
        <v>9.561187344259535</v>
      </c>
      <c r="AP42">
        <v>11.249320979020981</v>
      </c>
      <c r="AQ42">
        <v>2.42634194501249E-3</v>
      </c>
      <c r="AR42">
        <v>96.700883989501207</v>
      </c>
      <c r="AS42">
        <v>1</v>
      </c>
      <c r="AT42">
        <v>0</v>
      </c>
      <c r="AU42">
        <f t="shared" si="27"/>
        <v>1</v>
      </c>
      <c r="AV42">
        <f t="shared" si="28"/>
        <v>0</v>
      </c>
      <c r="AW42">
        <f t="shared" si="29"/>
        <v>49687.266914063584</v>
      </c>
      <c r="AX42" t="s">
        <v>532</v>
      </c>
      <c r="AY42">
        <v>5015.3900000000003</v>
      </c>
      <c r="AZ42">
        <v>720.62307692307695</v>
      </c>
      <c r="BA42">
        <v>1722.6585452279171</v>
      </c>
      <c r="BB42">
        <f t="shared" si="30"/>
        <v>0.58167967823958144</v>
      </c>
      <c r="BC42">
        <v>-1.1949397654950511</v>
      </c>
      <c r="BD42" t="s">
        <v>548</v>
      </c>
      <c r="BE42">
        <v>5070.6000000000004</v>
      </c>
      <c r="BF42">
        <v>1257.8227999999999</v>
      </c>
      <c r="BG42">
        <v>1428.302856022184</v>
      </c>
      <c r="BH42">
        <f t="shared" si="31"/>
        <v>0.1193584787031583</v>
      </c>
      <c r="BI42">
        <v>0.5</v>
      </c>
      <c r="BJ42">
        <f t="shared" si="48"/>
        <v>1865.8891962111425</v>
      </c>
      <c r="BK42">
        <f t="shared" si="32"/>
        <v>9.1032477637338651</v>
      </c>
      <c r="BL42">
        <f t="shared" si="49"/>
        <v>111.35484794421041</v>
      </c>
      <c r="BM42">
        <f t="shared" si="33"/>
        <v>5.5191849280977244E-3</v>
      </c>
      <c r="BN42">
        <f t="shared" si="34"/>
        <v>0.20608772709837758</v>
      </c>
      <c r="BO42">
        <f t="shared" si="35"/>
        <v>663.42845576077195</v>
      </c>
      <c r="BP42" t="s">
        <v>549</v>
      </c>
      <c r="BQ42">
        <v>750.87</v>
      </c>
      <c r="BR42">
        <f t="shared" si="36"/>
        <v>750.87</v>
      </c>
      <c r="BS42">
        <f t="shared" si="37"/>
        <v>0.47429216651490214</v>
      </c>
      <c r="BT42">
        <f t="shared" si="38"/>
        <v>0.2516560194957555</v>
      </c>
      <c r="BU42">
        <f t="shared" si="39"/>
        <v>0.30290096611161105</v>
      </c>
      <c r="BV42">
        <f t="shared" si="40"/>
        <v>0.24089999609598731</v>
      </c>
      <c r="BW42">
        <f t="shared" si="41"/>
        <v>0.29375775460692971</v>
      </c>
      <c r="BX42">
        <f t="shared" si="42"/>
        <v>0.15022859766795288</v>
      </c>
      <c r="BY42">
        <f t="shared" si="43"/>
        <v>0.84977140233204707</v>
      </c>
      <c r="BZ42">
        <v>415</v>
      </c>
      <c r="CA42">
        <v>290.00000000000011</v>
      </c>
      <c r="CB42">
        <v>1382.9</v>
      </c>
      <c r="CC42">
        <v>145</v>
      </c>
      <c r="CD42">
        <v>5070.6000000000004</v>
      </c>
      <c r="CE42">
        <v>1382.37</v>
      </c>
      <c r="CF42">
        <v>0.53</v>
      </c>
      <c r="CG42">
        <v>300.00000000000011</v>
      </c>
      <c r="CH42">
        <v>23.9</v>
      </c>
      <c r="CI42">
        <v>1428.302856022184</v>
      </c>
      <c r="CJ42">
        <v>2.059784076910065</v>
      </c>
      <c r="CK42">
        <v>-23.292673904517439</v>
      </c>
      <c r="CL42">
        <v>0.93961099967737849</v>
      </c>
      <c r="CM42">
        <v>0.95642221252822668</v>
      </c>
      <c r="CN42">
        <v>-3.2022440489432708E-3</v>
      </c>
      <c r="CO42">
        <v>289.99999999999989</v>
      </c>
      <c r="CP42">
        <v>1381.99</v>
      </c>
      <c r="CQ42">
        <v>685</v>
      </c>
      <c r="CR42">
        <v>5069.41</v>
      </c>
      <c r="CS42">
        <v>1382.36</v>
      </c>
      <c r="CT42">
        <v>-0.37</v>
      </c>
      <c r="DH42">
        <f t="shared" si="44"/>
        <v>2274.1076666666668</v>
      </c>
      <c r="DI42">
        <f t="shared" si="45"/>
        <v>1865.8891962111425</v>
      </c>
      <c r="DJ42">
        <f t="shared" si="46"/>
        <v>0.82049290082475235</v>
      </c>
      <c r="DK42">
        <f t="shared" si="47"/>
        <v>0.1763012985917719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1761681781.25</v>
      </c>
      <c r="DR42">
        <v>408.3776666666667</v>
      </c>
      <c r="DS42">
        <v>420.00049999999999</v>
      </c>
      <c r="DT42">
        <v>11.220206666666661</v>
      </c>
      <c r="DU42">
        <v>9.5596306666666653</v>
      </c>
      <c r="DV42">
        <v>407.56086666666658</v>
      </c>
      <c r="DW42">
        <v>11.13058333333333</v>
      </c>
      <c r="DX42">
        <v>500.03483333333332</v>
      </c>
      <c r="DY42">
        <v>91.043930000000017</v>
      </c>
      <c r="DZ42">
        <v>1.964798333333333E-2</v>
      </c>
      <c r="EA42">
        <v>17.79443666666667</v>
      </c>
      <c r="EB42">
        <v>17.995286666666669</v>
      </c>
      <c r="EC42">
        <v>999.9000000000002</v>
      </c>
      <c r="ED42">
        <v>0</v>
      </c>
      <c r="EE42">
        <v>0</v>
      </c>
      <c r="EF42">
        <v>10004.58033333333</v>
      </c>
      <c r="EG42">
        <v>0</v>
      </c>
      <c r="EH42">
        <v>1074.1406666666669</v>
      </c>
      <c r="EI42">
        <v>-11.622909999999999</v>
      </c>
      <c r="EJ42">
        <v>413.01176666666657</v>
      </c>
      <c r="EK42">
        <v>424.05446666666671</v>
      </c>
      <c r="EL42">
        <v>1.660580666666666</v>
      </c>
      <c r="EM42">
        <v>420.00049999999999</v>
      </c>
      <c r="EN42">
        <v>9.5596306666666653</v>
      </c>
      <c r="EO42">
        <v>1.0215320000000001</v>
      </c>
      <c r="EP42">
        <v>0.87034650000000013</v>
      </c>
      <c r="EQ42">
        <v>7.227139666666667</v>
      </c>
      <c r="ER42">
        <v>4.9095323333333329</v>
      </c>
      <c r="ES42">
        <v>1199.9670000000001</v>
      </c>
      <c r="ET42">
        <v>0.96700249999999965</v>
      </c>
      <c r="EU42">
        <v>3.2997366666666673E-2</v>
      </c>
      <c r="EV42">
        <v>0</v>
      </c>
      <c r="EW42">
        <v>1257.906666666667</v>
      </c>
      <c r="EX42">
        <v>5.0005600000000019</v>
      </c>
      <c r="EY42">
        <v>14988.02</v>
      </c>
      <c r="EZ42">
        <v>10316.53666666667</v>
      </c>
      <c r="FA42">
        <v>35.789333333333317</v>
      </c>
      <c r="FB42">
        <v>38.493499999999997</v>
      </c>
      <c r="FC42">
        <v>37.076766666666657</v>
      </c>
      <c r="FD42">
        <v>37.216466666666648</v>
      </c>
      <c r="FE42">
        <v>37.195566666666657</v>
      </c>
      <c r="FF42">
        <v>1155.5360000000001</v>
      </c>
      <c r="FG42">
        <v>39.431000000000012</v>
      </c>
      <c r="FH42">
        <v>0</v>
      </c>
      <c r="FI42">
        <v>127.4000000953674</v>
      </c>
      <c r="FJ42">
        <v>0</v>
      </c>
      <c r="FK42">
        <v>1257.8227999999999</v>
      </c>
      <c r="FL42">
        <v>-8.7723076810312346</v>
      </c>
      <c r="FM42">
        <v>-72.592307578080238</v>
      </c>
      <c r="FN42">
        <v>14988.1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-11.618455000000001</v>
      </c>
      <c r="GD42">
        <v>9.4565853658591006E-2</v>
      </c>
      <c r="GE42">
        <v>4.5065280150022563E-2</v>
      </c>
      <c r="GF42">
        <v>1</v>
      </c>
      <c r="GG42">
        <v>1258.300882352941</v>
      </c>
      <c r="GH42">
        <v>-8.7362872324431873</v>
      </c>
      <c r="GI42">
        <v>0.8984803105867849</v>
      </c>
      <c r="GJ42">
        <v>0</v>
      </c>
      <c r="GK42">
        <v>1.647956</v>
      </c>
      <c r="GL42">
        <v>0.28122348968104832</v>
      </c>
      <c r="GM42">
        <v>2.7254413110540471E-2</v>
      </c>
      <c r="GN42">
        <v>0</v>
      </c>
      <c r="GO42">
        <v>1</v>
      </c>
      <c r="GP42">
        <v>3</v>
      </c>
      <c r="GQ42" t="s">
        <v>442</v>
      </c>
      <c r="GR42">
        <v>3.1324200000000002</v>
      </c>
      <c r="GS42">
        <v>2.6974300000000002</v>
      </c>
      <c r="GT42">
        <v>8.5407499999999997E-2</v>
      </c>
      <c r="GU42">
        <v>8.7806400000000007E-2</v>
      </c>
      <c r="GV42">
        <v>6.3134300000000004E-2</v>
      </c>
      <c r="GW42">
        <v>5.6359399999999997E-2</v>
      </c>
      <c r="GX42">
        <v>27817.200000000001</v>
      </c>
      <c r="GY42">
        <v>26756.3</v>
      </c>
      <c r="GZ42">
        <v>30936.7</v>
      </c>
      <c r="HA42">
        <v>29561.5</v>
      </c>
      <c r="HB42">
        <v>39956.699999999997</v>
      </c>
      <c r="HC42">
        <v>36725</v>
      </c>
      <c r="HD42">
        <v>47257.8</v>
      </c>
      <c r="HE42">
        <v>43939</v>
      </c>
      <c r="HF42">
        <v>1.8928</v>
      </c>
      <c r="HG42">
        <v>1.9127000000000001</v>
      </c>
      <c r="HH42">
        <v>5.8218800000000001E-2</v>
      </c>
      <c r="HI42">
        <v>0</v>
      </c>
      <c r="HJ42">
        <v>17.025600000000001</v>
      </c>
      <c r="HK42">
        <v>999.9</v>
      </c>
      <c r="HL42">
        <v>26.8</v>
      </c>
      <c r="HM42">
        <v>30.2</v>
      </c>
      <c r="HN42">
        <v>12.686999999999999</v>
      </c>
      <c r="HO42">
        <v>63.758899999999997</v>
      </c>
      <c r="HP42">
        <v>19.5032</v>
      </c>
      <c r="HQ42">
        <v>1</v>
      </c>
      <c r="HR42">
        <v>-0.26002999999999998</v>
      </c>
      <c r="HS42">
        <v>3.24166</v>
      </c>
      <c r="HT42">
        <v>20.184000000000001</v>
      </c>
      <c r="HU42">
        <v>5.2396000000000003</v>
      </c>
      <c r="HV42">
        <v>11.974</v>
      </c>
      <c r="HW42">
        <v>4.9729999999999999</v>
      </c>
      <c r="HX42">
        <v>3.2909999999999999</v>
      </c>
      <c r="HY42">
        <v>9999</v>
      </c>
      <c r="HZ42">
        <v>9999</v>
      </c>
      <c r="IA42">
        <v>9999</v>
      </c>
      <c r="IB42">
        <v>999.9</v>
      </c>
      <c r="IC42">
        <v>4.9729200000000002</v>
      </c>
      <c r="ID42">
        <v>1.87717</v>
      </c>
      <c r="IE42">
        <v>1.8752500000000001</v>
      </c>
      <c r="IF42">
        <v>1.87805</v>
      </c>
      <c r="IG42">
        <v>1.8748</v>
      </c>
      <c r="IH42">
        <v>1.87839</v>
      </c>
      <c r="II42">
        <v>1.87547</v>
      </c>
      <c r="IJ42">
        <v>1.8766799999999999</v>
      </c>
      <c r="IK42">
        <v>0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0.81699999999999995</v>
      </c>
      <c r="IY42">
        <v>9.0200000000000002E-2</v>
      </c>
      <c r="IZ42">
        <v>6.1933660764125778E-2</v>
      </c>
      <c r="JA42">
        <v>2.058711587971173E-3</v>
      </c>
      <c r="JB42">
        <v>-6.1309262243104059E-7</v>
      </c>
      <c r="JC42">
        <v>2.6183910446277612E-10</v>
      </c>
      <c r="JD42">
        <v>3.5078820932035488E-4</v>
      </c>
      <c r="JE42">
        <v>-4.3284922736758413E-3</v>
      </c>
      <c r="JF42">
        <v>1.4186339569364E-3</v>
      </c>
      <c r="JG42">
        <v>-2.7770646863349432E-5</v>
      </c>
      <c r="JH42">
        <v>2</v>
      </c>
      <c r="JI42">
        <v>2136</v>
      </c>
      <c r="JJ42">
        <v>1</v>
      </c>
      <c r="JK42">
        <v>19</v>
      </c>
      <c r="JL42">
        <v>29361363.100000001</v>
      </c>
      <c r="JM42">
        <v>29361363.100000001</v>
      </c>
      <c r="JN42">
        <v>1.09863</v>
      </c>
      <c r="JO42">
        <v>2.5329600000000001</v>
      </c>
      <c r="JP42">
        <v>1.39893</v>
      </c>
      <c r="JQ42">
        <v>2.32056</v>
      </c>
      <c r="JR42">
        <v>1.4489700000000001</v>
      </c>
      <c r="JS42">
        <v>2.5805699999999998</v>
      </c>
      <c r="JT42">
        <v>35.987900000000003</v>
      </c>
      <c r="JU42">
        <v>23.8949</v>
      </c>
      <c r="JV42">
        <v>18</v>
      </c>
      <c r="JW42">
        <v>478.75700000000001</v>
      </c>
      <c r="JX42">
        <v>460.21800000000002</v>
      </c>
      <c r="JY42">
        <v>13.5594</v>
      </c>
      <c r="JZ42">
        <v>23.627300000000002</v>
      </c>
      <c r="KA42">
        <v>29.9999</v>
      </c>
      <c r="KB42">
        <v>23.386500000000002</v>
      </c>
      <c r="KC42">
        <v>23.4636</v>
      </c>
      <c r="KD42">
        <v>22.032599999999999</v>
      </c>
      <c r="KE42">
        <v>17.508099999999999</v>
      </c>
      <c r="KF42">
        <v>22.261800000000001</v>
      </c>
      <c r="KG42">
        <v>13.554500000000001</v>
      </c>
      <c r="KH42">
        <v>420</v>
      </c>
      <c r="KI42">
        <v>9.57456</v>
      </c>
      <c r="KJ42">
        <v>102.18600000000001</v>
      </c>
      <c r="KK42">
        <v>101.056</v>
      </c>
    </row>
    <row r="43" spans="1:297" x14ac:dyDescent="0.3">
      <c r="A43">
        <v>27</v>
      </c>
      <c r="B43">
        <v>1761681918.5</v>
      </c>
      <c r="C43">
        <v>4468.5</v>
      </c>
      <c r="D43" t="s">
        <v>550</v>
      </c>
      <c r="E43" t="s">
        <v>551</v>
      </c>
      <c r="F43">
        <v>5</v>
      </c>
      <c r="G43" t="s">
        <v>535</v>
      </c>
      <c r="H43" t="s">
        <v>436</v>
      </c>
      <c r="I43">
        <v>1761681910.75</v>
      </c>
      <c r="J43">
        <f t="shared" si="0"/>
        <v>1.3557758818681326E-3</v>
      </c>
      <c r="K43">
        <f t="shared" si="1"/>
        <v>1.3557758818681327</v>
      </c>
      <c r="L43">
        <f t="shared" si="2"/>
        <v>8.6053002591614973</v>
      </c>
      <c r="M43">
        <f t="shared" si="3"/>
        <v>408.99116666666669</v>
      </c>
      <c r="N43">
        <f t="shared" si="4"/>
        <v>254.68884739271618</v>
      </c>
      <c r="O43">
        <f t="shared" si="5"/>
        <v>23.19442349395959</v>
      </c>
      <c r="P43">
        <f t="shared" si="6"/>
        <v>37.246681282152501</v>
      </c>
      <c r="Q43">
        <f t="shared" si="7"/>
        <v>9.543354994911761E-2</v>
      </c>
      <c r="R43">
        <f t="shared" si="8"/>
        <v>2.7681712781735119</v>
      </c>
      <c r="S43">
        <f t="shared" si="9"/>
        <v>9.3642722457339386E-2</v>
      </c>
      <c r="T43">
        <f t="shared" si="10"/>
        <v>5.8684801239147766E-2</v>
      </c>
      <c r="U43">
        <f t="shared" si="11"/>
        <v>349.48120304785573</v>
      </c>
      <c r="V43">
        <f t="shared" si="12"/>
        <v>19.865820983950208</v>
      </c>
      <c r="W43">
        <f t="shared" si="13"/>
        <v>19.865820983950208</v>
      </c>
      <c r="X43">
        <f t="shared" si="14"/>
        <v>2.3271856822735568</v>
      </c>
      <c r="Y43">
        <f t="shared" si="15"/>
        <v>49.703949163034935</v>
      </c>
      <c r="Z43">
        <f t="shared" si="16"/>
        <v>1.0329878306334457</v>
      </c>
      <c r="AA43">
        <f t="shared" si="17"/>
        <v>2.0782811990353549</v>
      </c>
      <c r="AB43">
        <f t="shared" si="18"/>
        <v>1.2941978516401111</v>
      </c>
      <c r="AC43">
        <f t="shared" si="19"/>
        <v>-59.789716390384648</v>
      </c>
      <c r="AD43">
        <f t="shared" si="20"/>
        <v>-270.43816944429949</v>
      </c>
      <c r="AE43">
        <f t="shared" si="21"/>
        <v>-19.433874494641628</v>
      </c>
      <c r="AF43">
        <f t="shared" si="22"/>
        <v>-0.18055728146998717</v>
      </c>
      <c r="AG43">
        <f t="shared" si="23"/>
        <v>8.6312099725723836</v>
      </c>
      <c r="AH43">
        <f t="shared" si="24"/>
        <v>1.3458980775139269</v>
      </c>
      <c r="AI43">
        <f t="shared" si="25"/>
        <v>8.6053002591614973</v>
      </c>
      <c r="AJ43">
        <v>424.12629338225071</v>
      </c>
      <c r="AK43">
        <v>413.7038303030302</v>
      </c>
      <c r="AL43">
        <v>-1.0951777574131161E-3</v>
      </c>
      <c r="AM43">
        <v>65.162009686645987</v>
      </c>
      <c r="AN43">
        <f t="shared" si="26"/>
        <v>1.3557758818681327</v>
      </c>
      <c r="AO43">
        <v>9.7467483005883064</v>
      </c>
      <c r="AP43">
        <v>11.353874825174829</v>
      </c>
      <c r="AQ43">
        <v>1.797807538575912E-4</v>
      </c>
      <c r="AR43">
        <v>96.700883989501207</v>
      </c>
      <c r="AS43">
        <v>1</v>
      </c>
      <c r="AT43">
        <v>0</v>
      </c>
      <c r="AU43">
        <f t="shared" si="27"/>
        <v>1</v>
      </c>
      <c r="AV43">
        <f t="shared" si="28"/>
        <v>0</v>
      </c>
      <c r="AW43">
        <f t="shared" si="29"/>
        <v>49636.022200120569</v>
      </c>
      <c r="AX43" t="s">
        <v>532</v>
      </c>
      <c r="AY43">
        <v>5015.3900000000003</v>
      </c>
      <c r="AZ43">
        <v>720.62307692307695</v>
      </c>
      <c r="BA43">
        <v>1722.6585452279171</v>
      </c>
      <c r="BB43">
        <f t="shared" si="30"/>
        <v>0.58167967823958144</v>
      </c>
      <c r="BC43">
        <v>-1.1949397654950511</v>
      </c>
      <c r="BD43" t="s">
        <v>552</v>
      </c>
      <c r="BE43">
        <v>5069.07</v>
      </c>
      <c r="BF43">
        <v>1206.6219230769229</v>
      </c>
      <c r="BG43">
        <v>1432.0416904060539</v>
      </c>
      <c r="BH43">
        <f t="shared" si="31"/>
        <v>0.1574114558530858</v>
      </c>
      <c r="BI43">
        <v>0.5</v>
      </c>
      <c r="BJ43">
        <f t="shared" si="48"/>
        <v>1623.8764021318773</v>
      </c>
      <c r="BK43">
        <f t="shared" si="32"/>
        <v>8.6053002591614973</v>
      </c>
      <c r="BL43">
        <f t="shared" si="49"/>
        <v>127.8083742925249</v>
      </c>
      <c r="BM43">
        <f t="shared" si="33"/>
        <v>6.0350898700113368E-3</v>
      </c>
      <c r="BN43">
        <f t="shared" si="34"/>
        <v>0.2029388227792859</v>
      </c>
      <c r="BO43">
        <f t="shared" si="35"/>
        <v>664.23397411805149</v>
      </c>
      <c r="BP43" t="s">
        <v>553</v>
      </c>
      <c r="BQ43">
        <v>753.07</v>
      </c>
      <c r="BR43">
        <f t="shared" si="36"/>
        <v>753.07</v>
      </c>
      <c r="BS43">
        <f t="shared" si="37"/>
        <v>0.47412843840707752</v>
      </c>
      <c r="BT43">
        <f t="shared" si="38"/>
        <v>0.33200171747119589</v>
      </c>
      <c r="BU43">
        <f t="shared" si="39"/>
        <v>0.29973214540560511</v>
      </c>
      <c r="BV43">
        <f t="shared" si="40"/>
        <v>0.31685952975775616</v>
      </c>
      <c r="BW43">
        <f t="shared" si="41"/>
        <v>0.29002651504293003</v>
      </c>
      <c r="BX43">
        <f t="shared" si="42"/>
        <v>0.20720702035520247</v>
      </c>
      <c r="BY43">
        <f t="shared" si="43"/>
        <v>0.79279297964479756</v>
      </c>
      <c r="BZ43">
        <v>417</v>
      </c>
      <c r="CA43">
        <v>290.00000000000011</v>
      </c>
      <c r="CB43">
        <v>1383.27</v>
      </c>
      <c r="CC43">
        <v>165</v>
      </c>
      <c r="CD43">
        <v>5069.07</v>
      </c>
      <c r="CE43">
        <v>1383.18</v>
      </c>
      <c r="CF43">
        <v>0.09</v>
      </c>
      <c r="CG43">
        <v>300.00000000000011</v>
      </c>
      <c r="CH43">
        <v>23.9</v>
      </c>
      <c r="CI43">
        <v>1432.0416904060539</v>
      </c>
      <c r="CJ43">
        <v>2.0712576817104988</v>
      </c>
      <c r="CK43">
        <v>-24.768854879219489</v>
      </c>
      <c r="CL43">
        <v>0.93588190756366063</v>
      </c>
      <c r="CM43">
        <v>0.96156159260536156</v>
      </c>
      <c r="CN43">
        <v>-3.4511566184649619E-3</v>
      </c>
      <c r="CO43">
        <v>289.99999999999989</v>
      </c>
      <c r="CP43">
        <v>1381.57</v>
      </c>
      <c r="CQ43">
        <v>805</v>
      </c>
      <c r="CR43">
        <v>5067.5600000000004</v>
      </c>
      <c r="CS43">
        <v>1383.16</v>
      </c>
      <c r="CT43">
        <v>-1.59</v>
      </c>
      <c r="DH43">
        <f t="shared" si="44"/>
        <v>1978.7530666666671</v>
      </c>
      <c r="DI43">
        <f t="shared" si="45"/>
        <v>1623.8764021318773</v>
      </c>
      <c r="DJ43">
        <f t="shared" si="46"/>
        <v>0.82065641715840687</v>
      </c>
      <c r="DK43">
        <f t="shared" si="47"/>
        <v>0.17661688511572524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1761681910.75</v>
      </c>
      <c r="DR43">
        <v>408.99116666666669</v>
      </c>
      <c r="DS43">
        <v>420.00900000000001</v>
      </c>
      <c r="DT43">
        <v>11.34283333333333</v>
      </c>
      <c r="DU43">
        <v>9.746100000000002</v>
      </c>
      <c r="DV43">
        <v>408.17323333333331</v>
      </c>
      <c r="DW43">
        <v>11.251163333333331</v>
      </c>
      <c r="DX43">
        <v>500.00776666666673</v>
      </c>
      <c r="DY43">
        <v>91.049489999999977</v>
      </c>
      <c r="DZ43">
        <v>2.0157263333333331E-2</v>
      </c>
      <c r="EA43">
        <v>18.05369</v>
      </c>
      <c r="EB43">
        <v>18.02603666666667</v>
      </c>
      <c r="EC43">
        <v>999.9000000000002</v>
      </c>
      <c r="ED43">
        <v>0</v>
      </c>
      <c r="EE43">
        <v>0</v>
      </c>
      <c r="EF43">
        <v>10002.47533333333</v>
      </c>
      <c r="EG43">
        <v>0</v>
      </c>
      <c r="EH43">
        <v>1078.740666666667</v>
      </c>
      <c r="EI43">
        <v>-11.017903333333329</v>
      </c>
      <c r="EJ43">
        <v>413.68340000000001</v>
      </c>
      <c r="EK43">
        <v>424.14273333333341</v>
      </c>
      <c r="EL43">
        <v>1.5967363333333331</v>
      </c>
      <c r="EM43">
        <v>420.00900000000001</v>
      </c>
      <c r="EN43">
        <v>9.746100000000002</v>
      </c>
      <c r="EO43">
        <v>1.032759</v>
      </c>
      <c r="EP43">
        <v>0.88737740000000009</v>
      </c>
      <c r="EQ43">
        <v>7.3869153333333326</v>
      </c>
      <c r="ER43">
        <v>5.1876440000000006</v>
      </c>
      <c r="ES43">
        <v>900.01240000000007</v>
      </c>
      <c r="ET43">
        <v>0.95599533333333331</v>
      </c>
      <c r="EU43">
        <v>4.4004686666666681E-2</v>
      </c>
      <c r="EV43">
        <v>0</v>
      </c>
      <c r="EW43">
        <v>1206.6679999999999</v>
      </c>
      <c r="EX43">
        <v>5.0005600000000019</v>
      </c>
      <c r="EY43">
        <v>10835.52</v>
      </c>
      <c r="EZ43">
        <v>7699.8113333333331</v>
      </c>
      <c r="FA43">
        <v>37.195599999999992</v>
      </c>
      <c r="FB43">
        <v>41.097566666666651</v>
      </c>
      <c r="FC43">
        <v>38.697633333333322</v>
      </c>
      <c r="FD43">
        <v>40.518533333333323</v>
      </c>
      <c r="FE43">
        <v>38.851833333333317</v>
      </c>
      <c r="FF43">
        <v>855.62833333333333</v>
      </c>
      <c r="FG43">
        <v>39.385666666666673</v>
      </c>
      <c r="FH43">
        <v>0</v>
      </c>
      <c r="FI43">
        <v>127.4000000953674</v>
      </c>
      <c r="FJ43">
        <v>0</v>
      </c>
      <c r="FK43">
        <v>1206.6219230769229</v>
      </c>
      <c r="FL43">
        <v>-7.612649554358903</v>
      </c>
      <c r="FM43">
        <v>-35.275213624882348</v>
      </c>
      <c r="FN43">
        <v>10835.16923076923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-11.03569756097561</v>
      </c>
      <c r="GD43">
        <v>0.3682891986062391</v>
      </c>
      <c r="GE43">
        <v>5.0415911579506742E-2</v>
      </c>
      <c r="GF43">
        <v>1</v>
      </c>
      <c r="GG43">
        <v>1207.0135294117649</v>
      </c>
      <c r="GH43">
        <v>-6.5368983927394266</v>
      </c>
      <c r="GI43">
        <v>0.68592094533743408</v>
      </c>
      <c r="GJ43">
        <v>0</v>
      </c>
      <c r="GK43">
        <v>1.58720243902439</v>
      </c>
      <c r="GL43">
        <v>0.14551024390243911</v>
      </c>
      <c r="GM43">
        <v>1.465149218746856E-2</v>
      </c>
      <c r="GN43">
        <v>0</v>
      </c>
      <c r="GO43">
        <v>1</v>
      </c>
      <c r="GP43">
        <v>3</v>
      </c>
      <c r="GQ43" t="s">
        <v>442</v>
      </c>
      <c r="GR43">
        <v>3.1328800000000001</v>
      </c>
      <c r="GS43">
        <v>2.6978200000000001</v>
      </c>
      <c r="GT43">
        <v>8.5512299999999999E-2</v>
      </c>
      <c r="GU43">
        <v>8.7814299999999998E-2</v>
      </c>
      <c r="GV43">
        <v>6.3572000000000004E-2</v>
      </c>
      <c r="GW43">
        <v>5.7195700000000002E-2</v>
      </c>
      <c r="GX43">
        <v>27814.7</v>
      </c>
      <c r="GY43">
        <v>26756.1</v>
      </c>
      <c r="GZ43">
        <v>30937.3</v>
      </c>
      <c r="HA43">
        <v>29561.3</v>
      </c>
      <c r="HB43">
        <v>39938.9</v>
      </c>
      <c r="HC43">
        <v>36692</v>
      </c>
      <c r="HD43">
        <v>47259.199999999997</v>
      </c>
      <c r="HE43">
        <v>43939</v>
      </c>
      <c r="HF43">
        <v>1.89385</v>
      </c>
      <c r="HG43">
        <v>1.9129</v>
      </c>
      <c r="HH43">
        <v>4.7721E-2</v>
      </c>
      <c r="HI43">
        <v>0</v>
      </c>
      <c r="HJ43">
        <v>17.2349</v>
      </c>
      <c r="HK43">
        <v>999.9</v>
      </c>
      <c r="HL43">
        <v>26.7</v>
      </c>
      <c r="HM43">
        <v>30.2</v>
      </c>
      <c r="HN43">
        <v>12.6371</v>
      </c>
      <c r="HO43">
        <v>63.4589</v>
      </c>
      <c r="HP43">
        <v>19.154599999999999</v>
      </c>
      <c r="HQ43">
        <v>1</v>
      </c>
      <c r="HR43">
        <v>-0.26068599999999997</v>
      </c>
      <c r="HS43">
        <v>3.2738399999999999</v>
      </c>
      <c r="HT43">
        <v>20.185199999999998</v>
      </c>
      <c r="HU43">
        <v>5.2355600000000004</v>
      </c>
      <c r="HV43">
        <v>11.974</v>
      </c>
      <c r="HW43">
        <v>4.9732000000000003</v>
      </c>
      <c r="HX43">
        <v>3.2909999999999999</v>
      </c>
      <c r="HY43">
        <v>9999</v>
      </c>
      <c r="HZ43">
        <v>9999</v>
      </c>
      <c r="IA43">
        <v>9999</v>
      </c>
      <c r="IB43">
        <v>999.9</v>
      </c>
      <c r="IC43">
        <v>4.9729000000000001</v>
      </c>
      <c r="ID43">
        <v>1.8772</v>
      </c>
      <c r="IE43">
        <v>1.87531</v>
      </c>
      <c r="IF43">
        <v>1.87805</v>
      </c>
      <c r="IG43">
        <v>1.8748499999999999</v>
      </c>
      <c r="IH43">
        <v>1.8784000000000001</v>
      </c>
      <c r="II43">
        <v>1.87551</v>
      </c>
      <c r="IJ43">
        <v>1.8766799999999999</v>
      </c>
      <c r="IK43">
        <v>0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0.81799999999999995</v>
      </c>
      <c r="IY43">
        <v>9.1899999999999996E-2</v>
      </c>
      <c r="IZ43">
        <v>6.1933660764125778E-2</v>
      </c>
      <c r="JA43">
        <v>2.058711587971173E-3</v>
      </c>
      <c r="JB43">
        <v>-6.1309262243104059E-7</v>
      </c>
      <c r="JC43">
        <v>2.6183910446277612E-10</v>
      </c>
      <c r="JD43">
        <v>3.5078820932035488E-4</v>
      </c>
      <c r="JE43">
        <v>-4.3284922736758413E-3</v>
      </c>
      <c r="JF43">
        <v>1.4186339569364E-3</v>
      </c>
      <c r="JG43">
        <v>-2.7770646863349432E-5</v>
      </c>
      <c r="JH43">
        <v>2</v>
      </c>
      <c r="JI43">
        <v>2136</v>
      </c>
      <c r="JJ43">
        <v>1</v>
      </c>
      <c r="JK43">
        <v>19</v>
      </c>
      <c r="JL43">
        <v>29361365.300000001</v>
      </c>
      <c r="JM43">
        <v>29361365.300000001</v>
      </c>
      <c r="JN43">
        <v>1.09863</v>
      </c>
      <c r="JO43">
        <v>2.5451700000000002</v>
      </c>
      <c r="JP43">
        <v>1.39893</v>
      </c>
      <c r="JQ43">
        <v>2.32178</v>
      </c>
      <c r="JR43">
        <v>1.4489700000000001</v>
      </c>
      <c r="JS43">
        <v>2.5817899999999998</v>
      </c>
      <c r="JT43">
        <v>36.011299999999999</v>
      </c>
      <c r="JU43">
        <v>23.8949</v>
      </c>
      <c r="JV43">
        <v>18</v>
      </c>
      <c r="JW43">
        <v>479.21300000000002</v>
      </c>
      <c r="JX43">
        <v>460.25700000000001</v>
      </c>
      <c r="JY43">
        <v>14.000500000000001</v>
      </c>
      <c r="JZ43">
        <v>23.6035</v>
      </c>
      <c r="KA43">
        <v>30.0001</v>
      </c>
      <c r="KB43">
        <v>23.372800000000002</v>
      </c>
      <c r="KC43">
        <v>23.453700000000001</v>
      </c>
      <c r="KD43">
        <v>22.0334</v>
      </c>
      <c r="KE43">
        <v>15.676500000000001</v>
      </c>
      <c r="KF43">
        <v>22.261800000000001</v>
      </c>
      <c r="KG43">
        <v>13.981400000000001</v>
      </c>
      <c r="KH43">
        <v>420</v>
      </c>
      <c r="KI43">
        <v>9.7777899999999995</v>
      </c>
      <c r="KJ43">
        <v>102.188</v>
      </c>
      <c r="KK43">
        <v>101.056</v>
      </c>
    </row>
    <row r="44" spans="1:297" x14ac:dyDescent="0.3">
      <c r="A44">
        <v>28</v>
      </c>
      <c r="B44">
        <v>1761682048</v>
      </c>
      <c r="C44">
        <v>4598</v>
      </c>
      <c r="D44" t="s">
        <v>554</v>
      </c>
      <c r="E44" t="s">
        <v>555</v>
      </c>
      <c r="F44">
        <v>5</v>
      </c>
      <c r="G44" t="s">
        <v>535</v>
      </c>
      <c r="H44" t="s">
        <v>436</v>
      </c>
      <c r="I44">
        <v>1761682040.25</v>
      </c>
      <c r="J44">
        <f t="shared" si="0"/>
        <v>1.2532418492485055E-3</v>
      </c>
      <c r="K44">
        <f t="shared" si="1"/>
        <v>1.2532418492485056</v>
      </c>
      <c r="L44">
        <f t="shared" si="2"/>
        <v>7.9842039807080951</v>
      </c>
      <c r="M44">
        <f t="shared" si="3"/>
        <v>409.83503333333329</v>
      </c>
      <c r="N44">
        <f t="shared" si="4"/>
        <v>258.46129911291104</v>
      </c>
      <c r="O44">
        <f t="shared" si="5"/>
        <v>23.539219276779761</v>
      </c>
      <c r="P44">
        <f t="shared" si="6"/>
        <v>37.325498053483102</v>
      </c>
      <c r="Q44">
        <f t="shared" si="7"/>
        <v>9.0193057655980638E-2</v>
      </c>
      <c r="R44">
        <f t="shared" si="8"/>
        <v>2.7684804826956873</v>
      </c>
      <c r="S44">
        <f t="shared" si="9"/>
        <v>8.8591904487725956E-2</v>
      </c>
      <c r="T44">
        <f t="shared" si="10"/>
        <v>5.5511429969961654E-2</v>
      </c>
      <c r="U44">
        <f t="shared" si="11"/>
        <v>297.60856002895503</v>
      </c>
      <c r="V44">
        <f t="shared" si="12"/>
        <v>19.773209781368564</v>
      </c>
      <c r="W44">
        <f t="shared" si="13"/>
        <v>19.773209781368564</v>
      </c>
      <c r="X44">
        <f t="shared" si="14"/>
        <v>2.3138591084200009</v>
      </c>
      <c r="Y44">
        <f t="shared" si="15"/>
        <v>49.845535025485511</v>
      </c>
      <c r="Z44">
        <f t="shared" si="16"/>
        <v>1.0492865879664823</v>
      </c>
      <c r="AA44">
        <f t="shared" si="17"/>
        <v>2.1050763873434057</v>
      </c>
      <c r="AB44">
        <f t="shared" si="18"/>
        <v>1.2645725204535185</v>
      </c>
      <c r="AC44">
        <f t="shared" si="19"/>
        <v>-55.267965551859092</v>
      </c>
      <c r="AD44">
        <f t="shared" si="20"/>
        <v>-226.2043417731723</v>
      </c>
      <c r="AE44">
        <f t="shared" si="21"/>
        <v>-16.262638001100541</v>
      </c>
      <c r="AF44">
        <f t="shared" si="22"/>
        <v>-0.12638529717690972</v>
      </c>
      <c r="AG44">
        <f t="shared" si="23"/>
        <v>7.9685824707889381</v>
      </c>
      <c r="AH44">
        <f t="shared" si="24"/>
        <v>1.2263203648632677</v>
      </c>
      <c r="AI44">
        <f t="shared" si="25"/>
        <v>7.9842039807080951</v>
      </c>
      <c r="AJ44">
        <v>424.28979790778061</v>
      </c>
      <c r="AK44">
        <v>414.61281818181811</v>
      </c>
      <c r="AL44">
        <v>-1.8745575860048359E-4</v>
      </c>
      <c r="AM44">
        <v>65.162009686645987</v>
      </c>
      <c r="AN44">
        <f t="shared" si="26"/>
        <v>1.2532418492485056</v>
      </c>
      <c r="AO44">
        <v>10.08233563825284</v>
      </c>
      <c r="AP44">
        <v>11.558695804195811</v>
      </c>
      <c r="AQ44">
        <v>1.383902273436618E-3</v>
      </c>
      <c r="AR44">
        <v>96.700883989501207</v>
      </c>
      <c r="AS44">
        <v>1</v>
      </c>
      <c r="AT44">
        <v>0</v>
      </c>
      <c r="AU44">
        <f t="shared" si="27"/>
        <v>1</v>
      </c>
      <c r="AV44">
        <f t="shared" si="28"/>
        <v>0</v>
      </c>
      <c r="AW44">
        <f t="shared" si="29"/>
        <v>49610.05887418265</v>
      </c>
      <c r="AX44" t="s">
        <v>532</v>
      </c>
      <c r="AY44">
        <v>5015.3900000000003</v>
      </c>
      <c r="AZ44">
        <v>720.62307692307695</v>
      </c>
      <c r="BA44">
        <v>1722.6585452279171</v>
      </c>
      <c r="BB44">
        <f t="shared" si="30"/>
        <v>0.58167967823958144</v>
      </c>
      <c r="BC44">
        <v>-1.1949397654950511</v>
      </c>
      <c r="BD44" t="s">
        <v>556</v>
      </c>
      <c r="BE44">
        <v>5071.93</v>
      </c>
      <c r="BF44">
        <v>1127.0903846153849</v>
      </c>
      <c r="BG44">
        <v>1458.859120878381</v>
      </c>
      <c r="BH44">
        <f t="shared" si="31"/>
        <v>0.22741656923201581</v>
      </c>
      <c r="BI44">
        <v>0.5</v>
      </c>
      <c r="BJ44">
        <f t="shared" si="48"/>
        <v>1378.2999020702703</v>
      </c>
      <c r="BK44">
        <f t="shared" si="32"/>
        <v>7.9842039807080951</v>
      </c>
      <c r="BL44">
        <f t="shared" si="49"/>
        <v>156.72411755082211</v>
      </c>
      <c r="BM44">
        <f t="shared" si="33"/>
        <v>6.6597579615406246E-3</v>
      </c>
      <c r="BN44">
        <f t="shared" si="34"/>
        <v>0.18082583888614423</v>
      </c>
      <c r="BO44">
        <f t="shared" si="35"/>
        <v>669.94625024198797</v>
      </c>
      <c r="BP44" t="s">
        <v>557</v>
      </c>
      <c r="BQ44">
        <v>745.2</v>
      </c>
      <c r="BR44">
        <f t="shared" si="36"/>
        <v>745.2</v>
      </c>
      <c r="BS44">
        <f t="shared" si="37"/>
        <v>0.48918988178151557</v>
      </c>
      <c r="BT44">
        <f t="shared" si="38"/>
        <v>0.46488404135387607</v>
      </c>
      <c r="BU44">
        <f t="shared" si="39"/>
        <v>0.26988297932167055</v>
      </c>
      <c r="BV44">
        <f t="shared" si="40"/>
        <v>0.44940739344756619</v>
      </c>
      <c r="BW44">
        <f t="shared" si="41"/>
        <v>0.26326355971791093</v>
      </c>
      <c r="BX44">
        <f t="shared" si="42"/>
        <v>0.3073680623538696</v>
      </c>
      <c r="BY44">
        <f t="shared" si="43"/>
        <v>0.6926319376461304</v>
      </c>
      <c r="BZ44">
        <v>419</v>
      </c>
      <c r="CA44">
        <v>290.00000000000011</v>
      </c>
      <c r="CB44">
        <v>1406.4</v>
      </c>
      <c r="CC44">
        <v>235</v>
      </c>
      <c r="CD44">
        <v>5071.93</v>
      </c>
      <c r="CE44">
        <v>1406.43</v>
      </c>
      <c r="CF44">
        <v>-0.03</v>
      </c>
      <c r="CG44">
        <v>300.00000000000011</v>
      </c>
      <c r="CH44">
        <v>23.9</v>
      </c>
      <c r="CI44">
        <v>1458.859120878381</v>
      </c>
      <c r="CJ44">
        <v>1.6194257541071091</v>
      </c>
      <c r="CK44">
        <v>-26.589281251938669</v>
      </c>
      <c r="CL44">
        <v>0.72536160112894454</v>
      </c>
      <c r="CM44">
        <v>0.97958745417513438</v>
      </c>
      <c r="CN44">
        <v>-3.7029305895439372E-3</v>
      </c>
      <c r="CO44">
        <v>289.99999999999989</v>
      </c>
      <c r="CP44">
        <v>1404.64</v>
      </c>
      <c r="CQ44">
        <v>845</v>
      </c>
      <c r="CR44">
        <v>5070.87</v>
      </c>
      <c r="CS44">
        <v>1406.42</v>
      </c>
      <c r="CT44">
        <v>-1.78</v>
      </c>
      <c r="DH44">
        <f t="shared" si="44"/>
        <v>1678.8134666666665</v>
      </c>
      <c r="DI44">
        <f t="shared" si="45"/>
        <v>1378.2999020702703</v>
      </c>
      <c r="DJ44">
        <f t="shared" si="46"/>
        <v>0.82099645340999394</v>
      </c>
      <c r="DK44">
        <f t="shared" si="47"/>
        <v>0.17727315508128821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1761682040.25</v>
      </c>
      <c r="DR44">
        <v>409.83503333333329</v>
      </c>
      <c r="DS44">
        <v>419.9998333333333</v>
      </c>
      <c r="DT44">
        <v>11.52119666666667</v>
      </c>
      <c r="DU44">
        <v>10.066653333333329</v>
      </c>
      <c r="DV44">
        <v>409.01580000000001</v>
      </c>
      <c r="DW44">
        <v>11.426503333333329</v>
      </c>
      <c r="DX44">
        <v>500.02980000000002</v>
      </c>
      <c r="DY44">
        <v>91.054659999999998</v>
      </c>
      <c r="DZ44">
        <v>1.9784636666666671E-2</v>
      </c>
      <c r="EA44">
        <v>18.25764666666667</v>
      </c>
      <c r="EB44">
        <v>18.00534</v>
      </c>
      <c r="EC44">
        <v>999.9000000000002</v>
      </c>
      <c r="ED44">
        <v>0</v>
      </c>
      <c r="EE44">
        <v>0</v>
      </c>
      <c r="EF44">
        <v>10003.732333333341</v>
      </c>
      <c r="EG44">
        <v>0</v>
      </c>
      <c r="EH44">
        <v>1078.8313333333331</v>
      </c>
      <c r="EI44">
        <v>-10.16478</v>
      </c>
      <c r="EJ44">
        <v>414.6118666666668</v>
      </c>
      <c r="EK44">
        <v>424.27083333333331</v>
      </c>
      <c r="EL44">
        <v>1.454539333333333</v>
      </c>
      <c r="EM44">
        <v>419.9998333333333</v>
      </c>
      <c r="EN44">
        <v>10.066653333333329</v>
      </c>
      <c r="EO44">
        <v>1.049058</v>
      </c>
      <c r="EP44">
        <v>0.91661546666666671</v>
      </c>
      <c r="EQ44">
        <v>7.6161080000000014</v>
      </c>
      <c r="ER44">
        <v>5.6542656666666664</v>
      </c>
      <c r="ES44">
        <v>599.98213333333331</v>
      </c>
      <c r="ET44">
        <v>0.93301256666666676</v>
      </c>
      <c r="EU44">
        <v>6.6987489999999997E-2</v>
      </c>
      <c r="EV44">
        <v>0</v>
      </c>
      <c r="EW44">
        <v>1127.0709999999999</v>
      </c>
      <c r="EX44">
        <v>5.0005600000000019</v>
      </c>
      <c r="EY44">
        <v>6763.0620000000008</v>
      </c>
      <c r="EZ44">
        <v>5080.9933333333329</v>
      </c>
      <c r="FA44">
        <v>36.966333333333317</v>
      </c>
      <c r="FB44">
        <v>40.256066666666662</v>
      </c>
      <c r="FC44">
        <v>38.460166666666659</v>
      </c>
      <c r="FD44">
        <v>39.428899999999992</v>
      </c>
      <c r="FE44">
        <v>38.21009999999999</v>
      </c>
      <c r="FF44">
        <v>555.12533333333329</v>
      </c>
      <c r="FG44">
        <v>39.856999999999992</v>
      </c>
      <c r="FH44">
        <v>0</v>
      </c>
      <c r="FI44">
        <v>127.4000000953674</v>
      </c>
      <c r="FJ44">
        <v>0</v>
      </c>
      <c r="FK44">
        <v>1127.0903846153849</v>
      </c>
      <c r="FL44">
        <v>1.7111111003493731</v>
      </c>
      <c r="FM44">
        <v>-12.905640982151141</v>
      </c>
      <c r="FN44">
        <v>6763.2042307692309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-10.16776097560976</v>
      </c>
      <c r="GD44">
        <v>7.0231358885000983E-2</v>
      </c>
      <c r="GE44">
        <v>1.9289070304048569E-2</v>
      </c>
      <c r="GF44">
        <v>1</v>
      </c>
      <c r="GG44">
        <v>1126.9979411764709</v>
      </c>
      <c r="GH44">
        <v>1.777998471205247</v>
      </c>
      <c r="GI44">
        <v>0.26379336177444229</v>
      </c>
      <c r="GJ44">
        <v>0</v>
      </c>
      <c r="GK44">
        <v>1.448255609756097</v>
      </c>
      <c r="GL44">
        <v>0.1160598606271807</v>
      </c>
      <c r="GM44">
        <v>1.231517625093575E-2</v>
      </c>
      <c r="GN44">
        <v>0</v>
      </c>
      <c r="GO44">
        <v>1</v>
      </c>
      <c r="GP44">
        <v>3</v>
      </c>
      <c r="GQ44" t="s">
        <v>442</v>
      </c>
      <c r="GR44">
        <v>3.13253</v>
      </c>
      <c r="GS44">
        <v>2.6976800000000001</v>
      </c>
      <c r="GT44">
        <v>8.5650199999999996E-2</v>
      </c>
      <c r="GU44">
        <v>8.7819800000000003E-2</v>
      </c>
      <c r="GV44">
        <v>6.4436499999999994E-2</v>
      </c>
      <c r="GW44">
        <v>5.8736099999999999E-2</v>
      </c>
      <c r="GX44">
        <v>27812.5</v>
      </c>
      <c r="GY44">
        <v>26756.799999999999</v>
      </c>
      <c r="GZ44">
        <v>30939.5</v>
      </c>
      <c r="HA44">
        <v>29562.2</v>
      </c>
      <c r="HB44">
        <v>39903.599999999999</v>
      </c>
      <c r="HC44">
        <v>36632.699999999997</v>
      </c>
      <c r="HD44">
        <v>47261.5</v>
      </c>
      <c r="HE44">
        <v>43940.5</v>
      </c>
      <c r="HF44">
        <v>1.8930499999999999</v>
      </c>
      <c r="HG44">
        <v>1.9143699999999999</v>
      </c>
      <c r="HH44">
        <v>3.7848899999999998E-2</v>
      </c>
      <c r="HI44">
        <v>0</v>
      </c>
      <c r="HJ44">
        <v>17.372800000000002</v>
      </c>
      <c r="HK44">
        <v>999.9</v>
      </c>
      <c r="HL44">
        <v>26.7</v>
      </c>
      <c r="HM44">
        <v>30.2</v>
      </c>
      <c r="HN44">
        <v>12.6373</v>
      </c>
      <c r="HO44">
        <v>63.628900000000002</v>
      </c>
      <c r="HP44">
        <v>19.2788</v>
      </c>
      <c r="HQ44">
        <v>1</v>
      </c>
      <c r="HR44">
        <v>-0.26397900000000002</v>
      </c>
      <c r="HS44">
        <v>2.8510599999999999</v>
      </c>
      <c r="HT44">
        <v>20.193200000000001</v>
      </c>
      <c r="HU44">
        <v>5.2398999999999996</v>
      </c>
      <c r="HV44">
        <v>11.974</v>
      </c>
      <c r="HW44">
        <v>4.9730999999999996</v>
      </c>
      <c r="HX44">
        <v>3.2909999999999999</v>
      </c>
      <c r="HY44">
        <v>9999</v>
      </c>
      <c r="HZ44">
        <v>9999</v>
      </c>
      <c r="IA44">
        <v>9999</v>
      </c>
      <c r="IB44">
        <v>999.9</v>
      </c>
      <c r="IC44">
        <v>4.9729099999999997</v>
      </c>
      <c r="ID44">
        <v>1.87724</v>
      </c>
      <c r="IE44">
        <v>1.87531</v>
      </c>
      <c r="IF44">
        <v>1.8781000000000001</v>
      </c>
      <c r="IG44">
        <v>1.8748499999999999</v>
      </c>
      <c r="IH44">
        <v>1.8784799999999999</v>
      </c>
      <c r="II44">
        <v>1.8755999999999999</v>
      </c>
      <c r="IJ44">
        <v>1.8767</v>
      </c>
      <c r="IK44">
        <v>0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0.81899999999999995</v>
      </c>
      <c r="IY44">
        <v>9.5299999999999996E-2</v>
      </c>
      <c r="IZ44">
        <v>6.1933660764125778E-2</v>
      </c>
      <c r="JA44">
        <v>2.058711587971173E-3</v>
      </c>
      <c r="JB44">
        <v>-6.1309262243104059E-7</v>
      </c>
      <c r="JC44">
        <v>2.6183910446277612E-10</v>
      </c>
      <c r="JD44">
        <v>3.5078820932035488E-4</v>
      </c>
      <c r="JE44">
        <v>-4.3284922736758413E-3</v>
      </c>
      <c r="JF44">
        <v>1.4186339569364E-3</v>
      </c>
      <c r="JG44">
        <v>-2.7770646863349432E-5</v>
      </c>
      <c r="JH44">
        <v>2</v>
      </c>
      <c r="JI44">
        <v>2136</v>
      </c>
      <c r="JJ44">
        <v>1</v>
      </c>
      <c r="JK44">
        <v>19</v>
      </c>
      <c r="JL44">
        <v>29361367.5</v>
      </c>
      <c r="JM44">
        <v>29361367.5</v>
      </c>
      <c r="JN44">
        <v>1.09985</v>
      </c>
      <c r="JO44">
        <v>2.5451700000000002</v>
      </c>
      <c r="JP44">
        <v>1.39893</v>
      </c>
      <c r="JQ44">
        <v>2.32056</v>
      </c>
      <c r="JR44">
        <v>1.4489700000000001</v>
      </c>
      <c r="JS44">
        <v>2.52075</v>
      </c>
      <c r="JT44">
        <v>36.011299999999999</v>
      </c>
      <c r="JU44">
        <v>23.903600000000001</v>
      </c>
      <c r="JV44">
        <v>18</v>
      </c>
      <c r="JW44">
        <v>478.678</v>
      </c>
      <c r="JX44">
        <v>461.04399999999998</v>
      </c>
      <c r="JY44">
        <v>14.539400000000001</v>
      </c>
      <c r="JZ44">
        <v>23.579699999999999</v>
      </c>
      <c r="KA44">
        <v>29.9999</v>
      </c>
      <c r="KB44">
        <v>23.3569</v>
      </c>
      <c r="KC44">
        <v>23.437999999999999</v>
      </c>
      <c r="KD44">
        <v>22.0398</v>
      </c>
      <c r="KE44">
        <v>11.416700000000001</v>
      </c>
      <c r="KF44">
        <v>22.635400000000001</v>
      </c>
      <c r="KG44">
        <v>14.535</v>
      </c>
      <c r="KH44">
        <v>420</v>
      </c>
      <c r="KI44">
        <v>10.099399999999999</v>
      </c>
      <c r="KJ44">
        <v>102.194</v>
      </c>
      <c r="KK44">
        <v>101.059</v>
      </c>
    </row>
    <row r="45" spans="1:297" x14ac:dyDescent="0.3">
      <c r="A45">
        <v>29</v>
      </c>
      <c r="B45">
        <v>1761682177.5</v>
      </c>
      <c r="C45">
        <v>4727.5</v>
      </c>
      <c r="D45" t="s">
        <v>558</v>
      </c>
      <c r="E45" t="s">
        <v>559</v>
      </c>
      <c r="F45">
        <v>5</v>
      </c>
      <c r="G45" t="s">
        <v>535</v>
      </c>
      <c r="H45" t="s">
        <v>436</v>
      </c>
      <c r="I45">
        <v>1761682169.75</v>
      </c>
      <c r="J45">
        <f t="shared" si="0"/>
        <v>1.2328769628346221E-3</v>
      </c>
      <c r="K45">
        <f t="shared" si="1"/>
        <v>1.2328769628346221</v>
      </c>
      <c r="L45">
        <f t="shared" si="2"/>
        <v>6.3953739525833591</v>
      </c>
      <c r="M45">
        <f t="shared" si="3"/>
        <v>411.68093333333331</v>
      </c>
      <c r="N45">
        <f t="shared" si="4"/>
        <v>289.43256122644317</v>
      </c>
      <c r="O45">
        <f t="shared" si="5"/>
        <v>26.359965780596482</v>
      </c>
      <c r="P45">
        <f t="shared" si="6"/>
        <v>37.493692033843061</v>
      </c>
      <c r="Q45">
        <f t="shared" si="7"/>
        <v>9.0752573109347826E-2</v>
      </c>
      <c r="R45">
        <f t="shared" si="8"/>
        <v>2.7666779996850908</v>
      </c>
      <c r="S45">
        <f t="shared" si="9"/>
        <v>8.9130649474813639E-2</v>
      </c>
      <c r="T45">
        <f t="shared" si="10"/>
        <v>5.584996489361152E-2</v>
      </c>
      <c r="U45">
        <f t="shared" si="11"/>
        <v>245.68482801612774</v>
      </c>
      <c r="V45">
        <f t="shared" si="12"/>
        <v>19.592973377037868</v>
      </c>
      <c r="W45">
        <f t="shared" si="13"/>
        <v>19.592973377037868</v>
      </c>
      <c r="X45">
        <f t="shared" si="14"/>
        <v>2.2881150440880758</v>
      </c>
      <c r="Y45">
        <f t="shared" si="15"/>
        <v>49.516776345837549</v>
      </c>
      <c r="Z45">
        <f t="shared" si="16"/>
        <v>1.0514451612439515</v>
      </c>
      <c r="AA45">
        <f t="shared" si="17"/>
        <v>2.1234119804172944</v>
      </c>
      <c r="AB45">
        <f t="shared" si="18"/>
        <v>1.2366698828441243</v>
      </c>
      <c r="AC45">
        <f t="shared" si="19"/>
        <v>-54.369874061006833</v>
      </c>
      <c r="AD45">
        <f t="shared" si="20"/>
        <v>-178.55154926881659</v>
      </c>
      <c r="AE45">
        <f t="shared" si="21"/>
        <v>-12.842269433490834</v>
      </c>
      <c r="AF45">
        <f t="shared" si="22"/>
        <v>-7.8864747186514705E-2</v>
      </c>
      <c r="AG45">
        <f t="shared" si="23"/>
        <v>6.4309741139812839</v>
      </c>
      <c r="AH45">
        <f t="shared" si="24"/>
        <v>1.1540930859690526</v>
      </c>
      <c r="AI45">
        <f t="shared" si="25"/>
        <v>6.3953739525833591</v>
      </c>
      <c r="AJ45">
        <v>424.29508567735371</v>
      </c>
      <c r="AK45">
        <v>416.54018787878789</v>
      </c>
      <c r="AL45">
        <v>2.9348041741641902E-4</v>
      </c>
      <c r="AM45">
        <v>65.162009686645987</v>
      </c>
      <c r="AN45">
        <f t="shared" si="26"/>
        <v>1.2328769628346221</v>
      </c>
      <c r="AO45">
        <v>10.21047337658362</v>
      </c>
      <c r="AP45">
        <v>11.610344755244761</v>
      </c>
      <c r="AQ45">
        <v>8.5923385300915311E-3</v>
      </c>
      <c r="AR45">
        <v>96.700883989501207</v>
      </c>
      <c r="AS45">
        <v>1</v>
      </c>
      <c r="AT45">
        <v>0</v>
      </c>
      <c r="AU45">
        <f t="shared" si="27"/>
        <v>1</v>
      </c>
      <c r="AV45">
        <f t="shared" si="28"/>
        <v>0</v>
      </c>
      <c r="AW45">
        <f t="shared" si="29"/>
        <v>49535.952767226081</v>
      </c>
      <c r="AX45" t="s">
        <v>532</v>
      </c>
      <c r="AY45">
        <v>5015.3900000000003</v>
      </c>
      <c r="AZ45">
        <v>720.62307692307695</v>
      </c>
      <c r="BA45">
        <v>1722.6585452279171</v>
      </c>
      <c r="BB45">
        <f t="shared" si="30"/>
        <v>0.58167967823958144</v>
      </c>
      <c r="BC45">
        <v>-1.1949397654950511</v>
      </c>
      <c r="BD45" t="s">
        <v>560</v>
      </c>
      <c r="BE45">
        <v>5064.07</v>
      </c>
      <c r="BF45">
        <v>960.73123076923059</v>
      </c>
      <c r="BG45">
        <v>1552.877393389356</v>
      </c>
      <c r="BH45">
        <f t="shared" si="31"/>
        <v>0.38132190290161272</v>
      </c>
      <c r="BI45">
        <v>0.5</v>
      </c>
      <c r="BJ45">
        <f t="shared" si="48"/>
        <v>1132.5876564850403</v>
      </c>
      <c r="BK45">
        <f t="shared" si="32"/>
        <v>6.3953739525833591</v>
      </c>
      <c r="BL45">
        <f t="shared" si="49"/>
        <v>215.94024018687682</v>
      </c>
      <c r="BM45">
        <f t="shared" si="33"/>
        <v>6.701745047826827E-3</v>
      </c>
      <c r="BN45">
        <f t="shared" si="34"/>
        <v>0.10933326260097825</v>
      </c>
      <c r="BO45">
        <f t="shared" si="35"/>
        <v>689.10590489075537</v>
      </c>
      <c r="BP45" t="s">
        <v>561</v>
      </c>
      <c r="BQ45">
        <v>736.2</v>
      </c>
      <c r="BR45">
        <f t="shared" si="36"/>
        <v>736.2</v>
      </c>
      <c r="BS45">
        <f t="shared" si="37"/>
        <v>0.52591234624573402</v>
      </c>
      <c r="BT45">
        <f t="shared" si="38"/>
        <v>0.72506741023234877</v>
      </c>
      <c r="BU45">
        <f t="shared" si="39"/>
        <v>0.17211179593901116</v>
      </c>
      <c r="BV45">
        <f t="shared" si="40"/>
        <v>0.71149665541460461</v>
      </c>
      <c r="BW45">
        <f t="shared" si="41"/>
        <v>0.16943626968193315</v>
      </c>
      <c r="BX45">
        <f t="shared" si="42"/>
        <v>0.55561286061832382</v>
      </c>
      <c r="BY45">
        <f t="shared" si="43"/>
        <v>0.44438713938167618</v>
      </c>
      <c r="BZ45">
        <v>421</v>
      </c>
      <c r="CA45">
        <v>290.00000000000011</v>
      </c>
      <c r="CB45">
        <v>1495.14</v>
      </c>
      <c r="CC45">
        <v>275</v>
      </c>
      <c r="CD45">
        <v>5064.07</v>
      </c>
      <c r="CE45">
        <v>1495.65</v>
      </c>
      <c r="CF45">
        <v>-0.51</v>
      </c>
      <c r="CG45">
        <v>300.00000000000011</v>
      </c>
      <c r="CH45">
        <v>23.9</v>
      </c>
      <c r="CI45">
        <v>1552.877393389356</v>
      </c>
      <c r="CJ45">
        <v>1.312778324807792</v>
      </c>
      <c r="CK45">
        <v>-28.97854039216277</v>
      </c>
      <c r="CL45">
        <v>0.58154595381049057</v>
      </c>
      <c r="CM45">
        <v>0.98884927275303447</v>
      </c>
      <c r="CN45">
        <v>-3.9457310344827657E-3</v>
      </c>
      <c r="CO45">
        <v>289.99999999999989</v>
      </c>
      <c r="CP45">
        <v>1494.36</v>
      </c>
      <c r="CQ45">
        <v>695</v>
      </c>
      <c r="CR45">
        <v>5063.75</v>
      </c>
      <c r="CS45">
        <v>1495.65</v>
      </c>
      <c r="CT45">
        <v>-1.29</v>
      </c>
      <c r="DH45">
        <f t="shared" si="44"/>
        <v>1378.7240000000002</v>
      </c>
      <c r="DI45">
        <f t="shared" si="45"/>
        <v>1132.5876564850403</v>
      </c>
      <c r="DJ45">
        <f t="shared" si="46"/>
        <v>0.82147526008471616</v>
      </c>
      <c r="DK45">
        <f t="shared" si="47"/>
        <v>0.17819725196350228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1761682169.75</v>
      </c>
      <c r="DR45">
        <v>411.68093333333331</v>
      </c>
      <c r="DS45">
        <v>419.96836666666661</v>
      </c>
      <c r="DT45">
        <v>11.54487333333333</v>
      </c>
      <c r="DU45">
        <v>10.175929999999999</v>
      </c>
      <c r="DV45">
        <v>410.8585666666666</v>
      </c>
      <c r="DW45">
        <v>11.44979666666667</v>
      </c>
      <c r="DX45">
        <v>499.99259999999992</v>
      </c>
      <c r="DY45">
        <v>91.054603333333333</v>
      </c>
      <c r="DZ45">
        <v>2.003481E-2</v>
      </c>
      <c r="EA45">
        <v>18.395903333333329</v>
      </c>
      <c r="EB45">
        <v>17.99243666666667</v>
      </c>
      <c r="EC45">
        <v>999.9000000000002</v>
      </c>
      <c r="ED45">
        <v>0</v>
      </c>
      <c r="EE45">
        <v>0</v>
      </c>
      <c r="EF45">
        <v>9993.103000000001</v>
      </c>
      <c r="EG45">
        <v>0</v>
      </c>
      <c r="EH45">
        <v>1078.73</v>
      </c>
      <c r="EI45">
        <v>-8.2873096666666672</v>
      </c>
      <c r="EJ45">
        <v>416.48933333333338</v>
      </c>
      <c r="EK45">
        <v>424.28583333333341</v>
      </c>
      <c r="EL45">
        <v>1.3689450000000001</v>
      </c>
      <c r="EM45">
        <v>419.96836666666661</v>
      </c>
      <c r="EN45">
        <v>10.175929999999999</v>
      </c>
      <c r="EO45">
        <v>1.0512140000000001</v>
      </c>
      <c r="EP45">
        <v>0.92656550000000015</v>
      </c>
      <c r="EQ45">
        <v>7.6461466666666666</v>
      </c>
      <c r="ER45">
        <v>5.8099873333333329</v>
      </c>
      <c r="ES45">
        <v>299.99400000000003</v>
      </c>
      <c r="ET45">
        <v>0.89998346666666673</v>
      </c>
      <c r="EU45">
        <v>0.1000165966666666</v>
      </c>
      <c r="EV45">
        <v>0</v>
      </c>
      <c r="EW45">
        <v>960.69253333333336</v>
      </c>
      <c r="EX45">
        <v>5.0005600000000019</v>
      </c>
      <c r="EY45">
        <v>2947.1776666666669</v>
      </c>
      <c r="EZ45">
        <v>2492.3466666666659</v>
      </c>
      <c r="FA45">
        <v>35.016533333333342</v>
      </c>
      <c r="FB45">
        <v>38.093533333333319</v>
      </c>
      <c r="FC45">
        <v>36.597599999999993</v>
      </c>
      <c r="FD45">
        <v>37.020533333333333</v>
      </c>
      <c r="FE45">
        <v>36.287266666666667</v>
      </c>
      <c r="FF45">
        <v>265.48933333333332</v>
      </c>
      <c r="FG45">
        <v>29.504666666666669</v>
      </c>
      <c r="FH45">
        <v>0</v>
      </c>
      <c r="FI45">
        <v>127.4000000953674</v>
      </c>
      <c r="FJ45">
        <v>0</v>
      </c>
      <c r="FK45">
        <v>960.73123076923059</v>
      </c>
      <c r="FL45">
        <v>11.7634871700833</v>
      </c>
      <c r="FM45">
        <v>33.646153748070027</v>
      </c>
      <c r="FN45">
        <v>2947.2649999999999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-8.271869756097562</v>
      </c>
      <c r="GD45">
        <v>-0.1887246689895391</v>
      </c>
      <c r="GE45">
        <v>3.090951471538356E-2</v>
      </c>
      <c r="GF45">
        <v>1</v>
      </c>
      <c r="GG45">
        <v>959.91038235294116</v>
      </c>
      <c r="GH45">
        <v>13.367868603826871</v>
      </c>
      <c r="GI45">
        <v>1.327170519978631</v>
      </c>
      <c r="GJ45">
        <v>0</v>
      </c>
      <c r="GK45">
        <v>1.3923012195121951</v>
      </c>
      <c r="GL45">
        <v>-0.3228516376306606</v>
      </c>
      <c r="GM45">
        <v>4.0391420858897679E-2</v>
      </c>
      <c r="GN45">
        <v>0</v>
      </c>
      <c r="GO45">
        <v>1</v>
      </c>
      <c r="GP45">
        <v>3</v>
      </c>
      <c r="GQ45" t="s">
        <v>442</v>
      </c>
      <c r="GR45">
        <v>3.1324999999999998</v>
      </c>
      <c r="GS45">
        <v>2.69794</v>
      </c>
      <c r="GT45">
        <v>8.5950399999999996E-2</v>
      </c>
      <c r="GU45">
        <v>8.78298E-2</v>
      </c>
      <c r="GV45">
        <v>6.46592E-2</v>
      </c>
      <c r="GW45">
        <v>5.9297000000000002E-2</v>
      </c>
      <c r="GX45">
        <v>27804.400000000001</v>
      </c>
      <c r="GY45">
        <v>26757</v>
      </c>
      <c r="GZ45">
        <v>30940.5</v>
      </c>
      <c r="HA45">
        <v>29562.7</v>
      </c>
      <c r="HB45">
        <v>39895.300000000003</v>
      </c>
      <c r="HC45">
        <v>36610.9</v>
      </c>
      <c r="HD45">
        <v>47263.1</v>
      </c>
      <c r="HE45">
        <v>43940.9</v>
      </c>
      <c r="HF45">
        <v>1.8932</v>
      </c>
      <c r="HG45">
        <v>1.9151499999999999</v>
      </c>
      <c r="HH45">
        <v>2.6728999999999999E-2</v>
      </c>
      <c r="HI45">
        <v>0</v>
      </c>
      <c r="HJ45">
        <v>17.540299999999998</v>
      </c>
      <c r="HK45">
        <v>999.9</v>
      </c>
      <c r="HL45">
        <v>26.8</v>
      </c>
      <c r="HM45">
        <v>30.3</v>
      </c>
      <c r="HN45">
        <v>12.757</v>
      </c>
      <c r="HO45">
        <v>63.838799999999999</v>
      </c>
      <c r="HP45">
        <v>19.363</v>
      </c>
      <c r="HQ45">
        <v>1</v>
      </c>
      <c r="HR45">
        <v>-0.26678400000000002</v>
      </c>
      <c r="HS45">
        <v>2.3270900000000001</v>
      </c>
      <c r="HT45">
        <v>20.205100000000002</v>
      </c>
      <c r="HU45">
        <v>5.2411000000000003</v>
      </c>
      <c r="HV45">
        <v>11.9739</v>
      </c>
      <c r="HW45">
        <v>4.9721500000000001</v>
      </c>
      <c r="HX45">
        <v>3.2909999999999999</v>
      </c>
      <c r="HY45">
        <v>9999</v>
      </c>
      <c r="HZ45">
        <v>9999</v>
      </c>
      <c r="IA45">
        <v>9999</v>
      </c>
      <c r="IB45">
        <v>999.9</v>
      </c>
      <c r="IC45">
        <v>4.9729200000000002</v>
      </c>
      <c r="ID45">
        <v>1.87723</v>
      </c>
      <c r="IE45">
        <v>1.87531</v>
      </c>
      <c r="IF45">
        <v>1.87808</v>
      </c>
      <c r="IG45">
        <v>1.8748499999999999</v>
      </c>
      <c r="IH45">
        <v>1.8784799999999999</v>
      </c>
      <c r="II45">
        <v>1.87554</v>
      </c>
      <c r="IJ45">
        <v>1.87669</v>
      </c>
      <c r="IK45">
        <v>0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0.82199999999999995</v>
      </c>
      <c r="IY45">
        <v>9.6299999999999997E-2</v>
      </c>
      <c r="IZ45">
        <v>6.1933660764125778E-2</v>
      </c>
      <c r="JA45">
        <v>2.058711587971173E-3</v>
      </c>
      <c r="JB45">
        <v>-6.1309262243104059E-7</v>
      </c>
      <c r="JC45">
        <v>2.6183910446277612E-10</v>
      </c>
      <c r="JD45">
        <v>3.5078820932035488E-4</v>
      </c>
      <c r="JE45">
        <v>-4.3284922736758413E-3</v>
      </c>
      <c r="JF45">
        <v>1.4186339569364E-3</v>
      </c>
      <c r="JG45">
        <v>-2.7770646863349432E-5</v>
      </c>
      <c r="JH45">
        <v>2</v>
      </c>
      <c r="JI45">
        <v>2136</v>
      </c>
      <c r="JJ45">
        <v>1</v>
      </c>
      <c r="JK45">
        <v>19</v>
      </c>
      <c r="JL45">
        <v>29361369.600000001</v>
      </c>
      <c r="JM45">
        <v>29361369.600000001</v>
      </c>
      <c r="JN45">
        <v>1.09863</v>
      </c>
      <c r="JO45">
        <v>2.5329600000000001</v>
      </c>
      <c r="JP45">
        <v>1.39893</v>
      </c>
      <c r="JQ45">
        <v>2.323</v>
      </c>
      <c r="JR45">
        <v>1.4489700000000001</v>
      </c>
      <c r="JS45">
        <v>2.5878899999999998</v>
      </c>
      <c r="JT45">
        <v>36.011299999999999</v>
      </c>
      <c r="JU45">
        <v>23.938700000000001</v>
      </c>
      <c r="JV45">
        <v>18</v>
      </c>
      <c r="JW45">
        <v>478.63099999999997</v>
      </c>
      <c r="JX45">
        <v>461.392</v>
      </c>
      <c r="JY45">
        <v>15.263</v>
      </c>
      <c r="JZ45">
        <v>23.5579</v>
      </c>
      <c r="KA45">
        <v>29.999500000000001</v>
      </c>
      <c r="KB45">
        <v>23.339200000000002</v>
      </c>
      <c r="KC45">
        <v>23.4223</v>
      </c>
      <c r="KD45">
        <v>22.0396</v>
      </c>
      <c r="KE45">
        <v>11.317399999999999</v>
      </c>
      <c r="KF45">
        <v>23.391500000000001</v>
      </c>
      <c r="KG45">
        <v>15.2921</v>
      </c>
      <c r="KH45">
        <v>420</v>
      </c>
      <c r="KI45">
        <v>10.2782</v>
      </c>
      <c r="KJ45">
        <v>102.19799999999999</v>
      </c>
      <c r="KK45">
        <v>101.06</v>
      </c>
    </row>
    <row r="46" spans="1:297" x14ac:dyDescent="0.3">
      <c r="A46">
        <v>30</v>
      </c>
      <c r="B46">
        <v>1761682307</v>
      </c>
      <c r="C46">
        <v>4857</v>
      </c>
      <c r="D46" t="s">
        <v>562</v>
      </c>
      <c r="E46" t="s">
        <v>563</v>
      </c>
      <c r="F46">
        <v>5</v>
      </c>
      <c r="G46" t="s">
        <v>535</v>
      </c>
      <c r="H46" t="s">
        <v>436</v>
      </c>
      <c r="I46">
        <v>1761682299.25</v>
      </c>
      <c r="J46">
        <f t="shared" si="0"/>
        <v>1.2223871832955455E-3</v>
      </c>
      <c r="K46">
        <f t="shared" si="1"/>
        <v>1.2223871832955455</v>
      </c>
      <c r="L46">
        <f t="shared" si="2"/>
        <v>4.2577097723706592</v>
      </c>
      <c r="M46">
        <f t="shared" si="3"/>
        <v>414.35039999999998</v>
      </c>
      <c r="N46">
        <f t="shared" si="4"/>
        <v>330.01297791089405</v>
      </c>
      <c r="O46">
        <f t="shared" si="5"/>
        <v>30.058443547903888</v>
      </c>
      <c r="P46">
        <f t="shared" si="6"/>
        <v>37.740116119961392</v>
      </c>
      <c r="Q46">
        <f t="shared" si="7"/>
        <v>9.079918355950059E-2</v>
      </c>
      <c r="R46">
        <f t="shared" si="8"/>
        <v>2.7680475833458296</v>
      </c>
      <c r="S46">
        <f t="shared" si="9"/>
        <v>8.9176397365251389E-2</v>
      </c>
      <c r="T46">
        <f t="shared" si="10"/>
        <v>5.5878633494725174E-2</v>
      </c>
      <c r="U46">
        <f t="shared" si="11"/>
        <v>218.88005034084892</v>
      </c>
      <c r="V46">
        <f t="shared" si="12"/>
        <v>19.556973629858255</v>
      </c>
      <c r="W46">
        <f t="shared" si="13"/>
        <v>19.556973629858255</v>
      </c>
      <c r="X46">
        <f t="shared" si="14"/>
        <v>2.2830032071544366</v>
      </c>
      <c r="Y46">
        <f t="shared" si="15"/>
        <v>49.394185441809263</v>
      </c>
      <c r="Z46">
        <f t="shared" si="16"/>
        <v>1.0573807585080535</v>
      </c>
      <c r="AA46">
        <f t="shared" si="17"/>
        <v>2.1406988475470294</v>
      </c>
      <c r="AB46">
        <f t="shared" si="18"/>
        <v>1.2256224486463831</v>
      </c>
      <c r="AC46">
        <f t="shared" si="19"/>
        <v>-53.907274783333555</v>
      </c>
      <c r="AD46">
        <f t="shared" si="20"/>
        <v>-153.95816561544734</v>
      </c>
      <c r="AE46">
        <f t="shared" si="21"/>
        <v>-11.073217305002565</v>
      </c>
      <c r="AF46">
        <f t="shared" si="22"/>
        <v>-5.8607362934537832E-2</v>
      </c>
      <c r="AG46">
        <f t="shared" si="23"/>
        <v>4.1956317628265172</v>
      </c>
      <c r="AH46">
        <f t="shared" si="24"/>
        <v>1.213743081261548</v>
      </c>
      <c r="AI46">
        <f t="shared" si="25"/>
        <v>4.2577097723706592</v>
      </c>
      <c r="AJ46">
        <v>424.39699890750359</v>
      </c>
      <c r="AK46">
        <v>419.23122424242422</v>
      </c>
      <c r="AL46">
        <v>7.9673483556004857E-4</v>
      </c>
      <c r="AM46">
        <v>65.162009686645987</v>
      </c>
      <c r="AN46">
        <f t="shared" si="26"/>
        <v>1.2223871832955455</v>
      </c>
      <c r="AO46">
        <v>10.166484909594701</v>
      </c>
      <c r="AP46">
        <v>11.61596643356644</v>
      </c>
      <c r="AQ46">
        <v>5.2468226278779967E-5</v>
      </c>
      <c r="AR46">
        <v>96.700883989501207</v>
      </c>
      <c r="AS46">
        <v>2</v>
      </c>
      <c r="AT46">
        <v>0</v>
      </c>
      <c r="AU46">
        <f t="shared" si="27"/>
        <v>1</v>
      </c>
      <c r="AV46">
        <f t="shared" si="28"/>
        <v>0</v>
      </c>
      <c r="AW46">
        <f t="shared" si="29"/>
        <v>49552.554784086031</v>
      </c>
      <c r="AX46" t="s">
        <v>532</v>
      </c>
      <c r="AY46">
        <v>5015.3900000000003</v>
      </c>
      <c r="AZ46">
        <v>720.62307692307695</v>
      </c>
      <c r="BA46">
        <v>1722.6585452279171</v>
      </c>
      <c r="BB46">
        <f t="shared" si="30"/>
        <v>0.58167967823958144</v>
      </c>
      <c r="BC46">
        <v>-1.1949397654950511</v>
      </c>
      <c r="BD46" t="s">
        <v>564</v>
      </c>
      <c r="BE46">
        <v>5048.4799999999996</v>
      </c>
      <c r="BF46">
        <v>815.66704000000016</v>
      </c>
      <c r="BG46">
        <v>1663.0591511421801</v>
      </c>
      <c r="BH46">
        <f t="shared" si="31"/>
        <v>0.50953816679352359</v>
      </c>
      <c r="BI46">
        <v>0.5</v>
      </c>
      <c r="BJ46">
        <f t="shared" si="48"/>
        <v>1009.2751292828235</v>
      </c>
      <c r="BK46">
        <f t="shared" si="32"/>
        <v>4.2577097723706592</v>
      </c>
      <c r="BL46">
        <f t="shared" si="49"/>
        <v>257.13209958253321</v>
      </c>
      <c r="BM46">
        <f t="shared" si="33"/>
        <v>5.402540278328552E-3</v>
      </c>
      <c r="BN46">
        <f t="shared" si="34"/>
        <v>3.5837206418547686E-2</v>
      </c>
      <c r="BO46">
        <f t="shared" si="35"/>
        <v>709.97946820291008</v>
      </c>
      <c r="BP46" t="s">
        <v>565</v>
      </c>
      <c r="BQ46">
        <v>731.4</v>
      </c>
      <c r="BR46">
        <f t="shared" si="36"/>
        <v>731.4</v>
      </c>
      <c r="BS46">
        <f t="shared" si="37"/>
        <v>0.56020806626289965</v>
      </c>
      <c r="BT46">
        <f t="shared" si="38"/>
        <v>0.90955164246850162</v>
      </c>
      <c r="BU46">
        <f t="shared" si="39"/>
        <v>6.0124973825101798E-2</v>
      </c>
      <c r="BV46">
        <f t="shared" si="40"/>
        <v>0.89915075868071359</v>
      </c>
      <c r="BW46">
        <f t="shared" si="41"/>
        <v>5.9478327834604772E-2</v>
      </c>
      <c r="BX46">
        <f t="shared" si="42"/>
        <v>0.81558532915766946</v>
      </c>
      <c r="BY46">
        <f t="shared" si="43"/>
        <v>0.18441467084233054</v>
      </c>
      <c r="BZ46">
        <v>423</v>
      </c>
      <c r="CA46">
        <v>290.00000000000011</v>
      </c>
      <c r="CB46">
        <v>1595.46</v>
      </c>
      <c r="CC46">
        <v>295</v>
      </c>
      <c r="CD46">
        <v>5048.4799999999996</v>
      </c>
      <c r="CE46">
        <v>1596.02</v>
      </c>
      <c r="CF46">
        <v>-0.56000000000000005</v>
      </c>
      <c r="CG46">
        <v>300.00000000000011</v>
      </c>
      <c r="CH46">
        <v>23.9</v>
      </c>
      <c r="CI46">
        <v>1663.0591511421801</v>
      </c>
      <c r="CJ46">
        <v>1.5045726742904919</v>
      </c>
      <c r="CK46">
        <v>-33.844440546991088</v>
      </c>
      <c r="CL46">
        <v>0.66122338961773242</v>
      </c>
      <c r="CM46">
        <v>0.98942542712640857</v>
      </c>
      <c r="CN46">
        <v>-4.0583644048943239E-3</v>
      </c>
      <c r="CO46">
        <v>289.99999999999989</v>
      </c>
      <c r="CP46">
        <v>1595.5</v>
      </c>
      <c r="CQ46">
        <v>685</v>
      </c>
      <c r="CR46">
        <v>5048.25</v>
      </c>
      <c r="CS46">
        <v>1596.02</v>
      </c>
      <c r="CT46">
        <v>-0.52</v>
      </c>
      <c r="DH46">
        <f t="shared" si="44"/>
        <v>1228.6523000000002</v>
      </c>
      <c r="DI46">
        <f t="shared" si="45"/>
        <v>1009.2751292828235</v>
      </c>
      <c r="DJ46">
        <f t="shared" si="46"/>
        <v>0.8214489398528968</v>
      </c>
      <c r="DK46">
        <f t="shared" si="47"/>
        <v>0.17814645391609074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1761682299.25</v>
      </c>
      <c r="DR46">
        <v>414.35039999999998</v>
      </c>
      <c r="DS46">
        <v>419.98880000000003</v>
      </c>
      <c r="DT46">
        <v>11.609030000000001</v>
      </c>
      <c r="DU46">
        <v>10.169409999999999</v>
      </c>
      <c r="DV46">
        <v>413.52343333333351</v>
      </c>
      <c r="DW46">
        <v>11.51283666666667</v>
      </c>
      <c r="DX46">
        <v>499.98723333333339</v>
      </c>
      <c r="DY46">
        <v>91.062910000000002</v>
      </c>
      <c r="DZ46">
        <v>1.970056333333333E-2</v>
      </c>
      <c r="EA46">
        <v>18.525296666666669</v>
      </c>
      <c r="EB46">
        <v>18.02586333333333</v>
      </c>
      <c r="EC46">
        <v>999.9000000000002</v>
      </c>
      <c r="ED46">
        <v>0</v>
      </c>
      <c r="EE46">
        <v>0</v>
      </c>
      <c r="EF46">
        <v>10000.27133333333</v>
      </c>
      <c r="EG46">
        <v>0</v>
      </c>
      <c r="EH46">
        <v>1078.645666666667</v>
      </c>
      <c r="EI46">
        <v>-5.6385476666666667</v>
      </c>
      <c r="EJ46">
        <v>419.21703333333329</v>
      </c>
      <c r="EK46">
        <v>424.30379999999991</v>
      </c>
      <c r="EL46">
        <v>1.4396146666666669</v>
      </c>
      <c r="EM46">
        <v>419.98880000000003</v>
      </c>
      <c r="EN46">
        <v>10.169409999999999</v>
      </c>
      <c r="EO46">
        <v>1.057151</v>
      </c>
      <c r="EP46">
        <v>0.92605536666666677</v>
      </c>
      <c r="EQ46">
        <v>7.7287873333333339</v>
      </c>
      <c r="ER46">
        <v>5.8021273333333339</v>
      </c>
      <c r="ES46">
        <v>150.0066333333333</v>
      </c>
      <c r="ET46">
        <v>0.90007293333333327</v>
      </c>
      <c r="EU46">
        <v>9.9926873333333319E-2</v>
      </c>
      <c r="EV46">
        <v>0</v>
      </c>
      <c r="EW46">
        <v>815.60800000000006</v>
      </c>
      <c r="EX46">
        <v>5.0005600000000019</v>
      </c>
      <c r="EY46">
        <v>1362.817</v>
      </c>
      <c r="EZ46">
        <v>1225.1659999999999</v>
      </c>
      <c r="FA46">
        <v>35.197766666666674</v>
      </c>
      <c r="FB46">
        <v>40.693499999999993</v>
      </c>
      <c r="FC46">
        <v>37.591466666666669</v>
      </c>
      <c r="FD46">
        <v>40.124799999999993</v>
      </c>
      <c r="FE46">
        <v>37.460233333333328</v>
      </c>
      <c r="FF46">
        <v>130.5156666666667</v>
      </c>
      <c r="FG46">
        <v>14.49</v>
      </c>
      <c r="FH46">
        <v>0</v>
      </c>
      <c r="FI46">
        <v>127.4000000953674</v>
      </c>
      <c r="FJ46">
        <v>0</v>
      </c>
      <c r="FK46">
        <v>815.66704000000016</v>
      </c>
      <c r="FL46">
        <v>8.7215384410448014</v>
      </c>
      <c r="FM46">
        <v>15.912307672451391</v>
      </c>
      <c r="FN46">
        <v>1362.9328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-5.6525897499999997</v>
      </c>
      <c r="GD46">
        <v>-0.1021802251407192</v>
      </c>
      <c r="GE46">
        <v>7.0452952829796259E-2</v>
      </c>
      <c r="GF46">
        <v>1</v>
      </c>
      <c r="GG46">
        <v>815.05961764705876</v>
      </c>
      <c r="GH46">
        <v>9.038854088570897</v>
      </c>
      <c r="GI46">
        <v>0.90328264141231951</v>
      </c>
      <c r="GJ46">
        <v>0</v>
      </c>
      <c r="GK46">
        <v>1.4445805</v>
      </c>
      <c r="GL46">
        <v>-5.2110619136963868E-2</v>
      </c>
      <c r="GM46">
        <v>7.3729186724118892E-3</v>
      </c>
      <c r="GN46">
        <v>1</v>
      </c>
      <c r="GO46">
        <v>2</v>
      </c>
      <c r="GP46">
        <v>3</v>
      </c>
      <c r="GQ46" t="s">
        <v>479</v>
      </c>
      <c r="GR46">
        <v>3.13266</v>
      </c>
      <c r="GS46">
        <v>2.6975199999999999</v>
      </c>
      <c r="GT46">
        <v>8.6377499999999996E-2</v>
      </c>
      <c r="GU46">
        <v>8.7828600000000007E-2</v>
      </c>
      <c r="GV46">
        <v>6.4683199999999996E-2</v>
      </c>
      <c r="GW46">
        <v>5.9285400000000002E-2</v>
      </c>
      <c r="GX46">
        <v>27792.2</v>
      </c>
      <c r="GY46">
        <v>26757.4</v>
      </c>
      <c r="GZ46">
        <v>30941.200000000001</v>
      </c>
      <c r="HA46">
        <v>29563</v>
      </c>
      <c r="HB46">
        <v>39895.300000000003</v>
      </c>
      <c r="HC46">
        <v>36611.9</v>
      </c>
      <c r="HD46">
        <v>47264.2</v>
      </c>
      <c r="HE46">
        <v>43941.599999999999</v>
      </c>
      <c r="HF46">
        <v>1.89333</v>
      </c>
      <c r="HG46">
        <v>1.9153</v>
      </c>
      <c r="HH46">
        <v>1.98931E-2</v>
      </c>
      <c r="HI46">
        <v>0</v>
      </c>
      <c r="HJ46">
        <v>17.691099999999999</v>
      </c>
      <c r="HK46">
        <v>999.9</v>
      </c>
      <c r="HL46">
        <v>26.9</v>
      </c>
      <c r="HM46">
        <v>30.3</v>
      </c>
      <c r="HN46">
        <v>12.804600000000001</v>
      </c>
      <c r="HO46">
        <v>63.7988</v>
      </c>
      <c r="HP46">
        <v>19.1386</v>
      </c>
      <c r="HQ46">
        <v>1</v>
      </c>
      <c r="HR46">
        <v>-0.26775700000000002</v>
      </c>
      <c r="HS46">
        <v>2.43005</v>
      </c>
      <c r="HT46">
        <v>20.204699999999999</v>
      </c>
      <c r="HU46">
        <v>5.2354099999999999</v>
      </c>
      <c r="HV46">
        <v>11.973599999999999</v>
      </c>
      <c r="HW46">
        <v>4.9735500000000004</v>
      </c>
      <c r="HX46">
        <v>3.2909999999999999</v>
      </c>
      <c r="HY46">
        <v>9999</v>
      </c>
      <c r="HZ46">
        <v>9999</v>
      </c>
      <c r="IA46">
        <v>9999</v>
      </c>
      <c r="IB46">
        <v>999.9</v>
      </c>
      <c r="IC46">
        <v>4.9729000000000001</v>
      </c>
      <c r="ID46">
        <v>1.8771599999999999</v>
      </c>
      <c r="IE46">
        <v>1.87527</v>
      </c>
      <c r="IF46">
        <v>1.87805</v>
      </c>
      <c r="IG46">
        <v>1.8748400000000001</v>
      </c>
      <c r="IH46">
        <v>1.8783799999999999</v>
      </c>
      <c r="II46">
        <v>1.87547</v>
      </c>
      <c r="IJ46">
        <v>1.8766799999999999</v>
      </c>
      <c r="IK46">
        <v>0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0.82699999999999996</v>
      </c>
      <c r="IY46">
        <v>9.6299999999999997E-2</v>
      </c>
      <c r="IZ46">
        <v>6.1933660764125778E-2</v>
      </c>
      <c r="JA46">
        <v>2.058711587971173E-3</v>
      </c>
      <c r="JB46">
        <v>-6.1309262243104059E-7</v>
      </c>
      <c r="JC46">
        <v>2.6183910446277612E-10</v>
      </c>
      <c r="JD46">
        <v>3.5078820932035488E-4</v>
      </c>
      <c r="JE46">
        <v>-4.3284922736758413E-3</v>
      </c>
      <c r="JF46">
        <v>1.4186339569364E-3</v>
      </c>
      <c r="JG46">
        <v>-2.7770646863349432E-5</v>
      </c>
      <c r="JH46">
        <v>2</v>
      </c>
      <c r="JI46">
        <v>2136</v>
      </c>
      <c r="JJ46">
        <v>1</v>
      </c>
      <c r="JK46">
        <v>19</v>
      </c>
      <c r="JL46">
        <v>29361371.800000001</v>
      </c>
      <c r="JM46">
        <v>29361371.800000001</v>
      </c>
      <c r="JN46">
        <v>1.09985</v>
      </c>
      <c r="JO46">
        <v>2.5463900000000002</v>
      </c>
      <c r="JP46">
        <v>1.39893</v>
      </c>
      <c r="JQ46">
        <v>2.32178</v>
      </c>
      <c r="JR46">
        <v>1.4489700000000001</v>
      </c>
      <c r="JS46">
        <v>2.4584999999999999</v>
      </c>
      <c r="JT46">
        <v>36.034700000000001</v>
      </c>
      <c r="JU46">
        <v>23.921099999999999</v>
      </c>
      <c r="JV46">
        <v>18</v>
      </c>
      <c r="JW46">
        <v>478.58499999999998</v>
      </c>
      <c r="JX46">
        <v>461.35</v>
      </c>
      <c r="JY46">
        <v>15.5336</v>
      </c>
      <c r="JZ46">
        <v>23.5382</v>
      </c>
      <c r="KA46">
        <v>29.9998</v>
      </c>
      <c r="KB46">
        <v>23.323399999999999</v>
      </c>
      <c r="KC46">
        <v>23.406600000000001</v>
      </c>
      <c r="KD46">
        <v>22.041399999999999</v>
      </c>
      <c r="KE46">
        <v>13.908899999999999</v>
      </c>
      <c r="KF46">
        <v>24.514299999999999</v>
      </c>
      <c r="KG46">
        <v>15.518700000000001</v>
      </c>
      <c r="KH46">
        <v>420</v>
      </c>
      <c r="KI46">
        <v>10.2613</v>
      </c>
      <c r="KJ46">
        <v>102.2</v>
      </c>
      <c r="KK46">
        <v>101.06100000000001</v>
      </c>
    </row>
    <row r="47" spans="1:297" x14ac:dyDescent="0.3">
      <c r="A47">
        <v>31</v>
      </c>
      <c r="B47">
        <v>1761682436.5999999</v>
      </c>
      <c r="C47">
        <v>4986.5999999046326</v>
      </c>
      <c r="D47" t="s">
        <v>566</v>
      </c>
      <c r="E47" t="s">
        <v>567</v>
      </c>
      <c r="F47">
        <v>5</v>
      </c>
      <c r="G47" t="s">
        <v>535</v>
      </c>
      <c r="H47" t="s">
        <v>436</v>
      </c>
      <c r="I47">
        <v>1761682428.849999</v>
      </c>
      <c r="J47">
        <f t="shared" si="0"/>
        <v>1.1642688046896266E-3</v>
      </c>
      <c r="K47">
        <f t="shared" si="1"/>
        <v>1.1642688046896266</v>
      </c>
      <c r="L47">
        <f t="shared" si="2"/>
        <v>1.0262011042232775</v>
      </c>
      <c r="M47">
        <f t="shared" si="3"/>
        <v>418.08956666666671</v>
      </c>
      <c r="N47">
        <f t="shared" si="4"/>
        <v>390.5353395755123</v>
      </c>
      <c r="O47">
        <f t="shared" si="5"/>
        <v>35.567430315529684</v>
      </c>
      <c r="P47">
        <f t="shared" si="6"/>
        <v>38.076890926772066</v>
      </c>
      <c r="Q47">
        <f t="shared" si="7"/>
        <v>8.8239216270403917E-2</v>
      </c>
      <c r="R47">
        <f t="shared" si="8"/>
        <v>2.7680121334120216</v>
      </c>
      <c r="S47">
        <f t="shared" si="9"/>
        <v>8.670579274938281E-2</v>
      </c>
      <c r="T47">
        <f t="shared" si="10"/>
        <v>5.4326672847239861E-2</v>
      </c>
      <c r="U47">
        <f t="shared" si="11"/>
        <v>200.85010758715143</v>
      </c>
      <c r="V47">
        <f t="shared" si="12"/>
        <v>19.505964508784785</v>
      </c>
      <c r="W47">
        <f t="shared" si="13"/>
        <v>19.505964508784785</v>
      </c>
      <c r="X47">
        <f t="shared" si="14"/>
        <v>2.2757772319853919</v>
      </c>
      <c r="Y47">
        <f t="shared" si="15"/>
        <v>50.090338768360368</v>
      </c>
      <c r="Z47">
        <f t="shared" si="16"/>
        <v>1.0753585486468924</v>
      </c>
      <c r="AA47">
        <f t="shared" si="17"/>
        <v>2.1468382428392441</v>
      </c>
      <c r="AB47">
        <f t="shared" si="18"/>
        <v>1.2004186833384995</v>
      </c>
      <c r="AC47">
        <f t="shared" si="19"/>
        <v>-51.344254286812529</v>
      </c>
      <c r="AD47">
        <f t="shared" si="20"/>
        <v>-139.51940738448721</v>
      </c>
      <c r="AE47">
        <f t="shared" si="21"/>
        <v>-10.034581602672118</v>
      </c>
      <c r="AF47">
        <f t="shared" si="22"/>
        <v>-4.8135686820415913E-2</v>
      </c>
      <c r="AG47">
        <f t="shared" si="23"/>
        <v>1.1133600710744074</v>
      </c>
      <c r="AH47">
        <f t="shared" si="24"/>
        <v>1.1631497768902792</v>
      </c>
      <c r="AI47">
        <f t="shared" si="25"/>
        <v>1.0262011042232775</v>
      </c>
      <c r="AJ47">
        <v>424.43491844583173</v>
      </c>
      <c r="AK47">
        <v>423.15849090909092</v>
      </c>
      <c r="AL47">
        <v>6.5458548243883287E-3</v>
      </c>
      <c r="AM47">
        <v>65.162009686645987</v>
      </c>
      <c r="AN47">
        <f t="shared" si="26"/>
        <v>1.1642688046896266</v>
      </c>
      <c r="AO47">
        <v>10.433573707322999</v>
      </c>
      <c r="AP47">
        <v>11.813893706293721</v>
      </c>
      <c r="AQ47">
        <v>3.8309232806233508E-5</v>
      </c>
      <c r="AR47">
        <v>96.700883989501207</v>
      </c>
      <c r="AS47">
        <v>2</v>
      </c>
      <c r="AT47">
        <v>0</v>
      </c>
      <c r="AU47">
        <f t="shared" si="27"/>
        <v>1</v>
      </c>
      <c r="AV47">
        <f t="shared" si="28"/>
        <v>0</v>
      </c>
      <c r="AW47">
        <f t="shared" si="29"/>
        <v>49543.581938060779</v>
      </c>
      <c r="AX47" t="s">
        <v>532</v>
      </c>
      <c r="AY47">
        <v>5015.3900000000003</v>
      </c>
      <c r="AZ47">
        <v>720.62307692307695</v>
      </c>
      <c r="BA47">
        <v>1722.6585452279171</v>
      </c>
      <c r="BB47">
        <f t="shared" si="30"/>
        <v>0.58167967823958144</v>
      </c>
      <c r="BC47">
        <v>-1.1949397654950511</v>
      </c>
      <c r="BD47" t="s">
        <v>568</v>
      </c>
      <c r="BE47">
        <v>5038.25</v>
      </c>
      <c r="BF47">
        <v>769.72261538461521</v>
      </c>
      <c r="BG47">
        <v>1717.5566960796791</v>
      </c>
      <c r="BH47">
        <f t="shared" si="31"/>
        <v>0.55185024334771238</v>
      </c>
      <c r="BI47">
        <v>0.5</v>
      </c>
      <c r="BJ47">
        <f t="shared" si="48"/>
        <v>927.00022030681373</v>
      </c>
      <c r="BK47">
        <f t="shared" si="32"/>
        <v>1.0262011042232775</v>
      </c>
      <c r="BL47">
        <f t="shared" si="49"/>
        <v>255.78264857984908</v>
      </c>
      <c r="BM47">
        <f t="shared" si="33"/>
        <v>2.3960521487073508E-3</v>
      </c>
      <c r="BN47">
        <f t="shared" si="34"/>
        <v>2.970410909801669E-3</v>
      </c>
      <c r="BO47">
        <f t="shared" si="35"/>
        <v>719.72875403053933</v>
      </c>
      <c r="BP47" t="s">
        <v>569</v>
      </c>
      <c r="BQ47">
        <v>726.67</v>
      </c>
      <c r="BR47">
        <f t="shared" si="36"/>
        <v>726.67</v>
      </c>
      <c r="BS47">
        <f t="shared" si="37"/>
        <v>0.57691644086124017</v>
      </c>
      <c r="BT47">
        <f t="shared" si="38"/>
        <v>0.95655142454233399</v>
      </c>
      <c r="BU47">
        <f t="shared" si="39"/>
        <v>5.1223974137880332E-3</v>
      </c>
      <c r="BV47">
        <f t="shared" si="40"/>
        <v>0.95074944056648825</v>
      </c>
      <c r="BW47">
        <f t="shared" si="41"/>
        <v>5.0914855906935815E-3</v>
      </c>
      <c r="BX47">
        <f t="shared" si="42"/>
        <v>0.90304898125521682</v>
      </c>
      <c r="BY47">
        <f t="shared" si="43"/>
        <v>9.6951018744783179E-2</v>
      </c>
      <c r="BZ47">
        <v>425</v>
      </c>
      <c r="CA47">
        <v>290.00000000000011</v>
      </c>
      <c r="CB47">
        <v>1655.5</v>
      </c>
      <c r="CC47">
        <v>275</v>
      </c>
      <c r="CD47">
        <v>5038.25</v>
      </c>
      <c r="CE47">
        <v>1655.32</v>
      </c>
      <c r="CF47">
        <v>0.18</v>
      </c>
      <c r="CG47">
        <v>300.00000000000011</v>
      </c>
      <c r="CH47">
        <v>23.9</v>
      </c>
      <c r="CI47">
        <v>1717.5566960796791</v>
      </c>
      <c r="CJ47">
        <v>1.256270248565629</v>
      </c>
      <c r="CK47">
        <v>-31.357370570334471</v>
      </c>
      <c r="CL47">
        <v>0.549155643510851</v>
      </c>
      <c r="CM47">
        <v>0.991485560760614</v>
      </c>
      <c r="CN47">
        <v>-4.1337399332591791E-3</v>
      </c>
      <c r="CO47">
        <v>289.99999999999989</v>
      </c>
      <c r="CP47">
        <v>1657.39</v>
      </c>
      <c r="CQ47">
        <v>765</v>
      </c>
      <c r="CR47">
        <v>5037.6099999999997</v>
      </c>
      <c r="CS47">
        <v>1655.31</v>
      </c>
      <c r="CT47">
        <v>2.08</v>
      </c>
      <c r="DH47">
        <f t="shared" si="44"/>
        <v>1128.6269799999993</v>
      </c>
      <c r="DI47">
        <f t="shared" si="45"/>
        <v>927.00022030681373</v>
      </c>
      <c r="DJ47">
        <f t="shared" si="46"/>
        <v>0.8213521710306928</v>
      </c>
      <c r="DK47">
        <f t="shared" si="47"/>
        <v>0.17795969008923707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1761682428.849999</v>
      </c>
      <c r="DR47">
        <v>418.08956666666671</v>
      </c>
      <c r="DS47">
        <v>420.0091333333333</v>
      </c>
      <c r="DT47">
        <v>11.807586666666669</v>
      </c>
      <c r="DU47">
        <v>10.428306666666669</v>
      </c>
      <c r="DV47">
        <v>417.25633333333332</v>
      </c>
      <c r="DW47">
        <v>11.70800333333333</v>
      </c>
      <c r="DX47">
        <v>500.00686666666672</v>
      </c>
      <c r="DY47">
        <v>91.053629999999984</v>
      </c>
      <c r="DZ47">
        <v>1.989577666666667E-2</v>
      </c>
      <c r="EA47">
        <v>18.57103</v>
      </c>
      <c r="EB47">
        <v>17.997879999999999</v>
      </c>
      <c r="EC47">
        <v>999.9000000000002</v>
      </c>
      <c r="ED47">
        <v>0</v>
      </c>
      <c r="EE47">
        <v>0</v>
      </c>
      <c r="EF47">
        <v>10001.08133333333</v>
      </c>
      <c r="EG47">
        <v>0</v>
      </c>
      <c r="EH47">
        <v>1078.6066666666659</v>
      </c>
      <c r="EI47">
        <v>-1.919591666666667</v>
      </c>
      <c r="EJ47">
        <v>423.08519999999987</v>
      </c>
      <c r="EK47">
        <v>424.43523333333331</v>
      </c>
      <c r="EL47">
        <v>1.379267666666667</v>
      </c>
      <c r="EM47">
        <v>420.0091333333333</v>
      </c>
      <c r="EN47">
        <v>10.428306666666669</v>
      </c>
      <c r="EO47">
        <v>1.075124</v>
      </c>
      <c r="EP47">
        <v>0.94953510000000019</v>
      </c>
      <c r="EQ47">
        <v>7.9762543333333333</v>
      </c>
      <c r="ER47">
        <v>6.1641986666666657</v>
      </c>
      <c r="ES47">
        <v>50.020313333333327</v>
      </c>
      <c r="ET47">
        <v>0.89983436666666694</v>
      </c>
      <c r="EU47">
        <v>0.10016558666666669</v>
      </c>
      <c r="EV47">
        <v>0</v>
      </c>
      <c r="EW47">
        <v>769.70283333333327</v>
      </c>
      <c r="EX47">
        <v>5.0005600000000019</v>
      </c>
      <c r="EY47">
        <v>545.83243333333326</v>
      </c>
      <c r="EZ47">
        <v>380.34519999999998</v>
      </c>
      <c r="FA47">
        <v>35.768333333333338</v>
      </c>
      <c r="FB47">
        <v>41.895633333333322</v>
      </c>
      <c r="FC47">
        <v>38.372633333333333</v>
      </c>
      <c r="FD47">
        <v>41.949799999999989</v>
      </c>
      <c r="FE47">
        <v>38.082933333333322</v>
      </c>
      <c r="FF47">
        <v>40.510000000000012</v>
      </c>
      <c r="FG47">
        <v>4.5090000000000003</v>
      </c>
      <c r="FH47">
        <v>0</v>
      </c>
      <c r="FI47">
        <v>127.4000000953674</v>
      </c>
      <c r="FJ47">
        <v>0</v>
      </c>
      <c r="FK47">
        <v>769.72261538461521</v>
      </c>
      <c r="FL47">
        <v>2.5686153962928451</v>
      </c>
      <c r="FM47">
        <v>0.2166496697526511</v>
      </c>
      <c r="FN47">
        <v>545.78073076923079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-1.9453585</v>
      </c>
      <c r="GD47">
        <v>0.40271257035647612</v>
      </c>
      <c r="GE47">
        <v>5.5672887546363153E-2</v>
      </c>
      <c r="GF47">
        <v>1</v>
      </c>
      <c r="GG47">
        <v>769.56885294117649</v>
      </c>
      <c r="GH47">
        <v>2.428128350561221</v>
      </c>
      <c r="GI47">
        <v>0.31008567434262718</v>
      </c>
      <c r="GJ47">
        <v>0</v>
      </c>
      <c r="GK47">
        <v>1.3827024999999999</v>
      </c>
      <c r="GL47">
        <v>-5.2989343339587568E-2</v>
      </c>
      <c r="GM47">
        <v>6.3108944492837257E-3</v>
      </c>
      <c r="GN47">
        <v>1</v>
      </c>
      <c r="GO47">
        <v>2</v>
      </c>
      <c r="GP47">
        <v>3</v>
      </c>
      <c r="GQ47" t="s">
        <v>479</v>
      </c>
      <c r="GR47">
        <v>3.13252</v>
      </c>
      <c r="GS47">
        <v>2.6975699999999998</v>
      </c>
      <c r="GT47">
        <v>8.6967600000000006E-2</v>
      </c>
      <c r="GU47">
        <v>8.7829699999999997E-2</v>
      </c>
      <c r="GV47">
        <v>6.5491999999999995E-2</v>
      </c>
      <c r="GW47">
        <v>6.0283400000000001E-2</v>
      </c>
      <c r="GX47">
        <v>27775.5</v>
      </c>
      <c r="GY47">
        <v>26757.9</v>
      </c>
      <c r="GZ47">
        <v>30942.6</v>
      </c>
      <c r="HA47">
        <v>29563.5</v>
      </c>
      <c r="HB47">
        <v>39862.199999999997</v>
      </c>
      <c r="HC47">
        <v>36573.199999999997</v>
      </c>
      <c r="HD47">
        <v>47266.400000000001</v>
      </c>
      <c r="HE47">
        <v>43942.3</v>
      </c>
      <c r="HF47">
        <v>1.8929800000000001</v>
      </c>
      <c r="HG47">
        <v>1.91625</v>
      </c>
      <c r="HH47">
        <v>1.29789E-2</v>
      </c>
      <c r="HI47">
        <v>0</v>
      </c>
      <c r="HJ47">
        <v>17.780200000000001</v>
      </c>
      <c r="HK47">
        <v>999.9</v>
      </c>
      <c r="HL47">
        <v>27.2</v>
      </c>
      <c r="HM47">
        <v>30.3</v>
      </c>
      <c r="HN47">
        <v>12.948399999999999</v>
      </c>
      <c r="HO47">
        <v>63.313400000000001</v>
      </c>
      <c r="HP47">
        <v>19.166699999999999</v>
      </c>
      <c r="HQ47">
        <v>1</v>
      </c>
      <c r="HR47">
        <v>-0.26891500000000002</v>
      </c>
      <c r="HS47">
        <v>2.2908599999999999</v>
      </c>
      <c r="HT47">
        <v>20.2073</v>
      </c>
      <c r="HU47">
        <v>5.2366099999999998</v>
      </c>
      <c r="HV47">
        <v>11.973699999999999</v>
      </c>
      <c r="HW47">
        <v>4.9733999999999998</v>
      </c>
      <c r="HX47">
        <v>3.2909999999999999</v>
      </c>
      <c r="HY47">
        <v>9999</v>
      </c>
      <c r="HZ47">
        <v>9999</v>
      </c>
      <c r="IA47">
        <v>9999</v>
      </c>
      <c r="IB47">
        <v>999.9</v>
      </c>
      <c r="IC47">
        <v>4.9729299999999999</v>
      </c>
      <c r="ID47">
        <v>1.87721</v>
      </c>
      <c r="IE47">
        <v>1.87531</v>
      </c>
      <c r="IF47">
        <v>1.87805</v>
      </c>
      <c r="IG47">
        <v>1.8748499999999999</v>
      </c>
      <c r="IH47">
        <v>1.8783799999999999</v>
      </c>
      <c r="II47">
        <v>1.87548</v>
      </c>
      <c r="IJ47">
        <v>1.8766799999999999</v>
      </c>
      <c r="IK47">
        <v>0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0.83299999999999996</v>
      </c>
      <c r="IY47">
        <v>9.9699999999999997E-2</v>
      </c>
      <c r="IZ47">
        <v>6.1933660764125778E-2</v>
      </c>
      <c r="JA47">
        <v>2.058711587971173E-3</v>
      </c>
      <c r="JB47">
        <v>-6.1309262243104059E-7</v>
      </c>
      <c r="JC47">
        <v>2.6183910446277612E-10</v>
      </c>
      <c r="JD47">
        <v>3.5078820932035488E-4</v>
      </c>
      <c r="JE47">
        <v>-4.3284922736758413E-3</v>
      </c>
      <c r="JF47">
        <v>1.4186339569364E-3</v>
      </c>
      <c r="JG47">
        <v>-2.7770646863349432E-5</v>
      </c>
      <c r="JH47">
        <v>2</v>
      </c>
      <c r="JI47">
        <v>2136</v>
      </c>
      <c r="JJ47">
        <v>1</v>
      </c>
      <c r="JK47">
        <v>19</v>
      </c>
      <c r="JL47">
        <v>29361373.899999999</v>
      </c>
      <c r="JM47">
        <v>29361373.899999999</v>
      </c>
      <c r="JN47">
        <v>1.09985</v>
      </c>
      <c r="JO47">
        <v>2.5500500000000001</v>
      </c>
      <c r="JP47">
        <v>1.39893</v>
      </c>
      <c r="JQ47">
        <v>2.32178</v>
      </c>
      <c r="JR47">
        <v>1.4489700000000001</v>
      </c>
      <c r="JS47">
        <v>2.4450699999999999</v>
      </c>
      <c r="JT47">
        <v>36.081600000000002</v>
      </c>
      <c r="JU47">
        <v>23.921099999999999</v>
      </c>
      <c r="JV47">
        <v>18</v>
      </c>
      <c r="JW47">
        <v>478.31599999999997</v>
      </c>
      <c r="JX47">
        <v>461.84300000000002</v>
      </c>
      <c r="JY47">
        <v>15.619300000000001</v>
      </c>
      <c r="JZ47">
        <v>23.5303</v>
      </c>
      <c r="KA47">
        <v>29.9999</v>
      </c>
      <c r="KB47">
        <v>23.311699999999998</v>
      </c>
      <c r="KC47">
        <v>23.3948</v>
      </c>
      <c r="KD47">
        <v>22.045300000000001</v>
      </c>
      <c r="KE47">
        <v>13.848000000000001</v>
      </c>
      <c r="KF47">
        <v>26.010400000000001</v>
      </c>
      <c r="KG47">
        <v>15.626200000000001</v>
      </c>
      <c r="KH47">
        <v>420</v>
      </c>
      <c r="KI47">
        <v>10.3705</v>
      </c>
      <c r="KJ47">
        <v>102.205</v>
      </c>
      <c r="KK47">
        <v>101.063</v>
      </c>
    </row>
    <row r="48" spans="1:297" x14ac:dyDescent="0.3">
      <c r="A48">
        <v>32</v>
      </c>
      <c r="B48">
        <v>1761682566.0999999</v>
      </c>
      <c r="C48">
        <v>5116.0999999046326</v>
      </c>
      <c r="D48" t="s">
        <v>570</v>
      </c>
      <c r="E48" t="s">
        <v>571</v>
      </c>
      <c r="F48">
        <v>5</v>
      </c>
      <c r="G48" t="s">
        <v>535</v>
      </c>
      <c r="H48" t="s">
        <v>436</v>
      </c>
      <c r="I48">
        <v>1761682558.349999</v>
      </c>
      <c r="J48">
        <f t="shared" si="0"/>
        <v>1.159936182854697E-3</v>
      </c>
      <c r="K48">
        <f t="shared" si="1"/>
        <v>1.159936182854697</v>
      </c>
      <c r="L48">
        <f t="shared" si="2"/>
        <v>-0.82433697919459703</v>
      </c>
      <c r="M48">
        <f t="shared" si="3"/>
        <v>420.34500000000003</v>
      </c>
      <c r="N48">
        <f t="shared" si="4"/>
        <v>426.0937148607444</v>
      </c>
      <c r="O48">
        <f t="shared" si="5"/>
        <v>38.809414157081982</v>
      </c>
      <c r="P48">
        <f t="shared" si="6"/>
        <v>38.285810433017396</v>
      </c>
      <c r="Q48">
        <f t="shared" si="7"/>
        <v>9.4303376100466338E-2</v>
      </c>
      <c r="R48">
        <f t="shared" si="8"/>
        <v>2.767656146192746</v>
      </c>
      <c r="S48">
        <f t="shared" si="9"/>
        <v>9.2553975285959336E-2</v>
      </c>
      <c r="T48">
        <f t="shared" si="10"/>
        <v>5.8000708211056289E-2</v>
      </c>
      <c r="U48">
        <f t="shared" si="11"/>
        <v>107.36591870766074</v>
      </c>
      <c r="V48">
        <f t="shared" si="12"/>
        <v>18.919079241237096</v>
      </c>
      <c r="W48">
        <f t="shared" si="13"/>
        <v>18.919079241237096</v>
      </c>
      <c r="X48">
        <f t="shared" si="14"/>
        <v>2.1940696330412566</v>
      </c>
      <c r="Y48">
        <f t="shared" si="15"/>
        <v>49.994069777323666</v>
      </c>
      <c r="Z48">
        <f t="shared" si="16"/>
        <v>1.0730552949846084</v>
      </c>
      <c r="AA48">
        <f t="shared" si="17"/>
        <v>2.1463651584359016</v>
      </c>
      <c r="AB48">
        <f t="shared" si="18"/>
        <v>1.1210143380566482</v>
      </c>
      <c r="AC48">
        <f t="shared" si="19"/>
        <v>-51.153185663892138</v>
      </c>
      <c r="AD48">
        <f t="shared" si="20"/>
        <v>-52.45760364752099</v>
      </c>
      <c r="AE48">
        <f t="shared" si="21"/>
        <v>-3.7619267048320637</v>
      </c>
      <c r="AF48">
        <f t="shared" si="22"/>
        <v>-6.7973085844528214E-3</v>
      </c>
      <c r="AG48">
        <f t="shared" si="23"/>
        <v>-0.76598775095190397</v>
      </c>
      <c r="AH48">
        <f t="shared" si="24"/>
        <v>1.1638986715717201</v>
      </c>
      <c r="AI48">
        <f t="shared" si="25"/>
        <v>-0.82433697919459703</v>
      </c>
      <c r="AJ48">
        <v>424.41077543543253</v>
      </c>
      <c r="AK48">
        <v>425.40950303030297</v>
      </c>
      <c r="AL48">
        <v>1.7945057897432031E-4</v>
      </c>
      <c r="AM48">
        <v>65.162009686645987</v>
      </c>
      <c r="AN48">
        <f t="shared" si="26"/>
        <v>1.159936182854697</v>
      </c>
      <c r="AO48">
        <v>10.39902917645993</v>
      </c>
      <c r="AP48">
        <v>11.77474475524477</v>
      </c>
      <c r="AQ48">
        <v>-2.4176538357702751E-5</v>
      </c>
      <c r="AR48">
        <v>96.700883989501207</v>
      </c>
      <c r="AS48">
        <v>1</v>
      </c>
      <c r="AT48">
        <v>0</v>
      </c>
      <c r="AU48">
        <f t="shared" si="27"/>
        <v>1</v>
      </c>
      <c r="AV48">
        <f t="shared" si="28"/>
        <v>0</v>
      </c>
      <c r="AW48">
        <f t="shared" si="29"/>
        <v>49534.385156282064</v>
      </c>
      <c r="AX48" t="s">
        <v>572</v>
      </c>
      <c r="AY48">
        <v>5037.6000000000004</v>
      </c>
      <c r="AZ48">
        <v>716.66923076923081</v>
      </c>
      <c r="BA48">
        <v>1764.136972542495</v>
      </c>
      <c r="BB48">
        <f t="shared" si="30"/>
        <v>0.59375647020403477</v>
      </c>
      <c r="BC48">
        <v>-0.82433697919469073</v>
      </c>
      <c r="BD48" t="s">
        <v>491</v>
      </c>
      <c r="BE48" t="s">
        <v>491</v>
      </c>
      <c r="BF48">
        <v>0</v>
      </c>
      <c r="BG48">
        <v>0</v>
      </c>
      <c r="BH48" t="e">
        <f t="shared" si="31"/>
        <v>#DIV/0!</v>
      </c>
      <c r="BI48">
        <v>0.5</v>
      </c>
      <c r="BJ48">
        <f t="shared" si="48"/>
        <v>454.09987314059344</v>
      </c>
      <c r="BK48">
        <f t="shared" si="32"/>
        <v>-0.82433697919459703</v>
      </c>
      <c r="BL48" t="e">
        <f t="shared" si="49"/>
        <v>#DIV/0!</v>
      </c>
      <c r="BM48">
        <f t="shared" si="33"/>
        <v>2.0634849032285892E-16</v>
      </c>
      <c r="BN48" t="e">
        <f t="shared" si="34"/>
        <v>#DIV/0!</v>
      </c>
      <c r="BO48" t="e">
        <f t="shared" si="35"/>
        <v>#DIV/0!</v>
      </c>
      <c r="BP48" t="s">
        <v>491</v>
      </c>
      <c r="BQ48">
        <v>0</v>
      </c>
      <c r="BR48" t="e">
        <f t="shared" si="36"/>
        <v>#DIV/0!</v>
      </c>
      <c r="BS48" t="e">
        <f t="shared" si="37"/>
        <v>#DIV/0!</v>
      </c>
      <c r="BT48" t="e">
        <f t="shared" si="38"/>
        <v>#DIV/0!</v>
      </c>
      <c r="BU48" t="e">
        <f t="shared" si="39"/>
        <v>#DIV/0!</v>
      </c>
      <c r="BV48">
        <f t="shared" si="40"/>
        <v>0</v>
      </c>
      <c r="BW48">
        <f t="shared" si="41"/>
        <v>1.6841921733608496</v>
      </c>
      <c r="BX48" t="e">
        <f t="shared" si="42"/>
        <v>#DIV/0!</v>
      </c>
      <c r="BY48" t="e">
        <f t="shared" si="43"/>
        <v>#DIV/0!</v>
      </c>
      <c r="BZ48">
        <v>427</v>
      </c>
      <c r="CA48">
        <v>290.00000000000011</v>
      </c>
      <c r="CB48">
        <v>1695.24</v>
      </c>
      <c r="CC48">
        <v>295</v>
      </c>
      <c r="CD48">
        <v>5037.6000000000004</v>
      </c>
      <c r="CE48">
        <v>1696.54</v>
      </c>
      <c r="CF48">
        <v>-1.3</v>
      </c>
      <c r="CG48">
        <v>300.00000000000011</v>
      </c>
      <c r="CH48">
        <v>23.9</v>
      </c>
      <c r="CI48">
        <v>1764.136972542495</v>
      </c>
      <c r="CJ48">
        <v>1.4957713762849341</v>
      </c>
      <c r="CK48">
        <v>-34.054571770724131</v>
      </c>
      <c r="CL48">
        <v>0.65281100587305585</v>
      </c>
      <c r="CM48">
        <v>0.98981557758475525</v>
      </c>
      <c r="CN48">
        <v>-4.1702015572858703E-3</v>
      </c>
      <c r="CO48">
        <v>289.99999999999989</v>
      </c>
      <c r="CP48">
        <v>1697.01</v>
      </c>
      <c r="CQ48">
        <v>835</v>
      </c>
      <c r="CR48">
        <v>5036.91</v>
      </c>
      <c r="CS48">
        <v>1696.53</v>
      </c>
      <c r="CT48">
        <v>0.48</v>
      </c>
      <c r="DH48">
        <f t="shared" si="44"/>
        <v>1078.6160005600002</v>
      </c>
      <c r="DI48">
        <f t="shared" si="45"/>
        <v>454.09987314059344</v>
      </c>
      <c r="DJ48">
        <f t="shared" si="46"/>
        <v>0.42100235200000002</v>
      </c>
      <c r="DK48">
        <f t="shared" si="47"/>
        <v>9.9540446879999994E-2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1761682558.349999</v>
      </c>
      <c r="DR48">
        <v>420.34500000000003</v>
      </c>
      <c r="DS48">
        <v>420.01289999999989</v>
      </c>
      <c r="DT48">
        <v>11.781216666666669</v>
      </c>
      <c r="DU48">
        <v>10.40098666666667</v>
      </c>
      <c r="DV48">
        <v>419.50806666666648</v>
      </c>
      <c r="DW48">
        <v>11.68210666666667</v>
      </c>
      <c r="DX48">
        <v>499.99776666666668</v>
      </c>
      <c r="DY48">
        <v>91.062023333333329</v>
      </c>
      <c r="DZ48">
        <v>1.9850920000000001E-2</v>
      </c>
      <c r="EA48">
        <v>18.567509999999999</v>
      </c>
      <c r="EB48">
        <v>17.972516666666671</v>
      </c>
      <c r="EC48">
        <v>999.9000000000002</v>
      </c>
      <c r="ED48">
        <v>0</v>
      </c>
      <c r="EE48">
        <v>0</v>
      </c>
      <c r="EF48">
        <v>9998.0590000000029</v>
      </c>
      <c r="EG48">
        <v>0</v>
      </c>
      <c r="EH48">
        <v>1078.6110000000001</v>
      </c>
      <c r="EI48">
        <v>0.33219196666666662</v>
      </c>
      <c r="EJ48">
        <v>425.35636666666682</v>
      </c>
      <c r="EK48">
        <v>424.42733333333342</v>
      </c>
      <c r="EL48">
        <v>1.380240333333334</v>
      </c>
      <c r="EM48">
        <v>420.01289999999989</v>
      </c>
      <c r="EN48">
        <v>10.40098666666667</v>
      </c>
      <c r="EO48">
        <v>1.0728219999999999</v>
      </c>
      <c r="EP48">
        <v>0.94713413333333318</v>
      </c>
      <c r="EQ48">
        <v>7.9447716666666661</v>
      </c>
      <c r="ER48">
        <v>6.1275426666666668</v>
      </c>
      <c r="ES48">
        <v>5.0005599999999976E-3</v>
      </c>
      <c r="ET48">
        <v>0</v>
      </c>
      <c r="EU48">
        <v>0</v>
      </c>
      <c r="EV48">
        <v>0</v>
      </c>
      <c r="EW48">
        <v>716.29333333333318</v>
      </c>
      <c r="EX48">
        <v>5.0005599999999976E-3</v>
      </c>
      <c r="EY48">
        <v>188.98666666666671</v>
      </c>
      <c r="EZ48">
        <v>-1.9266666666666661</v>
      </c>
      <c r="FA48">
        <v>33.816466666666663</v>
      </c>
      <c r="FB48">
        <v>38.01639999999999</v>
      </c>
      <c r="FC48">
        <v>36.062199999999997</v>
      </c>
      <c r="FD48">
        <v>37.039333333333317</v>
      </c>
      <c r="FE48">
        <v>35.447733333333318</v>
      </c>
      <c r="FF48">
        <v>0</v>
      </c>
      <c r="FG48">
        <v>0</v>
      </c>
      <c r="FH48">
        <v>0</v>
      </c>
      <c r="FI48">
        <v>127.2000000476837</v>
      </c>
      <c r="FJ48">
        <v>0</v>
      </c>
      <c r="FK48">
        <v>716.66923076923081</v>
      </c>
      <c r="FL48">
        <v>-13.196580753872411</v>
      </c>
      <c r="FM48">
        <v>-30.355555296897801</v>
      </c>
      <c r="FN48">
        <v>187.88846153846151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0.30682373170731708</v>
      </c>
      <c r="GD48">
        <v>0.52477833449477329</v>
      </c>
      <c r="GE48">
        <v>6.187254351823452E-2</v>
      </c>
      <c r="GF48">
        <v>0</v>
      </c>
      <c r="GG48">
        <v>714.72647058823532</v>
      </c>
      <c r="GH48">
        <v>20.047364694768699</v>
      </c>
      <c r="GI48">
        <v>7.6806214831081263</v>
      </c>
      <c r="GJ48">
        <v>0</v>
      </c>
      <c r="GK48">
        <v>1.375501219512195</v>
      </c>
      <c r="GL48">
        <v>5.2318536585368038E-2</v>
      </c>
      <c r="GM48">
        <v>8.6869602854275085E-3</v>
      </c>
      <c r="GN48">
        <v>1</v>
      </c>
      <c r="GO48">
        <v>1</v>
      </c>
      <c r="GP48">
        <v>3</v>
      </c>
      <c r="GQ48" t="s">
        <v>442</v>
      </c>
      <c r="GR48">
        <v>3.13266</v>
      </c>
      <c r="GS48">
        <v>2.69746</v>
      </c>
      <c r="GT48">
        <v>8.7333800000000003E-2</v>
      </c>
      <c r="GU48">
        <v>8.7854500000000002E-2</v>
      </c>
      <c r="GV48">
        <v>6.53305E-2</v>
      </c>
      <c r="GW48">
        <v>6.0080099999999997E-2</v>
      </c>
      <c r="GX48">
        <v>27764.5</v>
      </c>
      <c r="GY48">
        <v>26756.6</v>
      </c>
      <c r="GZ48">
        <v>30942.7</v>
      </c>
      <c r="HA48">
        <v>29562.9</v>
      </c>
      <c r="HB48">
        <v>39868.9</v>
      </c>
      <c r="HC48">
        <v>36579.9</v>
      </c>
      <c r="HD48">
        <v>47266.1</v>
      </c>
      <c r="HE48">
        <v>43940.800000000003</v>
      </c>
      <c r="HF48">
        <v>1.8937999999999999</v>
      </c>
      <c r="HG48">
        <v>1.9156500000000001</v>
      </c>
      <c r="HH48">
        <v>9.8943699999999996E-3</v>
      </c>
      <c r="HI48">
        <v>0</v>
      </c>
      <c r="HJ48">
        <v>17.817900000000002</v>
      </c>
      <c r="HK48">
        <v>999.9</v>
      </c>
      <c r="HL48">
        <v>27.3</v>
      </c>
      <c r="HM48">
        <v>30.3</v>
      </c>
      <c r="HN48">
        <v>12.9933</v>
      </c>
      <c r="HO48">
        <v>63.483400000000003</v>
      </c>
      <c r="HP48">
        <v>19.1707</v>
      </c>
      <c r="HQ48">
        <v>1</v>
      </c>
      <c r="HR48">
        <v>-0.27002999999999999</v>
      </c>
      <c r="HS48">
        <v>2.03803</v>
      </c>
      <c r="HT48">
        <v>20.2118</v>
      </c>
      <c r="HU48">
        <v>5.2401999999999997</v>
      </c>
      <c r="HV48">
        <v>11.974</v>
      </c>
      <c r="HW48">
        <v>4.9734499999999997</v>
      </c>
      <c r="HX48">
        <v>3.2909999999999999</v>
      </c>
      <c r="HY48">
        <v>9999</v>
      </c>
      <c r="HZ48">
        <v>9999</v>
      </c>
      <c r="IA48">
        <v>9999</v>
      </c>
      <c r="IB48">
        <v>999.9</v>
      </c>
      <c r="IC48">
        <v>4.9729200000000002</v>
      </c>
      <c r="ID48">
        <v>1.87724</v>
      </c>
      <c r="IE48">
        <v>1.87531</v>
      </c>
      <c r="IF48">
        <v>1.87808</v>
      </c>
      <c r="IG48">
        <v>1.8748499999999999</v>
      </c>
      <c r="IH48">
        <v>1.87842</v>
      </c>
      <c r="II48">
        <v>1.8755299999999999</v>
      </c>
      <c r="IJ48">
        <v>1.8766799999999999</v>
      </c>
      <c r="IK48">
        <v>0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0.83699999999999997</v>
      </c>
      <c r="IY48">
        <v>9.9000000000000005E-2</v>
      </c>
      <c r="IZ48">
        <v>6.1933660764125778E-2</v>
      </c>
      <c r="JA48">
        <v>2.058711587971173E-3</v>
      </c>
      <c r="JB48">
        <v>-6.1309262243104059E-7</v>
      </c>
      <c r="JC48">
        <v>2.6183910446277612E-10</v>
      </c>
      <c r="JD48">
        <v>3.5078820932035488E-4</v>
      </c>
      <c r="JE48">
        <v>-4.3284922736758413E-3</v>
      </c>
      <c r="JF48">
        <v>1.4186339569364E-3</v>
      </c>
      <c r="JG48">
        <v>-2.7770646863349432E-5</v>
      </c>
      <c r="JH48">
        <v>2</v>
      </c>
      <c r="JI48">
        <v>2136</v>
      </c>
      <c r="JJ48">
        <v>1</v>
      </c>
      <c r="JK48">
        <v>19</v>
      </c>
      <c r="JL48">
        <v>29361376.100000001</v>
      </c>
      <c r="JM48">
        <v>29361376.100000001</v>
      </c>
      <c r="JN48">
        <v>1.09985</v>
      </c>
      <c r="JO48">
        <v>2.5512700000000001</v>
      </c>
      <c r="JP48">
        <v>1.39893</v>
      </c>
      <c r="JQ48">
        <v>2.32178</v>
      </c>
      <c r="JR48">
        <v>1.4489700000000001</v>
      </c>
      <c r="JS48">
        <v>2.4890099999999999</v>
      </c>
      <c r="JT48">
        <v>36.104999999999997</v>
      </c>
      <c r="JU48">
        <v>23.938700000000001</v>
      </c>
      <c r="JV48">
        <v>18</v>
      </c>
      <c r="JW48">
        <v>478.69400000000002</v>
      </c>
      <c r="JX48">
        <v>461.399</v>
      </c>
      <c r="JY48">
        <v>15.917999999999999</v>
      </c>
      <c r="JZ48">
        <v>23.5243</v>
      </c>
      <c r="KA48">
        <v>30</v>
      </c>
      <c r="KB48">
        <v>23.303799999999999</v>
      </c>
      <c r="KC48">
        <v>23.387</v>
      </c>
      <c r="KD48">
        <v>22.044499999999999</v>
      </c>
      <c r="KE48">
        <v>15.5541</v>
      </c>
      <c r="KF48">
        <v>26.7529</v>
      </c>
      <c r="KG48">
        <v>15.933</v>
      </c>
      <c r="KH48">
        <v>420</v>
      </c>
      <c r="KI48">
        <v>10.3531</v>
      </c>
      <c r="KJ48">
        <v>102.205</v>
      </c>
      <c r="KK48">
        <v>101.06</v>
      </c>
    </row>
    <row r="49" spans="1:297" x14ac:dyDescent="0.3">
      <c r="A49">
        <v>33</v>
      </c>
      <c r="B49">
        <v>1761682951.5999999</v>
      </c>
      <c r="C49">
        <v>5501.5999999046326</v>
      </c>
      <c r="D49" t="s">
        <v>573</v>
      </c>
      <c r="E49" t="s">
        <v>574</v>
      </c>
      <c r="F49">
        <v>5</v>
      </c>
      <c r="G49" t="s">
        <v>575</v>
      </c>
      <c r="H49" t="s">
        <v>436</v>
      </c>
      <c r="I49">
        <v>1761682943.599999</v>
      </c>
      <c r="J49">
        <f t="shared" ref="J49:J80" si="50">(K49)/1000</f>
        <v>1.5518470047180537E-3</v>
      </c>
      <c r="K49">
        <f t="shared" ref="K49:K80" si="51">IF(DP49, AN49, AH49)</f>
        <v>1.5518470047180537</v>
      </c>
      <c r="L49">
        <f t="shared" ref="L49:L80" si="52">IF(DP49, AI49, AG49)</f>
        <v>8.8137011175170468</v>
      </c>
      <c r="M49">
        <f t="shared" ref="M49:M80" si="53">DR49 - IF(AU49&gt;1, L49*DL49*100/(AW49), 0)</f>
        <v>408.66067741935478</v>
      </c>
      <c r="N49">
        <f t="shared" ref="N49:N80" si="54">((T49-J49/2)*M49-L49)/(T49+J49/2)</f>
        <v>260.03338048710128</v>
      </c>
      <c r="O49">
        <f t="shared" ref="O49:O80" si="55">N49*(DY49+DZ49)/1000</f>
        <v>23.687419313687744</v>
      </c>
      <c r="P49">
        <f t="shared" ref="P49:P80" si="56">(DR49 - IF(AU49&gt;1, L49*DL49*100/(AW49), 0))*(DY49+DZ49)/1000</f>
        <v>37.226439178365851</v>
      </c>
      <c r="Q49">
        <f t="shared" ref="Q49:Q80" si="57">2/((1/S49-1/R49)+SIGN(S49)*SQRT((1/S49-1/R49)*(1/S49-1/R49) + 4*DM49/((DM49+1)*(DM49+1))*(2*1/S49*1/R49-1/R49*1/R49)))</f>
        <v>0.10222655323288588</v>
      </c>
      <c r="R49">
        <f t="shared" ref="R49:R80" si="58">IF(LEFT(DN49,1)&lt;&gt;"0",IF(LEFT(DN49,1)="1",3,DO49),$D$5+$E$5*(EF49*DY49/($K$5*1000))+$F$5*(EF49*DY49/($K$5*1000))*MAX(MIN(DL49,$J$5),$I$5)*MAX(MIN(DL49,$J$5),$I$5)+$G$5*MAX(MIN(DL49,$J$5),$I$5)*(EF49*DY49/($K$5*1000))+$H$5*(EF49*DY49/($K$5*1000))*(EF49*DY49/($K$5*1000)))</f>
        <v>2.7722349025229298</v>
      </c>
      <c r="S49">
        <f t="shared" ref="S49:S80" si="59">J49*(1000-(1000*0.61365*EXP(17.502*W49/(240.97+W49))/(DY49+DZ49)+DT49)/2)/(1000*0.61365*EXP(17.502*W49/(240.97+W49))/(DY49+DZ49)-DT49)</f>
        <v>0.10017760503213616</v>
      </c>
      <c r="T49">
        <f t="shared" ref="T49:T80" si="60">1/((DM49+1)/(Q49/1.6)+1/(R49/1.37)) + DM49/((DM49+1)/(Q49/1.6) + DM49/(R49/1.37))</f>
        <v>6.2791672495991158E-2</v>
      </c>
      <c r="U49">
        <f t="shared" ref="U49:U80" si="61">(DH49*DK49)</f>
        <v>540.89732134648625</v>
      </c>
      <c r="V49">
        <f t="shared" ref="V49:V80" si="62">(EA49+(U49+2*0.95*0.0000000567*(((EA49+$B$7)+273)^4-(EA49+273)^4)-44100*J49)/(1.84*29.3*R49+8*0.95*0.0000000567*(EA49+273)^3))</f>
        <v>20.21026060619262</v>
      </c>
      <c r="W49">
        <f t="shared" ref="W49:W80" si="63">($C$7*EB49+$D$7*EC49+$E$7*V49)</f>
        <v>20.21026060619262</v>
      </c>
      <c r="X49">
        <f t="shared" ref="X49:X80" si="64">0.61365*EXP(17.502*W49/(240.97+W49))</f>
        <v>2.3773420127997071</v>
      </c>
      <c r="Y49">
        <f t="shared" ref="Y49:Y80" si="65">(Z49/AA49*100)</f>
        <v>50.205664014284793</v>
      </c>
      <c r="Z49">
        <f t="shared" ref="Z49:Z80" si="66">DT49*(DY49+DZ49)/1000</f>
        <v>0.99231198985864155</v>
      </c>
      <c r="AA49">
        <f t="shared" ref="AA49:AA80" si="67">0.61365*EXP(17.502*EA49/(240.97+EA49))</f>
        <v>1.9764941054784246</v>
      </c>
      <c r="AB49">
        <f t="shared" ref="AB49:AB80" si="68">(X49-DT49*(DY49+DZ49)/1000)</f>
        <v>1.3850300229410655</v>
      </c>
      <c r="AC49">
        <f t="shared" ref="AC49:AC80" si="69">(-J49*44100)</f>
        <v>-68.436452908066173</v>
      </c>
      <c r="AD49">
        <f t="shared" ref="AD49:AD80" si="70">2*29.3*R49*0.92*(EA49-W49)</f>
        <v>-441.34320513518844</v>
      </c>
      <c r="AE49">
        <f t="shared" ref="AE49:AE80" si="71">2*0.95*0.0000000567*(((EA49+$B$7)+273)^4-(W49+273)^4)</f>
        <v>-31.595763773738426</v>
      </c>
      <c r="AF49">
        <f t="shared" ref="AF49:AF80" si="72">U49+AE49+AC49+AD49</f>
        <v>-0.4781004705067744</v>
      </c>
      <c r="AG49">
        <f t="shared" ref="AG49:AG80" si="73">DX49*AU49*(DS49-DR49*(1000-AU49*DU49)/(1000-AU49*DT49))/(100*DL49)</f>
        <v>8.8335918212537514</v>
      </c>
      <c r="AH49">
        <f t="shared" ref="AH49:AH80" si="74">1000*DX49*AU49*(DT49-DU49)/(100*DL49*(1000-AU49*DT49))</f>
        <v>1.5658186204349771</v>
      </c>
      <c r="AI49">
        <f t="shared" ref="AI49:AI80" si="75">(AJ49 - AK49 - DY49*1000/(8.314*(EA49+273.15)) * AM49/DX49 * AL49) * DX49/(100*DL49) * (1000 - DU49)/1000</f>
        <v>8.8137011175170468</v>
      </c>
      <c r="AJ49">
        <v>423.81409653680163</v>
      </c>
      <c r="AK49">
        <v>413.14287272727262</v>
      </c>
      <c r="AL49">
        <v>3.7099353057659328E-7</v>
      </c>
      <c r="AM49">
        <v>65.126255982470937</v>
      </c>
      <c r="AN49">
        <f t="shared" ref="AN49:AN80" si="76">(AP49 - AO49 + DY49*1000/(8.314*(EA49+273.15)) * AR49/DX49 * AQ49) * DX49/(100*DL49) * 1000/(1000 - AP49)</f>
        <v>1.5518470047180537</v>
      </c>
      <c r="AO49">
        <v>9.0327114274486746</v>
      </c>
      <c r="AP49">
        <v>10.877027272727281</v>
      </c>
      <c r="AQ49">
        <v>-3.6153556906485021E-4</v>
      </c>
      <c r="AR49">
        <v>96.791105692692355</v>
      </c>
      <c r="AS49">
        <v>1</v>
      </c>
      <c r="AT49">
        <v>0</v>
      </c>
      <c r="AU49">
        <f t="shared" ref="AU49:AU80" si="77">IF(AS49*$H$13&gt;=AW49,1,(AW49/(AW49-AS49*$H$13)))</f>
        <v>1</v>
      </c>
      <c r="AV49">
        <f t="shared" ref="AV49:AV80" si="78">(AU49-1)*100</f>
        <v>0</v>
      </c>
      <c r="AW49">
        <f t="shared" ref="AW49:AW80" si="79">MAX(0,($B$13+$C$13*EF49)/(1+$D$13*EF49)*DY49/(EA49+273)*$E$13)</f>
        <v>49887.251753162825</v>
      </c>
      <c r="AX49" t="s">
        <v>572</v>
      </c>
      <c r="AY49">
        <v>5037.6000000000004</v>
      </c>
      <c r="AZ49">
        <v>716.66923076923081</v>
      </c>
      <c r="BA49">
        <v>1764.136972542495</v>
      </c>
      <c r="BB49">
        <f t="shared" ref="BB49:BB80" si="80">1-AZ49/BA49</f>
        <v>0.59375647020403477</v>
      </c>
      <c r="BC49">
        <v>-0.82433697919469073</v>
      </c>
      <c r="BD49" t="s">
        <v>576</v>
      </c>
      <c r="BE49">
        <v>5040.07</v>
      </c>
      <c r="BF49">
        <v>1643.53</v>
      </c>
      <c r="BG49">
        <v>1763.086236359625</v>
      </c>
      <c r="BH49">
        <f t="shared" ref="BH49:BH80" si="81">1-BF49/BG49</f>
        <v>6.7810770621453909E-2</v>
      </c>
      <c r="BI49">
        <v>0.5</v>
      </c>
      <c r="BJ49">
        <f t="shared" ref="BJ49:BJ80" si="82">DI49</f>
        <v>2522.0457387889205</v>
      </c>
      <c r="BK49">
        <f t="shared" ref="BK49:BK80" si="83">L49</f>
        <v>8.8137011175170468</v>
      </c>
      <c r="BL49">
        <f t="shared" ref="BL49:BL80" si="84">BH49*BI49*BJ49</f>
        <v>85.510932544915377</v>
      </c>
      <c r="BM49">
        <f t="shared" ref="BM49:BM80" si="85">(BK49-BC49)/BJ49</f>
        <v>3.8215159814428651E-3</v>
      </c>
      <c r="BN49">
        <f t="shared" ref="BN49:BN80" si="86">(BA49-BG49)/BG49</f>
        <v>5.959641458261858E-4</v>
      </c>
      <c r="BO49">
        <f t="shared" ref="BO49:BO80" si="87">AZ49/(BB49+AZ49/BG49)</f>
        <v>716.49576243187062</v>
      </c>
      <c r="BP49" t="s">
        <v>577</v>
      </c>
      <c r="BQ49">
        <v>824.33</v>
      </c>
      <c r="BR49">
        <f t="shared" ref="BR49:BR80" si="88">IF(BQ49&lt;&gt;0, BQ49, BO49)</f>
        <v>824.33</v>
      </c>
      <c r="BS49">
        <f t="shared" ref="BS49:BS80" si="89">1-BR49/BG49</f>
        <v>0.5324505500638157</v>
      </c>
      <c r="BT49">
        <f t="shared" ref="BT49:BT80" si="90">(BG49-BF49)/(BG49-BR49)</f>
        <v>0.12735599693403754</v>
      </c>
      <c r="BU49">
        <f t="shared" ref="BU49:BU80" si="91">(BA49-BG49)/(BA49-BR49)</f>
        <v>1.1180340363163861E-3</v>
      </c>
      <c r="BV49">
        <f t="shared" ref="BV49:BV80" si="92">(BG49-BF49)/(BG49-AZ49)</f>
        <v>0.11425295625062089</v>
      </c>
      <c r="BW49">
        <f t="shared" ref="BW49:BW80" si="93">(BA49-BG49)/(BA49-AZ49)</f>
        <v>1.0031203262557483E-3</v>
      </c>
      <c r="BX49">
        <f t="shared" ref="BX49:BX80" si="94">(BT49*BR49/BF49)</f>
        <v>6.3876758533543757E-2</v>
      </c>
      <c r="BY49">
        <f t="shared" ref="BY49:BY80" si="95">(1-BX49)</f>
        <v>0.9361232414664562</v>
      </c>
      <c r="BZ49">
        <v>428</v>
      </c>
      <c r="CA49">
        <v>290.00000000000011</v>
      </c>
      <c r="CB49">
        <v>1709.87</v>
      </c>
      <c r="CC49">
        <v>95</v>
      </c>
      <c r="CD49">
        <v>5040.07</v>
      </c>
      <c r="CE49">
        <v>1708.36</v>
      </c>
      <c r="CF49">
        <v>1.51</v>
      </c>
      <c r="CG49">
        <v>300.00000000000011</v>
      </c>
      <c r="CH49">
        <v>23.9</v>
      </c>
      <c r="CI49">
        <v>1763.086236359625</v>
      </c>
      <c r="CJ49">
        <v>2.5501671871560201</v>
      </c>
      <c r="CK49">
        <v>-27.582797382096832</v>
      </c>
      <c r="CL49">
        <v>1.1841179258533729</v>
      </c>
      <c r="CM49">
        <v>0.95092959007396227</v>
      </c>
      <c r="CN49">
        <v>-2.520391101223588E-3</v>
      </c>
      <c r="CO49">
        <v>289.99999999999989</v>
      </c>
      <c r="CP49">
        <v>1707.35</v>
      </c>
      <c r="CQ49">
        <v>615</v>
      </c>
      <c r="CR49">
        <v>5038.83</v>
      </c>
      <c r="CS49">
        <v>1708.35</v>
      </c>
      <c r="CT49">
        <v>-1</v>
      </c>
      <c r="DH49">
        <f t="shared" ref="DH49:DH80" si="96">$B$11*EG49+$C$11*EH49+$F$11*ES49*(1-EV49)</f>
        <v>3074.543225806452</v>
      </c>
      <c r="DI49">
        <f t="shared" ref="DI49:DI80" si="97">DH49*DJ49</f>
        <v>2522.0457387889205</v>
      </c>
      <c r="DJ49">
        <f t="shared" ref="DJ49:DJ80" si="98">($B$11*$D$9+$C$11*$D$9+$F$11*((FF49+EX49)/MAX(FF49+EX49+FG49, 0.1)*$I$9+FG49/MAX(FF49+EX49+FG49, 0.1)*$J$9))/($B$11+$C$11+$F$11)</f>
        <v>0.82029932694388719</v>
      </c>
      <c r="DK49">
        <f t="shared" ref="DK49:DK80" si="99">($B$11*$K$9+$C$11*$K$9+$F$11*((FF49+EX49)/MAX(FF49+EX49+FG49, 0.1)*$P$9+FG49/MAX(FF49+EX49+FG49, 0.1)*$Q$9))/($B$11+$C$11+$F$11)</f>
        <v>0.17592770100170213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1761682943.599999</v>
      </c>
      <c r="DR49">
        <v>408.66067741935478</v>
      </c>
      <c r="DS49">
        <v>420.02709677419358</v>
      </c>
      <c r="DT49">
        <v>10.89330322580645</v>
      </c>
      <c r="DU49">
        <v>9.0350764516129036</v>
      </c>
      <c r="DV49">
        <v>407.8434838709677</v>
      </c>
      <c r="DW49">
        <v>10.80906129032258</v>
      </c>
      <c r="DX49">
        <v>500.07729032258072</v>
      </c>
      <c r="DY49">
        <v>91.073238709677426</v>
      </c>
      <c r="DZ49">
        <v>2.052498064516128E-2</v>
      </c>
      <c r="EA49">
        <v>17.257277419354839</v>
      </c>
      <c r="EB49">
        <v>17.967506451612909</v>
      </c>
      <c r="EC49">
        <v>999.90000000000032</v>
      </c>
      <c r="ED49">
        <v>0</v>
      </c>
      <c r="EE49">
        <v>0</v>
      </c>
      <c r="EF49">
        <v>10023.86129032258</v>
      </c>
      <c r="EG49">
        <v>0</v>
      </c>
      <c r="EH49">
        <v>1074.556774193549</v>
      </c>
      <c r="EI49">
        <v>-11.36643870967742</v>
      </c>
      <c r="EJ49">
        <v>413.1614193548387</v>
      </c>
      <c r="EK49">
        <v>423.85670967741942</v>
      </c>
      <c r="EL49">
        <v>1.858233225806452</v>
      </c>
      <c r="EM49">
        <v>420.02709677419358</v>
      </c>
      <c r="EN49">
        <v>9.0350764516129036</v>
      </c>
      <c r="EO49">
        <v>0.9920890645161291</v>
      </c>
      <c r="EP49">
        <v>0.82285377419354855</v>
      </c>
      <c r="EQ49">
        <v>6.8007058064516137</v>
      </c>
      <c r="ER49">
        <v>4.1077851612903222</v>
      </c>
      <c r="ES49">
        <v>1999.986451612903</v>
      </c>
      <c r="ET49">
        <v>0.97999303225806467</v>
      </c>
      <c r="EU49">
        <v>2.0006490322580641E-2</v>
      </c>
      <c r="EV49">
        <v>0</v>
      </c>
      <c r="EW49">
        <v>1643.63</v>
      </c>
      <c r="EX49">
        <v>5.0005600000000019</v>
      </c>
      <c r="EY49">
        <v>32647.535483870961</v>
      </c>
      <c r="EZ49">
        <v>17294.729032258059</v>
      </c>
      <c r="FA49">
        <v>38.165064516129007</v>
      </c>
      <c r="FB49">
        <v>39.150967741935467</v>
      </c>
      <c r="FC49">
        <v>38.308258064516117</v>
      </c>
      <c r="FD49">
        <v>37.892935483870957</v>
      </c>
      <c r="FE49">
        <v>38.402967741935477</v>
      </c>
      <c r="FF49">
        <v>1955.0764516129029</v>
      </c>
      <c r="FG49">
        <v>39.910000000000011</v>
      </c>
      <c r="FH49">
        <v>0</v>
      </c>
      <c r="FI49">
        <v>384.89999985694891</v>
      </c>
      <c r="FJ49">
        <v>0</v>
      </c>
      <c r="FK49">
        <v>1643.53</v>
      </c>
      <c r="FL49">
        <v>-9.5172649530293025</v>
      </c>
      <c r="FM49">
        <v>-250.79658129277789</v>
      </c>
      <c r="FN49">
        <v>32645.8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-11.353652500000001</v>
      </c>
      <c r="GD49">
        <v>-4.8748592870517249E-2</v>
      </c>
      <c r="GE49">
        <v>9.1009914260755137E-2</v>
      </c>
      <c r="GF49">
        <v>1</v>
      </c>
      <c r="GG49">
        <v>1644.1276470588241</v>
      </c>
      <c r="GH49">
        <v>-10.12009166612382</v>
      </c>
      <c r="GI49">
        <v>1.0335235528308231</v>
      </c>
      <c r="GJ49">
        <v>0</v>
      </c>
      <c r="GK49">
        <v>1.8705020000000001</v>
      </c>
      <c r="GL49">
        <v>-0.21058536585366019</v>
      </c>
      <c r="GM49">
        <v>2.1054248526128881E-2</v>
      </c>
      <c r="GN49">
        <v>0</v>
      </c>
      <c r="GO49">
        <v>1</v>
      </c>
      <c r="GP49">
        <v>3</v>
      </c>
      <c r="GQ49" t="s">
        <v>442</v>
      </c>
      <c r="GR49">
        <v>3.1327699999999998</v>
      </c>
      <c r="GS49">
        <v>2.6977600000000002</v>
      </c>
      <c r="GT49">
        <v>8.54433E-2</v>
      </c>
      <c r="GU49">
        <v>8.7814500000000004E-2</v>
      </c>
      <c r="GV49">
        <v>6.1553499999999997E-2</v>
      </c>
      <c r="GW49">
        <v>5.3983299999999998E-2</v>
      </c>
      <c r="GX49">
        <v>27804.5</v>
      </c>
      <c r="GY49">
        <v>26745.9</v>
      </c>
      <c r="GZ49">
        <v>30925</v>
      </c>
      <c r="HA49">
        <v>29551.4</v>
      </c>
      <c r="HB49">
        <v>40011.9</v>
      </c>
      <c r="HC49">
        <v>36805.699999999997</v>
      </c>
      <c r="HD49">
        <v>47242.400000000001</v>
      </c>
      <c r="HE49">
        <v>43923.8</v>
      </c>
      <c r="HF49">
        <v>1.8927</v>
      </c>
      <c r="HG49">
        <v>1.90628</v>
      </c>
      <c r="HH49">
        <v>7.2546299999999994E-2</v>
      </c>
      <c r="HI49">
        <v>0</v>
      </c>
      <c r="HJ49">
        <v>16.761199999999999</v>
      </c>
      <c r="HK49">
        <v>999.9</v>
      </c>
      <c r="HL49">
        <v>27.1</v>
      </c>
      <c r="HM49">
        <v>30.4</v>
      </c>
      <c r="HN49">
        <v>12.973000000000001</v>
      </c>
      <c r="HO49">
        <v>63.503399999999999</v>
      </c>
      <c r="HP49">
        <v>19.527200000000001</v>
      </c>
      <c r="HQ49">
        <v>1</v>
      </c>
      <c r="HR49">
        <v>-0.24108499999999999</v>
      </c>
      <c r="HS49">
        <v>4.5866800000000003</v>
      </c>
      <c r="HT49">
        <v>20.145499999999998</v>
      </c>
      <c r="HU49">
        <v>5.2367600000000003</v>
      </c>
      <c r="HV49">
        <v>11.974</v>
      </c>
      <c r="HW49">
        <v>4.9725999999999999</v>
      </c>
      <c r="HX49">
        <v>3.2904800000000001</v>
      </c>
      <c r="HY49">
        <v>9999</v>
      </c>
      <c r="HZ49">
        <v>9999</v>
      </c>
      <c r="IA49">
        <v>9999</v>
      </c>
      <c r="IB49">
        <v>999.9</v>
      </c>
      <c r="IC49">
        <v>4.9729099999999997</v>
      </c>
      <c r="ID49">
        <v>1.8772599999999999</v>
      </c>
      <c r="IE49">
        <v>1.87531</v>
      </c>
      <c r="IF49">
        <v>1.87808</v>
      </c>
      <c r="IG49">
        <v>1.8748499999999999</v>
      </c>
      <c r="IH49">
        <v>1.87842</v>
      </c>
      <c r="II49">
        <v>1.87557</v>
      </c>
      <c r="IJ49">
        <v>1.8766799999999999</v>
      </c>
      <c r="IK49">
        <v>0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0.81699999999999995</v>
      </c>
      <c r="IY49">
        <v>8.3900000000000002E-2</v>
      </c>
      <c r="IZ49">
        <v>6.1933660764125778E-2</v>
      </c>
      <c r="JA49">
        <v>2.058711587971173E-3</v>
      </c>
      <c r="JB49">
        <v>-6.1309262243104059E-7</v>
      </c>
      <c r="JC49">
        <v>2.6183910446277612E-10</v>
      </c>
      <c r="JD49">
        <v>3.5078820932035488E-4</v>
      </c>
      <c r="JE49">
        <v>-4.3284922736758413E-3</v>
      </c>
      <c r="JF49">
        <v>1.4186339569364E-3</v>
      </c>
      <c r="JG49">
        <v>-2.7770646863349432E-5</v>
      </c>
      <c r="JH49">
        <v>2</v>
      </c>
      <c r="JI49">
        <v>2136</v>
      </c>
      <c r="JJ49">
        <v>1</v>
      </c>
      <c r="JK49">
        <v>19</v>
      </c>
      <c r="JL49">
        <v>29361382.5</v>
      </c>
      <c r="JM49">
        <v>29361382.5</v>
      </c>
      <c r="JN49">
        <v>1.09863</v>
      </c>
      <c r="JO49">
        <v>2.5402800000000001</v>
      </c>
      <c r="JP49">
        <v>1.39893</v>
      </c>
      <c r="JQ49">
        <v>2.32056</v>
      </c>
      <c r="JR49">
        <v>1.4489700000000001</v>
      </c>
      <c r="JS49">
        <v>2.6049799999999999</v>
      </c>
      <c r="JT49">
        <v>36.292900000000003</v>
      </c>
      <c r="JU49">
        <v>23.833600000000001</v>
      </c>
      <c r="JV49">
        <v>18</v>
      </c>
      <c r="JW49">
        <v>479.36599999999999</v>
      </c>
      <c r="JX49">
        <v>456.80399999999997</v>
      </c>
      <c r="JY49">
        <v>11.470800000000001</v>
      </c>
      <c r="JZ49">
        <v>23.871400000000001</v>
      </c>
      <c r="KA49">
        <v>29.999700000000001</v>
      </c>
      <c r="KB49">
        <v>23.479299999999999</v>
      </c>
      <c r="KC49">
        <v>23.532</v>
      </c>
      <c r="KD49">
        <v>22.024699999999999</v>
      </c>
      <c r="KE49">
        <v>26.300599999999999</v>
      </c>
      <c r="KF49">
        <v>25.2531</v>
      </c>
      <c r="KG49">
        <v>11.501099999999999</v>
      </c>
      <c r="KH49">
        <v>420</v>
      </c>
      <c r="KI49">
        <v>9.0525699999999993</v>
      </c>
      <c r="KJ49">
        <v>102.151</v>
      </c>
      <c r="KK49">
        <v>101.021</v>
      </c>
    </row>
    <row r="50" spans="1:297" x14ac:dyDescent="0.3">
      <c r="A50">
        <v>34</v>
      </c>
      <c r="B50">
        <v>1761683081.0999999</v>
      </c>
      <c r="C50">
        <v>5631.0999999046326</v>
      </c>
      <c r="D50" t="s">
        <v>578</v>
      </c>
      <c r="E50" t="s">
        <v>579</v>
      </c>
      <c r="F50">
        <v>5</v>
      </c>
      <c r="G50" t="s">
        <v>575</v>
      </c>
      <c r="H50" t="s">
        <v>436</v>
      </c>
      <c r="I50">
        <v>1761683073.349999</v>
      </c>
      <c r="J50">
        <f t="shared" si="50"/>
        <v>1.4656666561232554E-3</v>
      </c>
      <c r="K50">
        <f t="shared" si="51"/>
        <v>1.4656666561232554</v>
      </c>
      <c r="L50">
        <f t="shared" si="52"/>
        <v>8.6521263422418322</v>
      </c>
      <c r="M50">
        <f t="shared" si="53"/>
        <v>408.91703333333328</v>
      </c>
      <c r="N50">
        <f t="shared" si="54"/>
        <v>256.68185868353152</v>
      </c>
      <c r="O50">
        <f t="shared" si="55"/>
        <v>23.378983473457762</v>
      </c>
      <c r="P50">
        <f t="shared" si="56"/>
        <v>37.24480028836858</v>
      </c>
      <c r="Q50">
        <f t="shared" si="57"/>
        <v>9.7671254902443647E-2</v>
      </c>
      <c r="R50">
        <f t="shared" si="58"/>
        <v>2.7677576327781042</v>
      </c>
      <c r="S50">
        <f t="shared" si="59"/>
        <v>9.5796075701355399E-2</v>
      </c>
      <c r="T50">
        <f t="shared" si="60"/>
        <v>6.0038026129361335E-2</v>
      </c>
      <c r="U50">
        <f t="shared" si="61"/>
        <v>505.91800336206541</v>
      </c>
      <c r="V50">
        <f t="shared" si="62"/>
        <v>20.140115603799785</v>
      </c>
      <c r="W50">
        <f t="shared" si="63"/>
        <v>20.140115603799785</v>
      </c>
      <c r="X50">
        <f t="shared" si="64"/>
        <v>2.3670515862244268</v>
      </c>
      <c r="Y50">
        <f t="shared" si="65"/>
        <v>50.173034241333639</v>
      </c>
      <c r="Z50">
        <f t="shared" si="66"/>
        <v>0.99926851886026125</v>
      </c>
      <c r="AA50">
        <f t="shared" si="67"/>
        <v>1.9916445835301746</v>
      </c>
      <c r="AB50">
        <f t="shared" si="68"/>
        <v>1.3677830673641656</v>
      </c>
      <c r="AC50">
        <f t="shared" si="69"/>
        <v>-64.635899535035563</v>
      </c>
      <c r="AD50">
        <f t="shared" si="70"/>
        <v>-412.14009748581753</v>
      </c>
      <c r="AE50">
        <f t="shared" si="71"/>
        <v>-29.560443320654684</v>
      </c>
      <c r="AF50">
        <f t="shared" si="72"/>
        <v>-0.41843697944239011</v>
      </c>
      <c r="AG50">
        <f t="shared" si="73"/>
        <v>8.6601386318224218</v>
      </c>
      <c r="AH50">
        <f t="shared" si="74"/>
        <v>1.4661662613049422</v>
      </c>
      <c r="AI50">
        <f t="shared" si="75"/>
        <v>8.6521263422418322</v>
      </c>
      <c r="AJ50">
        <v>423.87006739388801</v>
      </c>
      <c r="AK50">
        <v>413.39923636363602</v>
      </c>
      <c r="AL50">
        <v>-1.7893134545292351E-3</v>
      </c>
      <c r="AM50">
        <v>65.126255982470937</v>
      </c>
      <c r="AN50">
        <f t="shared" si="76"/>
        <v>1.4656666561232554</v>
      </c>
      <c r="AO50">
        <v>9.2255123885267132</v>
      </c>
      <c r="AP50">
        <v>10.96548041958042</v>
      </c>
      <c r="AQ50">
        <v>-5.4677342536146079E-5</v>
      </c>
      <c r="AR50">
        <v>96.791105692692355</v>
      </c>
      <c r="AS50">
        <v>1</v>
      </c>
      <c r="AT50">
        <v>0</v>
      </c>
      <c r="AU50">
        <f t="shared" si="77"/>
        <v>1</v>
      </c>
      <c r="AV50">
        <f t="shared" si="78"/>
        <v>0</v>
      </c>
      <c r="AW50">
        <f t="shared" si="79"/>
        <v>49740.122089398159</v>
      </c>
      <c r="AX50" t="s">
        <v>572</v>
      </c>
      <c r="AY50">
        <v>5037.6000000000004</v>
      </c>
      <c r="AZ50">
        <v>716.66923076923081</v>
      </c>
      <c r="BA50">
        <v>1764.136972542495</v>
      </c>
      <c r="BB50">
        <f t="shared" si="80"/>
        <v>0.59375647020403477</v>
      </c>
      <c r="BC50">
        <v>-0.82433697919469073</v>
      </c>
      <c r="BD50" t="s">
        <v>580</v>
      </c>
      <c r="BE50">
        <v>5040.71</v>
      </c>
      <c r="BF50">
        <v>1618.243461538462</v>
      </c>
      <c r="BG50">
        <v>1748.247851764492</v>
      </c>
      <c r="BH50">
        <f t="shared" si="81"/>
        <v>7.43626769481327E-2</v>
      </c>
      <c r="BI50">
        <v>0.5</v>
      </c>
      <c r="BJ50">
        <f t="shared" si="82"/>
        <v>2358.2651239786169</v>
      </c>
      <c r="BK50">
        <f t="shared" si="83"/>
        <v>8.6521263422418322</v>
      </c>
      <c r="BL50">
        <f t="shared" si="84"/>
        <v>87.683453786234992</v>
      </c>
      <c r="BM50">
        <f t="shared" si="85"/>
        <v>4.0184045572657368E-3</v>
      </c>
      <c r="BN50">
        <f t="shared" si="86"/>
        <v>9.088597341599022E-3</v>
      </c>
      <c r="BO50">
        <f t="shared" si="87"/>
        <v>714.03289005353486</v>
      </c>
      <c r="BP50" t="s">
        <v>581</v>
      </c>
      <c r="BQ50">
        <v>829</v>
      </c>
      <c r="BR50">
        <f t="shared" si="88"/>
        <v>829</v>
      </c>
      <c r="BS50">
        <f t="shared" si="89"/>
        <v>0.52581094313183496</v>
      </c>
      <c r="BT50">
        <f t="shared" si="90"/>
        <v>0.14142474195233323</v>
      </c>
      <c r="BU50">
        <f t="shared" si="91"/>
        <v>1.6991222937964758E-2</v>
      </c>
      <c r="BV50">
        <f t="shared" si="92"/>
        <v>0.12602470386658698</v>
      </c>
      <c r="BW50">
        <f t="shared" si="93"/>
        <v>1.5169078859750065E-2</v>
      </c>
      <c r="BX50">
        <f t="shared" si="94"/>
        <v>7.2449612104116448E-2</v>
      </c>
      <c r="BY50">
        <f t="shared" si="95"/>
        <v>0.92755038789588351</v>
      </c>
      <c r="BZ50">
        <v>430</v>
      </c>
      <c r="CA50">
        <v>290.00000000000011</v>
      </c>
      <c r="CB50">
        <v>1696.65</v>
      </c>
      <c r="CC50">
        <v>185</v>
      </c>
      <c r="CD50">
        <v>5040.71</v>
      </c>
      <c r="CE50">
        <v>1694.64</v>
      </c>
      <c r="CF50">
        <v>2.0099999999999998</v>
      </c>
      <c r="CG50">
        <v>300.00000000000011</v>
      </c>
      <c r="CH50">
        <v>23.9</v>
      </c>
      <c r="CI50">
        <v>1748.247851764492</v>
      </c>
      <c r="CJ50">
        <v>2.2235107006199639</v>
      </c>
      <c r="CK50">
        <v>-27.02341575219004</v>
      </c>
      <c r="CL50">
        <v>1.026745462137562</v>
      </c>
      <c r="CM50">
        <v>0.96114971824355233</v>
      </c>
      <c r="CN50">
        <v>-2.6865074527252461E-3</v>
      </c>
      <c r="CO50">
        <v>289.99999999999989</v>
      </c>
      <c r="CP50">
        <v>1692.1</v>
      </c>
      <c r="CQ50">
        <v>785</v>
      </c>
      <c r="CR50">
        <v>5039.76</v>
      </c>
      <c r="CS50">
        <v>1694.63</v>
      </c>
      <c r="CT50">
        <v>-2.5299999999999998</v>
      </c>
      <c r="DH50">
        <f t="shared" si="96"/>
        <v>2874.7796666666659</v>
      </c>
      <c r="DI50">
        <f t="shared" si="97"/>
        <v>2358.2651239786169</v>
      </c>
      <c r="DJ50">
        <f t="shared" si="98"/>
        <v>0.82032899819172844</v>
      </c>
      <c r="DK50">
        <f t="shared" si="99"/>
        <v>0.17598496651003592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1761683073.349999</v>
      </c>
      <c r="DR50">
        <v>408.91703333333328</v>
      </c>
      <c r="DS50">
        <v>420.02900000000011</v>
      </c>
      <c r="DT50">
        <v>10.97114</v>
      </c>
      <c r="DU50">
        <v>9.230988</v>
      </c>
      <c r="DV50">
        <v>408.09933333333328</v>
      </c>
      <c r="DW50">
        <v>10.885630000000001</v>
      </c>
      <c r="DX50">
        <v>499.98416666666668</v>
      </c>
      <c r="DY50">
        <v>91.061016666666646</v>
      </c>
      <c r="DZ50">
        <v>2.0540843333333329E-2</v>
      </c>
      <c r="EA50">
        <v>17.378066666666669</v>
      </c>
      <c r="EB50">
        <v>17.996603333333329</v>
      </c>
      <c r="EC50">
        <v>999.9000000000002</v>
      </c>
      <c r="ED50">
        <v>0</v>
      </c>
      <c r="EE50">
        <v>0</v>
      </c>
      <c r="EF50">
        <v>9998.7683333333334</v>
      </c>
      <c r="EG50">
        <v>0</v>
      </c>
      <c r="EH50">
        <v>1074.7703333333329</v>
      </c>
      <c r="EI50">
        <v>-11.111940000000001</v>
      </c>
      <c r="EJ50">
        <v>413.45309999999989</v>
      </c>
      <c r="EK50">
        <v>423.94243333333333</v>
      </c>
      <c r="EL50">
        <v>1.740156333333333</v>
      </c>
      <c r="EM50">
        <v>420.02900000000011</v>
      </c>
      <c r="EN50">
        <v>9.230988</v>
      </c>
      <c r="EO50">
        <v>0.99904353333333329</v>
      </c>
      <c r="EP50">
        <v>0.84058316666666677</v>
      </c>
      <c r="EQ50">
        <v>6.9024380000000001</v>
      </c>
      <c r="ER50">
        <v>4.411748666666667</v>
      </c>
      <c r="ES50">
        <v>1800.009333333333</v>
      </c>
      <c r="ET50">
        <v>0.97800580000000026</v>
      </c>
      <c r="EU50">
        <v>2.1994173333333339E-2</v>
      </c>
      <c r="EV50">
        <v>0</v>
      </c>
      <c r="EW50">
        <v>1618.25</v>
      </c>
      <c r="EX50">
        <v>5.0005600000000019</v>
      </c>
      <c r="EY50">
        <v>28837.203333333331</v>
      </c>
      <c r="EZ50">
        <v>15551.283333333329</v>
      </c>
      <c r="FA50">
        <v>37.058</v>
      </c>
      <c r="FB50">
        <v>38.278933333333327</v>
      </c>
      <c r="FC50">
        <v>37.383066666666657</v>
      </c>
      <c r="FD50">
        <v>36.753999999999998</v>
      </c>
      <c r="FE50">
        <v>37.274799999999999</v>
      </c>
      <c r="FF50">
        <v>1755.5293333333329</v>
      </c>
      <c r="FG50">
        <v>39.479999999999997</v>
      </c>
      <c r="FH50">
        <v>0</v>
      </c>
      <c r="FI50">
        <v>127.4000000953674</v>
      </c>
      <c r="FJ50">
        <v>0</v>
      </c>
      <c r="FK50">
        <v>1618.243461538462</v>
      </c>
      <c r="FL50">
        <v>-8.4105982940424298</v>
      </c>
      <c r="FM50">
        <v>-189.68546972863291</v>
      </c>
      <c r="FN50">
        <v>28836.334615384621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-11.09325365853659</v>
      </c>
      <c r="GD50">
        <v>-0.164222299651543</v>
      </c>
      <c r="GE50">
        <v>5.3356847904673058E-2</v>
      </c>
      <c r="GF50">
        <v>1</v>
      </c>
      <c r="GG50">
        <v>1618.791176470588</v>
      </c>
      <c r="GH50">
        <v>-9.1236058083372757</v>
      </c>
      <c r="GI50">
        <v>0.92736427485099027</v>
      </c>
      <c r="GJ50">
        <v>0</v>
      </c>
      <c r="GK50">
        <v>1.7258729268292681</v>
      </c>
      <c r="GL50">
        <v>0.19924034843205421</v>
      </c>
      <c r="GM50">
        <v>2.2368762871676211E-2</v>
      </c>
      <c r="GN50">
        <v>0</v>
      </c>
      <c r="GO50">
        <v>1</v>
      </c>
      <c r="GP50">
        <v>3</v>
      </c>
      <c r="GQ50" t="s">
        <v>442</v>
      </c>
      <c r="GR50">
        <v>3.1326499999999999</v>
      </c>
      <c r="GS50">
        <v>2.6982599999999999</v>
      </c>
      <c r="GT50">
        <v>8.5476300000000005E-2</v>
      </c>
      <c r="GU50">
        <v>8.7814400000000001E-2</v>
      </c>
      <c r="GV50">
        <v>6.1933099999999998E-2</v>
      </c>
      <c r="GW50">
        <v>5.4847300000000002E-2</v>
      </c>
      <c r="GX50">
        <v>27807.8</v>
      </c>
      <c r="GY50">
        <v>26749.200000000001</v>
      </c>
      <c r="GZ50">
        <v>30929.3</v>
      </c>
      <c r="HA50">
        <v>29554.7</v>
      </c>
      <c r="HB50">
        <v>40000.5</v>
      </c>
      <c r="HC50">
        <v>36776.699999999997</v>
      </c>
      <c r="HD50">
        <v>47248.3</v>
      </c>
      <c r="HE50">
        <v>43929.7</v>
      </c>
      <c r="HF50">
        <v>1.89228</v>
      </c>
      <c r="HG50">
        <v>1.9075299999999999</v>
      </c>
      <c r="HH50">
        <v>7.3432899999999995E-2</v>
      </c>
      <c r="HI50">
        <v>0</v>
      </c>
      <c r="HJ50">
        <v>16.7776</v>
      </c>
      <c r="HK50">
        <v>999.9</v>
      </c>
      <c r="HL50">
        <v>27</v>
      </c>
      <c r="HM50">
        <v>30.5</v>
      </c>
      <c r="HN50">
        <v>13.000299999999999</v>
      </c>
      <c r="HO50">
        <v>63.793399999999998</v>
      </c>
      <c r="HP50">
        <v>19.359000000000002</v>
      </c>
      <c r="HQ50">
        <v>1</v>
      </c>
      <c r="HR50">
        <v>-0.24764700000000001</v>
      </c>
      <c r="HS50">
        <v>4.0591799999999996</v>
      </c>
      <c r="HT50">
        <v>20.159400000000002</v>
      </c>
      <c r="HU50">
        <v>5.2363099999999996</v>
      </c>
      <c r="HV50">
        <v>11.974</v>
      </c>
      <c r="HW50">
        <v>4.9729999999999999</v>
      </c>
      <c r="HX50">
        <v>3.2909999999999999</v>
      </c>
      <c r="HY50">
        <v>9999</v>
      </c>
      <c r="HZ50">
        <v>9999</v>
      </c>
      <c r="IA50">
        <v>9999</v>
      </c>
      <c r="IB50">
        <v>999.9</v>
      </c>
      <c r="IC50">
        <v>4.9729099999999997</v>
      </c>
      <c r="ID50">
        <v>1.8772800000000001</v>
      </c>
      <c r="IE50">
        <v>1.8753200000000001</v>
      </c>
      <c r="IF50">
        <v>1.8781600000000001</v>
      </c>
      <c r="IG50">
        <v>1.8748499999999999</v>
      </c>
      <c r="IH50">
        <v>1.8784700000000001</v>
      </c>
      <c r="II50">
        <v>1.8755999999999999</v>
      </c>
      <c r="IJ50">
        <v>1.87673</v>
      </c>
      <c r="IK50">
        <v>0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0.81799999999999995</v>
      </c>
      <c r="IY50">
        <v>8.5400000000000004E-2</v>
      </c>
      <c r="IZ50">
        <v>6.1933660764125778E-2</v>
      </c>
      <c r="JA50">
        <v>2.058711587971173E-3</v>
      </c>
      <c r="JB50">
        <v>-6.1309262243104059E-7</v>
      </c>
      <c r="JC50">
        <v>2.6183910446277612E-10</v>
      </c>
      <c r="JD50">
        <v>3.5078820932035488E-4</v>
      </c>
      <c r="JE50">
        <v>-4.3284922736758413E-3</v>
      </c>
      <c r="JF50">
        <v>1.4186339569364E-3</v>
      </c>
      <c r="JG50">
        <v>-2.7770646863349432E-5</v>
      </c>
      <c r="JH50">
        <v>2</v>
      </c>
      <c r="JI50">
        <v>2136</v>
      </c>
      <c r="JJ50">
        <v>1</v>
      </c>
      <c r="JK50">
        <v>19</v>
      </c>
      <c r="JL50">
        <v>29361384.699999999</v>
      </c>
      <c r="JM50">
        <v>29361384.699999999</v>
      </c>
      <c r="JN50">
        <v>1.09863</v>
      </c>
      <c r="JO50">
        <v>2.5463900000000002</v>
      </c>
      <c r="JP50">
        <v>1.39893</v>
      </c>
      <c r="JQ50">
        <v>2.32056</v>
      </c>
      <c r="JR50">
        <v>1.4489700000000001</v>
      </c>
      <c r="JS50">
        <v>2.4841299999999999</v>
      </c>
      <c r="JT50">
        <v>36.340000000000003</v>
      </c>
      <c r="JU50">
        <v>23.833600000000001</v>
      </c>
      <c r="JV50">
        <v>18</v>
      </c>
      <c r="JW50">
        <v>479.036</v>
      </c>
      <c r="JX50">
        <v>457.53399999999999</v>
      </c>
      <c r="JY50">
        <v>12.213800000000001</v>
      </c>
      <c r="JZ50">
        <v>23.790900000000001</v>
      </c>
      <c r="KA50">
        <v>29.9999</v>
      </c>
      <c r="KB50">
        <v>23.464300000000001</v>
      </c>
      <c r="KC50">
        <v>23.526599999999998</v>
      </c>
      <c r="KD50">
        <v>22.0244</v>
      </c>
      <c r="KE50">
        <v>24.015000000000001</v>
      </c>
      <c r="KF50">
        <v>24.511800000000001</v>
      </c>
      <c r="KG50">
        <v>12.2003</v>
      </c>
      <c r="KH50">
        <v>420</v>
      </c>
      <c r="KI50">
        <v>9.2757199999999997</v>
      </c>
      <c r="KJ50">
        <v>102.164</v>
      </c>
      <c r="KK50">
        <v>101.03400000000001</v>
      </c>
    </row>
    <row r="51" spans="1:297" x14ac:dyDescent="0.3">
      <c r="A51">
        <v>35</v>
      </c>
      <c r="B51">
        <v>1761683210.5999999</v>
      </c>
      <c r="C51">
        <v>5760.5999999046326</v>
      </c>
      <c r="D51" t="s">
        <v>582</v>
      </c>
      <c r="E51" t="s">
        <v>583</v>
      </c>
      <c r="F51">
        <v>5</v>
      </c>
      <c r="G51" t="s">
        <v>575</v>
      </c>
      <c r="H51" t="s">
        <v>436</v>
      </c>
      <c r="I51">
        <v>1761683202.849999</v>
      </c>
      <c r="J51">
        <f t="shared" si="50"/>
        <v>1.428598576414727E-3</v>
      </c>
      <c r="K51">
        <f t="shared" si="51"/>
        <v>1.4285985764147271</v>
      </c>
      <c r="L51">
        <f t="shared" si="52"/>
        <v>8.4797060619062261</v>
      </c>
      <c r="M51">
        <f t="shared" si="53"/>
        <v>409.15563333333353</v>
      </c>
      <c r="N51">
        <f t="shared" si="54"/>
        <v>259.03704984792637</v>
      </c>
      <c r="O51">
        <f t="shared" si="55"/>
        <v>23.596085045760983</v>
      </c>
      <c r="P51">
        <f t="shared" si="56"/>
        <v>37.270618727141205</v>
      </c>
      <c r="Q51">
        <f t="shared" si="57"/>
        <v>9.705585084896215E-2</v>
      </c>
      <c r="R51">
        <f t="shared" si="58"/>
        <v>2.7683354878944169</v>
      </c>
      <c r="S51">
        <f t="shared" si="59"/>
        <v>9.5204364509595477E-2</v>
      </c>
      <c r="T51">
        <f t="shared" si="60"/>
        <v>5.9666134677847309E-2</v>
      </c>
      <c r="U51">
        <f t="shared" si="61"/>
        <v>453.50440169167285</v>
      </c>
      <c r="V51">
        <f t="shared" si="62"/>
        <v>20.019865673106317</v>
      </c>
      <c r="W51">
        <f t="shared" si="63"/>
        <v>20.019865673106317</v>
      </c>
      <c r="X51">
        <f t="shared" si="64"/>
        <v>2.3495014346422063</v>
      </c>
      <c r="Y51">
        <f t="shared" si="65"/>
        <v>49.971864338858971</v>
      </c>
      <c r="Z51">
        <f t="shared" si="66"/>
        <v>1.0078073993613232</v>
      </c>
      <c r="AA51">
        <f t="shared" si="67"/>
        <v>2.0167496504180553</v>
      </c>
      <c r="AB51">
        <f t="shared" si="68"/>
        <v>1.341694035280883</v>
      </c>
      <c r="AC51">
        <f t="shared" si="69"/>
        <v>-63.001197219889463</v>
      </c>
      <c r="AD51">
        <f t="shared" si="70"/>
        <v>-364.67024917822749</v>
      </c>
      <c r="AE51">
        <f t="shared" si="71"/>
        <v>-26.160623267359448</v>
      </c>
      <c r="AF51">
        <f t="shared" si="72"/>
        <v>-0.32766797380355683</v>
      </c>
      <c r="AG51">
        <f t="shared" si="73"/>
        <v>8.4680546325377684</v>
      </c>
      <c r="AH51">
        <f t="shared" si="74"/>
        <v>1.4224235180847102</v>
      </c>
      <c r="AI51">
        <f t="shared" si="75"/>
        <v>8.4797060619062261</v>
      </c>
      <c r="AJ51">
        <v>424.01535140483708</v>
      </c>
      <c r="AK51">
        <v>413.74293939393942</v>
      </c>
      <c r="AL51">
        <v>5.9427760911544817E-5</v>
      </c>
      <c r="AM51">
        <v>65.126255982470937</v>
      </c>
      <c r="AN51">
        <f t="shared" si="76"/>
        <v>1.4285985764147271</v>
      </c>
      <c r="AO51">
        <v>9.3772401740915239</v>
      </c>
      <c r="AP51">
        <v>11.07218321678323</v>
      </c>
      <c r="AQ51">
        <v>5.7799176450557419E-5</v>
      </c>
      <c r="AR51">
        <v>96.791105692692355</v>
      </c>
      <c r="AS51">
        <v>1</v>
      </c>
      <c r="AT51">
        <v>0</v>
      </c>
      <c r="AU51">
        <f t="shared" si="77"/>
        <v>1</v>
      </c>
      <c r="AV51">
        <f t="shared" si="78"/>
        <v>0</v>
      </c>
      <c r="AW51">
        <f t="shared" si="79"/>
        <v>49722.648582231763</v>
      </c>
      <c r="AX51" t="s">
        <v>572</v>
      </c>
      <c r="AY51">
        <v>5037.6000000000004</v>
      </c>
      <c r="AZ51">
        <v>716.66923076923081</v>
      </c>
      <c r="BA51">
        <v>1764.136972542495</v>
      </c>
      <c r="BB51">
        <f t="shared" si="80"/>
        <v>0.59375647020403477</v>
      </c>
      <c r="BC51">
        <v>-0.82433697919469073</v>
      </c>
      <c r="BD51" t="s">
        <v>584</v>
      </c>
      <c r="BE51">
        <v>5039.8</v>
      </c>
      <c r="BF51">
        <v>1582.325</v>
      </c>
      <c r="BG51">
        <v>1733.316386914229</v>
      </c>
      <c r="BH51">
        <f t="shared" si="81"/>
        <v>8.7111267195156716E-2</v>
      </c>
      <c r="BI51">
        <v>0.5</v>
      </c>
      <c r="BJ51">
        <f t="shared" si="82"/>
        <v>2112.4082858506081</v>
      </c>
      <c r="BK51">
        <f t="shared" si="83"/>
        <v>8.4797060619062261</v>
      </c>
      <c r="BL51">
        <f t="shared" si="84"/>
        <v>92.007281306997655</v>
      </c>
      <c r="BM51">
        <f t="shared" si="85"/>
        <v>4.4044719495854642E-3</v>
      </c>
      <c r="BN51">
        <f t="shared" si="86"/>
        <v>1.7781280936906663E-2</v>
      </c>
      <c r="BO51">
        <f t="shared" si="87"/>
        <v>711.52947601703659</v>
      </c>
      <c r="BP51" t="s">
        <v>585</v>
      </c>
      <c r="BQ51">
        <v>820.27</v>
      </c>
      <c r="BR51">
        <f t="shared" si="88"/>
        <v>820.27</v>
      </c>
      <c r="BS51">
        <f t="shared" si="89"/>
        <v>0.52676268095503209</v>
      </c>
      <c r="BT51">
        <f t="shared" si="90"/>
        <v>0.16537099218422627</v>
      </c>
      <c r="BU51">
        <f t="shared" si="91"/>
        <v>3.265352695332107E-2</v>
      </c>
      <c r="BV51">
        <f t="shared" si="92"/>
        <v>0.14851896845585039</v>
      </c>
      <c r="BW51">
        <f t="shared" si="93"/>
        <v>2.9423899561899225E-2</v>
      </c>
      <c r="BX51">
        <f t="shared" si="94"/>
        <v>8.5727561505351477E-2</v>
      </c>
      <c r="BY51">
        <f t="shared" si="95"/>
        <v>0.91427243849464856</v>
      </c>
      <c r="BZ51">
        <v>432</v>
      </c>
      <c r="CA51">
        <v>290.00000000000011</v>
      </c>
      <c r="CB51">
        <v>1682.79</v>
      </c>
      <c r="CC51">
        <v>185</v>
      </c>
      <c r="CD51">
        <v>5039.8</v>
      </c>
      <c r="CE51">
        <v>1681.27</v>
      </c>
      <c r="CF51">
        <v>1.52</v>
      </c>
      <c r="CG51">
        <v>300.00000000000011</v>
      </c>
      <c r="CH51">
        <v>23.9</v>
      </c>
      <c r="CI51">
        <v>1733.316386914229</v>
      </c>
      <c r="CJ51">
        <v>2.2527093472278121</v>
      </c>
      <c r="CK51">
        <v>-26.229599446276541</v>
      </c>
      <c r="CL51">
        <v>1.030756809142503</v>
      </c>
      <c r="CM51">
        <v>0.95855206974932483</v>
      </c>
      <c r="CN51">
        <v>-2.9353337041156829E-3</v>
      </c>
      <c r="CO51">
        <v>289.99999999999989</v>
      </c>
      <c r="CP51">
        <v>1679.47</v>
      </c>
      <c r="CQ51">
        <v>655</v>
      </c>
      <c r="CR51">
        <v>5039.2</v>
      </c>
      <c r="CS51">
        <v>1681.27</v>
      </c>
      <c r="CT51">
        <v>-1.8</v>
      </c>
      <c r="DH51">
        <f t="shared" si="96"/>
        <v>2574.84</v>
      </c>
      <c r="DI51">
        <f t="shared" si="97"/>
        <v>2112.4082858506081</v>
      </c>
      <c r="DJ51">
        <f t="shared" si="98"/>
        <v>0.82040370891030423</v>
      </c>
      <c r="DK51">
        <f t="shared" si="99"/>
        <v>0.17612915819688713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1761683202.849999</v>
      </c>
      <c r="DR51">
        <v>409.15563333333353</v>
      </c>
      <c r="DS51">
        <v>420.01586666666662</v>
      </c>
      <c r="DT51">
        <v>11.063676666666669</v>
      </c>
      <c r="DU51">
        <v>9.3756256666666662</v>
      </c>
      <c r="DV51">
        <v>408.33746666666661</v>
      </c>
      <c r="DW51">
        <v>10.976636666666669</v>
      </c>
      <c r="DX51">
        <v>499.99186666666668</v>
      </c>
      <c r="DY51">
        <v>91.071219999999997</v>
      </c>
      <c r="DZ51">
        <v>2.0324856666666669E-2</v>
      </c>
      <c r="EA51">
        <v>17.576456666666669</v>
      </c>
      <c r="EB51">
        <v>17.980286666666672</v>
      </c>
      <c r="EC51">
        <v>999.9000000000002</v>
      </c>
      <c r="ED51">
        <v>0</v>
      </c>
      <c r="EE51">
        <v>0</v>
      </c>
      <c r="EF51">
        <v>10001.057666666669</v>
      </c>
      <c r="EG51">
        <v>0</v>
      </c>
      <c r="EH51">
        <v>1074.8736666666671</v>
      </c>
      <c r="EI51">
        <v>-10.860186666666671</v>
      </c>
      <c r="EJ51">
        <v>413.73300000000012</v>
      </c>
      <c r="EK51">
        <v>423.99103333333352</v>
      </c>
      <c r="EL51">
        <v>1.688049666666666</v>
      </c>
      <c r="EM51">
        <v>420.01586666666662</v>
      </c>
      <c r="EN51">
        <v>9.3756256666666662</v>
      </c>
      <c r="EO51">
        <v>1.0075823333333329</v>
      </c>
      <c r="EP51">
        <v>0.85384956666666645</v>
      </c>
      <c r="EQ51">
        <v>7.0264843333333342</v>
      </c>
      <c r="ER51">
        <v>4.6355250000000003</v>
      </c>
      <c r="ES51">
        <v>1499.9663333333331</v>
      </c>
      <c r="ET51">
        <v>0.97299559999999963</v>
      </c>
      <c r="EU51">
        <v>2.7004666666666659E-2</v>
      </c>
      <c r="EV51">
        <v>0</v>
      </c>
      <c r="EW51">
        <v>1582.354333333333</v>
      </c>
      <c r="EX51">
        <v>5.0005600000000019</v>
      </c>
      <c r="EY51">
        <v>23513.736666666671</v>
      </c>
      <c r="EZ51">
        <v>12931.19666666667</v>
      </c>
      <c r="FA51">
        <v>36.870666666666658</v>
      </c>
      <c r="FB51">
        <v>39.803799999999988</v>
      </c>
      <c r="FC51">
        <v>37.924733333333322</v>
      </c>
      <c r="FD51">
        <v>38.474799999999988</v>
      </c>
      <c r="FE51">
        <v>38.212266666666657</v>
      </c>
      <c r="FF51">
        <v>1454.596333333333</v>
      </c>
      <c r="FG51">
        <v>40.369999999999983</v>
      </c>
      <c r="FH51">
        <v>0</v>
      </c>
      <c r="FI51">
        <v>127.4000000953674</v>
      </c>
      <c r="FJ51">
        <v>0</v>
      </c>
      <c r="FK51">
        <v>1582.325</v>
      </c>
      <c r="FL51">
        <v>-11.01094015449369</v>
      </c>
      <c r="FM51">
        <v>-87.172649429151107</v>
      </c>
      <c r="FN51">
        <v>23513.776923076919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-10.844984999999999</v>
      </c>
      <c r="GD51">
        <v>-0.2321470919324248</v>
      </c>
      <c r="GE51">
        <v>3.365413458997283E-2</v>
      </c>
      <c r="GF51">
        <v>1</v>
      </c>
      <c r="GG51">
        <v>1582.85294117647</v>
      </c>
      <c r="GH51">
        <v>-10.542704348033981</v>
      </c>
      <c r="GI51">
        <v>1.0599071252646881</v>
      </c>
      <c r="GJ51">
        <v>0</v>
      </c>
      <c r="GK51">
        <v>1.6843794999999999</v>
      </c>
      <c r="GL51">
        <v>7.2733508442768852E-2</v>
      </c>
      <c r="GM51">
        <v>7.3397394197614431E-3</v>
      </c>
      <c r="GN51">
        <v>1</v>
      </c>
      <c r="GO51">
        <v>2</v>
      </c>
      <c r="GP51">
        <v>3</v>
      </c>
      <c r="GQ51" t="s">
        <v>479</v>
      </c>
      <c r="GR51">
        <v>3.1327400000000001</v>
      </c>
      <c r="GS51">
        <v>2.6980499999999998</v>
      </c>
      <c r="GT51">
        <v>8.5538299999999998E-2</v>
      </c>
      <c r="GU51">
        <v>8.7818400000000005E-2</v>
      </c>
      <c r="GV51">
        <v>6.2396100000000003E-2</v>
      </c>
      <c r="GW51">
        <v>5.5549500000000002E-2</v>
      </c>
      <c r="GX51">
        <v>27811.1</v>
      </c>
      <c r="GY51">
        <v>26751.3</v>
      </c>
      <c r="GZ51">
        <v>30934.6</v>
      </c>
      <c r="HA51">
        <v>29556.7</v>
      </c>
      <c r="HB51">
        <v>39987.199999999997</v>
      </c>
      <c r="HC51">
        <v>36751.599999999999</v>
      </c>
      <c r="HD51">
        <v>47256.2</v>
      </c>
      <c r="HE51">
        <v>43932.7</v>
      </c>
      <c r="HF51">
        <v>1.8927499999999999</v>
      </c>
      <c r="HG51">
        <v>1.9095200000000001</v>
      </c>
      <c r="HH51">
        <v>5.6527599999999997E-2</v>
      </c>
      <c r="HI51">
        <v>0</v>
      </c>
      <c r="HJ51">
        <v>16.961300000000001</v>
      </c>
      <c r="HK51">
        <v>999.9</v>
      </c>
      <c r="HL51">
        <v>26.9</v>
      </c>
      <c r="HM51">
        <v>30.5</v>
      </c>
      <c r="HN51">
        <v>12.95</v>
      </c>
      <c r="HO51">
        <v>63.583399999999997</v>
      </c>
      <c r="HP51">
        <v>19.238800000000001</v>
      </c>
      <c r="HQ51">
        <v>1</v>
      </c>
      <c r="HR51">
        <v>-0.255056</v>
      </c>
      <c r="HS51">
        <v>3.4039600000000001</v>
      </c>
      <c r="HT51">
        <v>20.178000000000001</v>
      </c>
      <c r="HU51">
        <v>5.2398999999999996</v>
      </c>
      <c r="HV51">
        <v>11.974</v>
      </c>
      <c r="HW51">
        <v>4.9732500000000002</v>
      </c>
      <c r="HX51">
        <v>3.2909999999999999</v>
      </c>
      <c r="HY51">
        <v>9999</v>
      </c>
      <c r="HZ51">
        <v>9999</v>
      </c>
      <c r="IA51">
        <v>9999</v>
      </c>
      <c r="IB51">
        <v>999.9</v>
      </c>
      <c r="IC51">
        <v>4.9729400000000004</v>
      </c>
      <c r="ID51">
        <v>1.87723</v>
      </c>
      <c r="IE51">
        <v>1.87531</v>
      </c>
      <c r="IF51">
        <v>1.87812</v>
      </c>
      <c r="IG51">
        <v>1.8748499999999999</v>
      </c>
      <c r="IH51">
        <v>1.87836</v>
      </c>
      <c r="II51">
        <v>1.87557</v>
      </c>
      <c r="IJ51">
        <v>1.8766799999999999</v>
      </c>
      <c r="IK51">
        <v>0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0.81899999999999995</v>
      </c>
      <c r="IY51">
        <v>8.72E-2</v>
      </c>
      <c r="IZ51">
        <v>6.1933660764125778E-2</v>
      </c>
      <c r="JA51">
        <v>2.058711587971173E-3</v>
      </c>
      <c r="JB51">
        <v>-6.1309262243104059E-7</v>
      </c>
      <c r="JC51">
        <v>2.6183910446277612E-10</v>
      </c>
      <c r="JD51">
        <v>3.5078820932035488E-4</v>
      </c>
      <c r="JE51">
        <v>-4.3284922736758413E-3</v>
      </c>
      <c r="JF51">
        <v>1.4186339569364E-3</v>
      </c>
      <c r="JG51">
        <v>-2.7770646863349432E-5</v>
      </c>
      <c r="JH51">
        <v>2</v>
      </c>
      <c r="JI51">
        <v>2136</v>
      </c>
      <c r="JJ51">
        <v>1</v>
      </c>
      <c r="JK51">
        <v>19</v>
      </c>
      <c r="JL51">
        <v>29361386.800000001</v>
      </c>
      <c r="JM51">
        <v>29361386.800000001</v>
      </c>
      <c r="JN51">
        <v>1.09863</v>
      </c>
      <c r="JO51">
        <v>2.5354000000000001</v>
      </c>
      <c r="JP51">
        <v>1.39893</v>
      </c>
      <c r="JQ51">
        <v>2.32056</v>
      </c>
      <c r="JR51">
        <v>1.4489700000000001</v>
      </c>
      <c r="JS51">
        <v>2.5451700000000002</v>
      </c>
      <c r="JT51">
        <v>36.410699999999999</v>
      </c>
      <c r="JU51">
        <v>23.877400000000002</v>
      </c>
      <c r="JV51">
        <v>18</v>
      </c>
      <c r="JW51">
        <v>479.02100000000002</v>
      </c>
      <c r="JX51">
        <v>458.54500000000002</v>
      </c>
      <c r="JY51">
        <v>12.8314</v>
      </c>
      <c r="JZ51">
        <v>23.694099999999999</v>
      </c>
      <c r="KA51">
        <v>29.9998</v>
      </c>
      <c r="KB51">
        <v>23.427</v>
      </c>
      <c r="KC51">
        <v>23.499300000000002</v>
      </c>
      <c r="KD51">
        <v>22.024000000000001</v>
      </c>
      <c r="KE51">
        <v>22.335000000000001</v>
      </c>
      <c r="KF51">
        <v>24.1417</v>
      </c>
      <c r="KG51">
        <v>12.9168</v>
      </c>
      <c r="KH51">
        <v>420</v>
      </c>
      <c r="KI51">
        <v>9.3951600000000006</v>
      </c>
      <c r="KJ51">
        <v>102.181</v>
      </c>
      <c r="KK51">
        <v>101.041</v>
      </c>
    </row>
    <row r="52" spans="1:297" x14ac:dyDescent="0.3">
      <c r="A52">
        <v>36</v>
      </c>
      <c r="B52">
        <v>1761683340.0999999</v>
      </c>
      <c r="C52">
        <v>5890.0999999046326</v>
      </c>
      <c r="D52" t="s">
        <v>586</v>
      </c>
      <c r="E52" t="s">
        <v>587</v>
      </c>
      <c r="F52">
        <v>5</v>
      </c>
      <c r="G52" t="s">
        <v>575</v>
      </c>
      <c r="H52" t="s">
        <v>436</v>
      </c>
      <c r="I52">
        <v>1761683332.349999</v>
      </c>
      <c r="J52">
        <f t="shared" si="50"/>
        <v>1.4129881911374878E-3</v>
      </c>
      <c r="K52">
        <f t="shared" si="51"/>
        <v>1.4129881911374877</v>
      </c>
      <c r="L52">
        <f t="shared" si="52"/>
        <v>8.2275005370777325</v>
      </c>
      <c r="M52">
        <f t="shared" si="53"/>
        <v>409.44290000000012</v>
      </c>
      <c r="N52">
        <f t="shared" si="54"/>
        <v>263.73706218579559</v>
      </c>
      <c r="O52">
        <f t="shared" si="55"/>
        <v>24.023987955045911</v>
      </c>
      <c r="P52">
        <f t="shared" si="56"/>
        <v>37.296431591209426</v>
      </c>
      <c r="Q52">
        <f t="shared" si="57"/>
        <v>9.7162471986497967E-2</v>
      </c>
      <c r="R52">
        <f t="shared" si="58"/>
        <v>2.768335173812845</v>
      </c>
      <c r="S52">
        <f t="shared" si="59"/>
        <v>9.5306957199953329E-2</v>
      </c>
      <c r="T52">
        <f t="shared" si="60"/>
        <v>5.9730607477202546E-2</v>
      </c>
      <c r="U52">
        <f t="shared" si="61"/>
        <v>404.29867394774317</v>
      </c>
      <c r="V52">
        <f t="shared" si="62"/>
        <v>19.985877775442233</v>
      </c>
      <c r="W52">
        <f t="shared" si="63"/>
        <v>19.985877775442233</v>
      </c>
      <c r="X52">
        <f t="shared" si="64"/>
        <v>2.3445617070132663</v>
      </c>
      <c r="Y52">
        <f t="shared" si="65"/>
        <v>49.675147481218872</v>
      </c>
      <c r="Z52">
        <f t="shared" si="66"/>
        <v>1.0190162392336704</v>
      </c>
      <c r="AA52">
        <f t="shared" si="67"/>
        <v>2.0513602694766813</v>
      </c>
      <c r="AB52">
        <f t="shared" si="68"/>
        <v>1.3255454677795959</v>
      </c>
      <c r="AC52">
        <f t="shared" si="69"/>
        <v>-62.312779229163212</v>
      </c>
      <c r="AD52">
        <f t="shared" si="70"/>
        <v>-319.3035697663517</v>
      </c>
      <c r="AE52">
        <f t="shared" si="71"/>
        <v>-22.933827957204951</v>
      </c>
      <c r="AF52">
        <f t="shared" si="72"/>
        <v>-0.25150300497665512</v>
      </c>
      <c r="AG52">
        <f t="shared" si="73"/>
        <v>8.2416797277923184</v>
      </c>
      <c r="AH52">
        <f t="shared" si="74"/>
        <v>1.4105411126700873</v>
      </c>
      <c r="AI52">
        <f t="shared" si="75"/>
        <v>8.2275005370777325</v>
      </c>
      <c r="AJ52">
        <v>424.07942020308468</v>
      </c>
      <c r="AK52">
        <v>414.11029696969678</v>
      </c>
      <c r="AL52">
        <v>3.1428877479823568E-4</v>
      </c>
      <c r="AM52">
        <v>65.126255982470937</v>
      </c>
      <c r="AN52">
        <f t="shared" si="76"/>
        <v>1.4129881911374877</v>
      </c>
      <c r="AO52">
        <v>9.5136189334046737</v>
      </c>
      <c r="AP52">
        <v>11.190082517482519</v>
      </c>
      <c r="AQ52">
        <v>1.475001729148147E-5</v>
      </c>
      <c r="AR52">
        <v>96.791105692692355</v>
      </c>
      <c r="AS52">
        <v>1</v>
      </c>
      <c r="AT52">
        <v>0</v>
      </c>
      <c r="AU52">
        <f t="shared" si="77"/>
        <v>1</v>
      </c>
      <c r="AV52">
        <f t="shared" si="78"/>
        <v>0</v>
      </c>
      <c r="AW52">
        <f t="shared" si="79"/>
        <v>49676.465980516165</v>
      </c>
      <c r="AX52" t="s">
        <v>572</v>
      </c>
      <c r="AY52">
        <v>5037.6000000000004</v>
      </c>
      <c r="AZ52">
        <v>716.66923076923081</v>
      </c>
      <c r="BA52">
        <v>1764.136972542495</v>
      </c>
      <c r="BB52">
        <f t="shared" si="80"/>
        <v>0.59375647020403477</v>
      </c>
      <c r="BC52">
        <v>-0.82433697919469073</v>
      </c>
      <c r="BD52" t="s">
        <v>588</v>
      </c>
      <c r="BE52">
        <v>5036.8999999999996</v>
      </c>
      <c r="BF52">
        <v>1536.552692307692</v>
      </c>
      <c r="BG52">
        <v>1722.1790217878529</v>
      </c>
      <c r="BH52">
        <f t="shared" si="81"/>
        <v>0.1077857337313608</v>
      </c>
      <c r="BI52">
        <v>0.5</v>
      </c>
      <c r="BJ52">
        <f t="shared" si="82"/>
        <v>1881.5770865014222</v>
      </c>
      <c r="BK52">
        <f t="shared" si="83"/>
        <v>8.2275005370777325</v>
      </c>
      <c r="BL52">
        <f t="shared" si="84"/>
        <v>101.40358342033596</v>
      </c>
      <c r="BM52">
        <f t="shared" si="85"/>
        <v>4.8107715496808487E-3</v>
      </c>
      <c r="BN52">
        <f t="shared" si="86"/>
        <v>2.4363292215163607E-2</v>
      </c>
      <c r="BO52">
        <f t="shared" si="87"/>
        <v>709.64556360148686</v>
      </c>
      <c r="BP52" t="s">
        <v>589</v>
      </c>
      <c r="BQ52">
        <v>826</v>
      </c>
      <c r="BR52">
        <f t="shared" si="88"/>
        <v>826</v>
      </c>
      <c r="BS52">
        <f t="shared" si="89"/>
        <v>0.52037506580326287</v>
      </c>
      <c r="BT52">
        <f t="shared" si="90"/>
        <v>0.20713085774965068</v>
      </c>
      <c r="BU52">
        <f t="shared" si="91"/>
        <v>4.472475979805976E-2</v>
      </c>
      <c r="BV52">
        <f t="shared" si="92"/>
        <v>0.18460917152493747</v>
      </c>
      <c r="BW52">
        <f t="shared" si="93"/>
        <v>4.0056556475535195E-2</v>
      </c>
      <c r="BX52">
        <f t="shared" si="94"/>
        <v>0.11134671095740786</v>
      </c>
      <c r="BY52">
        <f t="shared" si="95"/>
        <v>0.88865328904259211</v>
      </c>
      <c r="BZ52">
        <v>434</v>
      </c>
      <c r="CA52">
        <v>290.00000000000011</v>
      </c>
      <c r="CB52">
        <v>1669.5</v>
      </c>
      <c r="CC52">
        <v>225</v>
      </c>
      <c r="CD52">
        <v>5036.8999999999996</v>
      </c>
      <c r="CE52">
        <v>1667.98</v>
      </c>
      <c r="CF52">
        <v>1.52</v>
      </c>
      <c r="CG52">
        <v>300.00000000000011</v>
      </c>
      <c r="CH52">
        <v>23.9</v>
      </c>
      <c r="CI52">
        <v>1722.1790217878529</v>
      </c>
      <c r="CJ52">
        <v>1.658414940981854</v>
      </c>
      <c r="CK52">
        <v>-27.301899221441769</v>
      </c>
      <c r="CL52">
        <v>0.75157782507210991</v>
      </c>
      <c r="CM52">
        <v>0.97922211013959104</v>
      </c>
      <c r="CN52">
        <v>-3.1815101223581811E-3</v>
      </c>
      <c r="CO52">
        <v>289.99999999999989</v>
      </c>
      <c r="CP52">
        <v>1666.78</v>
      </c>
      <c r="CQ52">
        <v>645</v>
      </c>
      <c r="CR52">
        <v>5036.5600000000004</v>
      </c>
      <c r="CS52">
        <v>1667.97</v>
      </c>
      <c r="CT52">
        <v>-1.19</v>
      </c>
      <c r="DH52">
        <f t="shared" si="96"/>
        <v>2293.228000000001</v>
      </c>
      <c r="DI52">
        <f t="shared" si="97"/>
        <v>1881.5770865014222</v>
      </c>
      <c r="DJ52">
        <f t="shared" si="98"/>
        <v>0.82049281035353716</v>
      </c>
      <c r="DK52">
        <f t="shared" si="99"/>
        <v>0.17630112398232667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1761683332.349999</v>
      </c>
      <c r="DR52">
        <v>409.44290000000012</v>
      </c>
      <c r="DS52">
        <v>420.02569999999997</v>
      </c>
      <c r="DT52">
        <v>11.186833333333331</v>
      </c>
      <c r="DU52">
        <v>9.5131603333333317</v>
      </c>
      <c r="DV52">
        <v>408.62423333333328</v>
      </c>
      <c r="DW52">
        <v>11.097770000000001</v>
      </c>
      <c r="DX52">
        <v>500.01223333333331</v>
      </c>
      <c r="DY52">
        <v>91.070419999999999</v>
      </c>
      <c r="DZ52">
        <v>2.025855666666667E-2</v>
      </c>
      <c r="EA52">
        <v>17.846440000000001</v>
      </c>
      <c r="EB52">
        <v>18.061070000000001</v>
      </c>
      <c r="EC52">
        <v>999.9000000000002</v>
      </c>
      <c r="ED52">
        <v>0</v>
      </c>
      <c r="EE52">
        <v>0</v>
      </c>
      <c r="EF52">
        <v>10001.14366666667</v>
      </c>
      <c r="EG52">
        <v>0</v>
      </c>
      <c r="EH52">
        <v>1093.223333333334</v>
      </c>
      <c r="EI52">
        <v>-10.582886666666671</v>
      </c>
      <c r="EJ52">
        <v>414.07503333333352</v>
      </c>
      <c r="EK52">
        <v>424.05990000000003</v>
      </c>
      <c r="EL52">
        <v>1.673681333333334</v>
      </c>
      <c r="EM52">
        <v>420.02569999999997</v>
      </c>
      <c r="EN52">
        <v>9.5131603333333317</v>
      </c>
      <c r="EO52">
        <v>1.0187900000000001</v>
      </c>
      <c r="EP52">
        <v>0.86636756666666648</v>
      </c>
      <c r="EQ52">
        <v>7.1879090000000012</v>
      </c>
      <c r="ER52">
        <v>4.8438680000000014</v>
      </c>
      <c r="ES52">
        <v>1200.0046666666669</v>
      </c>
      <c r="ET52">
        <v>0.96700640000000004</v>
      </c>
      <c r="EU52">
        <v>3.2993590000000003E-2</v>
      </c>
      <c r="EV52">
        <v>0</v>
      </c>
      <c r="EW52">
        <v>1536.57</v>
      </c>
      <c r="EX52">
        <v>5.0005600000000019</v>
      </c>
      <c r="EY52">
        <v>18340.64333333333</v>
      </c>
      <c r="EZ52">
        <v>10316.876666666671</v>
      </c>
      <c r="FA52">
        <v>38.17049999999999</v>
      </c>
      <c r="FB52">
        <v>41.922600000000003</v>
      </c>
      <c r="FC52">
        <v>39.535200000000003</v>
      </c>
      <c r="FD52">
        <v>41.310233333333329</v>
      </c>
      <c r="FE52">
        <v>39.87469999999999</v>
      </c>
      <c r="FF52">
        <v>1155.579666666667</v>
      </c>
      <c r="FG52">
        <v>39.424999999999997</v>
      </c>
      <c r="FH52">
        <v>0</v>
      </c>
      <c r="FI52">
        <v>127.4000000953674</v>
      </c>
      <c r="FJ52">
        <v>0</v>
      </c>
      <c r="FK52">
        <v>1536.552692307692</v>
      </c>
      <c r="FL52">
        <v>-7.4041025444143997</v>
      </c>
      <c r="FM52">
        <v>-50.652991363708942</v>
      </c>
      <c r="FN52">
        <v>18340.323076923079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-10.57561219512195</v>
      </c>
      <c r="GD52">
        <v>-0.1461846689895577</v>
      </c>
      <c r="GE52">
        <v>3.4473264261453238E-2</v>
      </c>
      <c r="GF52">
        <v>1</v>
      </c>
      <c r="GG52">
        <v>1536.914705882353</v>
      </c>
      <c r="GH52">
        <v>-7.3674560621509659</v>
      </c>
      <c r="GI52">
        <v>0.74693583980750022</v>
      </c>
      <c r="GJ52">
        <v>0</v>
      </c>
      <c r="GK52">
        <v>1.672684146341463</v>
      </c>
      <c r="GL52">
        <v>2.313073170731814E-2</v>
      </c>
      <c r="GM52">
        <v>2.3497275146744708E-3</v>
      </c>
      <c r="GN52">
        <v>1</v>
      </c>
      <c r="GO52">
        <v>2</v>
      </c>
      <c r="GP52">
        <v>3</v>
      </c>
      <c r="GQ52" t="s">
        <v>479</v>
      </c>
      <c r="GR52">
        <v>3.1324999999999998</v>
      </c>
      <c r="GS52">
        <v>2.69834</v>
      </c>
      <c r="GT52">
        <v>8.5599400000000006E-2</v>
      </c>
      <c r="GU52">
        <v>8.7836899999999996E-2</v>
      </c>
      <c r="GV52">
        <v>6.2895400000000004E-2</v>
      </c>
      <c r="GW52">
        <v>5.6164800000000001E-2</v>
      </c>
      <c r="GX52">
        <v>27813.7</v>
      </c>
      <c r="GY52">
        <v>26753.5</v>
      </c>
      <c r="GZ52">
        <v>30939.200000000001</v>
      </c>
      <c r="HA52">
        <v>29559.3</v>
      </c>
      <c r="HB52">
        <v>39970.6</v>
      </c>
      <c r="HC52">
        <v>36730.400000000001</v>
      </c>
      <c r="HD52">
        <v>47262</v>
      </c>
      <c r="HE52">
        <v>43936.3</v>
      </c>
      <c r="HF52">
        <v>1.8934</v>
      </c>
      <c r="HG52">
        <v>1.91055</v>
      </c>
      <c r="HH52">
        <v>5.2273300000000002E-2</v>
      </c>
      <c r="HI52">
        <v>0</v>
      </c>
      <c r="HJ52">
        <v>17.192900000000002</v>
      </c>
      <c r="HK52">
        <v>999.9</v>
      </c>
      <c r="HL52">
        <v>26.8</v>
      </c>
      <c r="HM52">
        <v>30.5</v>
      </c>
      <c r="HN52">
        <v>12.9016</v>
      </c>
      <c r="HO52">
        <v>63.123399999999997</v>
      </c>
      <c r="HP52">
        <v>19.539300000000001</v>
      </c>
      <c r="HQ52">
        <v>1</v>
      </c>
      <c r="HR52">
        <v>-0.258351</v>
      </c>
      <c r="HS52">
        <v>4.0483399999999996</v>
      </c>
      <c r="HT52">
        <v>20.165700000000001</v>
      </c>
      <c r="HU52">
        <v>5.2398999999999996</v>
      </c>
      <c r="HV52">
        <v>11.974</v>
      </c>
      <c r="HW52">
        <v>4.9730499999999997</v>
      </c>
      <c r="HX52">
        <v>3.2909999999999999</v>
      </c>
      <c r="HY52">
        <v>9999</v>
      </c>
      <c r="HZ52">
        <v>9999</v>
      </c>
      <c r="IA52">
        <v>9999</v>
      </c>
      <c r="IB52">
        <v>999.9</v>
      </c>
      <c r="IC52">
        <v>4.9729099999999997</v>
      </c>
      <c r="ID52">
        <v>1.8772800000000001</v>
      </c>
      <c r="IE52">
        <v>1.87531</v>
      </c>
      <c r="IF52">
        <v>1.8781099999999999</v>
      </c>
      <c r="IG52">
        <v>1.8748499999999999</v>
      </c>
      <c r="IH52">
        <v>1.8784400000000001</v>
      </c>
      <c r="II52">
        <v>1.8755999999999999</v>
      </c>
      <c r="IJ52">
        <v>1.8767</v>
      </c>
      <c r="IK52">
        <v>0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0.81799999999999995</v>
      </c>
      <c r="IY52">
        <v>8.9099999999999999E-2</v>
      </c>
      <c r="IZ52">
        <v>6.1933660764125778E-2</v>
      </c>
      <c r="JA52">
        <v>2.058711587971173E-3</v>
      </c>
      <c r="JB52">
        <v>-6.1309262243104059E-7</v>
      </c>
      <c r="JC52">
        <v>2.6183910446277612E-10</v>
      </c>
      <c r="JD52">
        <v>3.5078820932035488E-4</v>
      </c>
      <c r="JE52">
        <v>-4.3284922736758413E-3</v>
      </c>
      <c r="JF52">
        <v>1.4186339569364E-3</v>
      </c>
      <c r="JG52">
        <v>-2.7770646863349432E-5</v>
      </c>
      <c r="JH52">
        <v>2</v>
      </c>
      <c r="JI52">
        <v>2136</v>
      </c>
      <c r="JJ52">
        <v>1</v>
      </c>
      <c r="JK52">
        <v>19</v>
      </c>
      <c r="JL52">
        <v>29361389</v>
      </c>
      <c r="JM52">
        <v>29361389</v>
      </c>
      <c r="JN52">
        <v>1.09863</v>
      </c>
      <c r="JO52">
        <v>2.5390600000000001</v>
      </c>
      <c r="JP52">
        <v>1.39893</v>
      </c>
      <c r="JQ52">
        <v>2.32056</v>
      </c>
      <c r="JR52">
        <v>1.4489700000000001</v>
      </c>
      <c r="JS52">
        <v>2.6171899999999999</v>
      </c>
      <c r="JT52">
        <v>36.4343</v>
      </c>
      <c r="JU52">
        <v>23.868600000000001</v>
      </c>
      <c r="JV52">
        <v>18</v>
      </c>
      <c r="JW52">
        <v>479.05900000000003</v>
      </c>
      <c r="JX52">
        <v>458.88499999999999</v>
      </c>
      <c r="JY52">
        <v>12.928900000000001</v>
      </c>
      <c r="JZ52">
        <v>23.615400000000001</v>
      </c>
      <c r="KA52">
        <v>30.0001</v>
      </c>
      <c r="KB52">
        <v>23.384499999999999</v>
      </c>
      <c r="KC52">
        <v>23.464600000000001</v>
      </c>
      <c r="KD52">
        <v>22.017800000000001</v>
      </c>
      <c r="KE52">
        <v>20.902899999999999</v>
      </c>
      <c r="KF52">
        <v>23.7713</v>
      </c>
      <c r="KG52">
        <v>12.883599999999999</v>
      </c>
      <c r="KH52">
        <v>420</v>
      </c>
      <c r="KI52">
        <v>9.5525800000000007</v>
      </c>
      <c r="KJ52">
        <v>102.19499999999999</v>
      </c>
      <c r="KK52">
        <v>101.04900000000001</v>
      </c>
    </row>
    <row r="53" spans="1:297" x14ac:dyDescent="0.3">
      <c r="A53">
        <v>37</v>
      </c>
      <c r="B53">
        <v>1761683469.5999999</v>
      </c>
      <c r="C53">
        <v>6019.5999999046326</v>
      </c>
      <c r="D53" t="s">
        <v>590</v>
      </c>
      <c r="E53" t="s">
        <v>591</v>
      </c>
      <c r="F53">
        <v>5</v>
      </c>
      <c r="G53" t="s">
        <v>575</v>
      </c>
      <c r="H53" t="s">
        <v>436</v>
      </c>
      <c r="I53">
        <v>1761683461.849999</v>
      </c>
      <c r="J53">
        <f t="shared" si="50"/>
        <v>1.4625672358258889E-3</v>
      </c>
      <c r="K53">
        <f t="shared" si="51"/>
        <v>1.462567235825889</v>
      </c>
      <c r="L53">
        <f t="shared" si="52"/>
        <v>7.7590072801627379</v>
      </c>
      <c r="M53">
        <f t="shared" si="53"/>
        <v>409.93946666666659</v>
      </c>
      <c r="N53">
        <f t="shared" si="54"/>
        <v>280.71387585715695</v>
      </c>
      <c r="O53">
        <f t="shared" si="55"/>
        <v>25.568885331322974</v>
      </c>
      <c r="P53">
        <f t="shared" si="56"/>
        <v>37.339426788141289</v>
      </c>
      <c r="Q53">
        <f t="shared" si="57"/>
        <v>0.10415021380856765</v>
      </c>
      <c r="R53">
        <f t="shared" si="58"/>
        <v>2.7676758648020723</v>
      </c>
      <c r="S53">
        <f t="shared" si="59"/>
        <v>0.10202086675139013</v>
      </c>
      <c r="T53">
        <f t="shared" si="60"/>
        <v>6.3950729135293538E-2</v>
      </c>
      <c r="U53">
        <f t="shared" si="61"/>
        <v>352.03137535453561</v>
      </c>
      <c r="V53">
        <f t="shared" si="62"/>
        <v>19.734136951824475</v>
      </c>
      <c r="W53">
        <f t="shared" si="63"/>
        <v>19.734136951824475</v>
      </c>
      <c r="X53">
        <f t="shared" si="64"/>
        <v>2.3082566943573593</v>
      </c>
      <c r="Y53">
        <f t="shared" si="65"/>
        <v>49.755072286774329</v>
      </c>
      <c r="Z53">
        <f t="shared" si="66"/>
        <v>1.0263649656169247</v>
      </c>
      <c r="AA53">
        <f t="shared" si="67"/>
        <v>2.0628348396345277</v>
      </c>
      <c r="AB53">
        <f t="shared" si="68"/>
        <v>1.2818917287404346</v>
      </c>
      <c r="AC53">
        <f t="shared" si="69"/>
        <v>-64.499215099921699</v>
      </c>
      <c r="AD53">
        <f t="shared" si="70"/>
        <v>-268.44097057510351</v>
      </c>
      <c r="AE53">
        <f t="shared" si="71"/>
        <v>-19.269003604087317</v>
      </c>
      <c r="AF53">
        <f t="shared" si="72"/>
        <v>-0.17781392457686707</v>
      </c>
      <c r="AG53">
        <f t="shared" si="73"/>
        <v>7.7930180162839013</v>
      </c>
      <c r="AH53">
        <f t="shared" si="74"/>
        <v>1.4038118263492081</v>
      </c>
      <c r="AI53">
        <f t="shared" si="75"/>
        <v>7.7590072801627379</v>
      </c>
      <c r="AJ53">
        <v>424.06920863009037</v>
      </c>
      <c r="AK53">
        <v>414.66367878787861</v>
      </c>
      <c r="AL53">
        <v>9.2531676260895876E-4</v>
      </c>
      <c r="AM53">
        <v>65.126255982470937</v>
      </c>
      <c r="AN53">
        <f t="shared" si="76"/>
        <v>1.462567235825889</v>
      </c>
      <c r="AO53">
        <v>9.6109968354939515</v>
      </c>
      <c r="AP53">
        <v>11.305372727272729</v>
      </c>
      <c r="AQ53">
        <v>5.6075177378848047E-3</v>
      </c>
      <c r="AR53">
        <v>96.791105692692355</v>
      </c>
      <c r="AS53">
        <v>1</v>
      </c>
      <c r="AT53">
        <v>0</v>
      </c>
      <c r="AU53">
        <f t="shared" si="77"/>
        <v>1</v>
      </c>
      <c r="AV53">
        <f t="shared" si="78"/>
        <v>0</v>
      </c>
      <c r="AW53">
        <f t="shared" si="79"/>
        <v>49642.692079274049</v>
      </c>
      <c r="AX53" t="s">
        <v>572</v>
      </c>
      <c r="AY53">
        <v>5037.6000000000004</v>
      </c>
      <c r="AZ53">
        <v>716.66923076923081</v>
      </c>
      <c r="BA53">
        <v>1764.136972542495</v>
      </c>
      <c r="BB53">
        <f t="shared" si="80"/>
        <v>0.59375647020403477</v>
      </c>
      <c r="BC53">
        <v>-0.82433697919469073</v>
      </c>
      <c r="BD53" t="s">
        <v>592</v>
      </c>
      <c r="BE53">
        <v>5041.87</v>
      </c>
      <c r="BF53">
        <v>1489.6831999999999</v>
      </c>
      <c r="BG53">
        <v>1728.2894841435791</v>
      </c>
      <c r="BH53">
        <f t="shared" si="81"/>
        <v>0.13805921191600379</v>
      </c>
      <c r="BI53">
        <v>0.5</v>
      </c>
      <c r="BJ53">
        <f t="shared" si="82"/>
        <v>1635.7275377441465</v>
      </c>
      <c r="BK53">
        <f t="shared" si="83"/>
        <v>7.7590072801627379</v>
      </c>
      <c r="BL53">
        <f t="shared" si="84"/>
        <v>112.91362738513111</v>
      </c>
      <c r="BM53">
        <f t="shared" si="85"/>
        <v>5.2474168596530644E-3</v>
      </c>
      <c r="BN53">
        <f t="shared" si="86"/>
        <v>2.0741599557136343E-2</v>
      </c>
      <c r="BO53">
        <f t="shared" si="87"/>
        <v>710.68093329099861</v>
      </c>
      <c r="BP53" t="s">
        <v>593</v>
      </c>
      <c r="BQ53">
        <v>814.07</v>
      </c>
      <c r="BR53">
        <f t="shared" si="88"/>
        <v>814.07</v>
      </c>
      <c r="BS53">
        <f t="shared" si="89"/>
        <v>0.52897358488332358</v>
      </c>
      <c r="BT53">
        <f t="shared" si="90"/>
        <v>0.2609945295216502</v>
      </c>
      <c r="BU53">
        <f t="shared" si="91"/>
        <v>3.7731538338801121E-2</v>
      </c>
      <c r="BV53">
        <f t="shared" si="92"/>
        <v>0.23586546764725885</v>
      </c>
      <c r="BW53">
        <f t="shared" si="93"/>
        <v>3.4222999878000482E-2</v>
      </c>
      <c r="BX53">
        <f t="shared" si="94"/>
        <v>0.142626174912686</v>
      </c>
      <c r="BY53">
        <f t="shared" si="95"/>
        <v>0.85737382508731397</v>
      </c>
      <c r="BZ53">
        <v>436</v>
      </c>
      <c r="CA53">
        <v>290.00000000000011</v>
      </c>
      <c r="CB53">
        <v>1674.71</v>
      </c>
      <c r="CC53">
        <v>265</v>
      </c>
      <c r="CD53">
        <v>5041.87</v>
      </c>
      <c r="CE53">
        <v>1674.24</v>
      </c>
      <c r="CF53">
        <v>0.47</v>
      </c>
      <c r="CG53">
        <v>300.00000000000011</v>
      </c>
      <c r="CH53">
        <v>23.9</v>
      </c>
      <c r="CI53">
        <v>1728.2894841435791</v>
      </c>
      <c r="CJ53">
        <v>1.8195614760368619</v>
      </c>
      <c r="CK53">
        <v>-27.25244592018435</v>
      </c>
      <c r="CL53">
        <v>0.81790553838821867</v>
      </c>
      <c r="CM53">
        <v>0.97539994472123581</v>
      </c>
      <c r="CN53">
        <v>-3.4319337041156862E-3</v>
      </c>
      <c r="CO53">
        <v>289.99999999999989</v>
      </c>
      <c r="CP53">
        <v>1672.59</v>
      </c>
      <c r="CQ53">
        <v>665</v>
      </c>
      <c r="CR53">
        <v>5041.68</v>
      </c>
      <c r="CS53">
        <v>1674.24</v>
      </c>
      <c r="CT53">
        <v>-1.65</v>
      </c>
      <c r="DH53">
        <f t="shared" si="96"/>
        <v>1993.1943666666666</v>
      </c>
      <c r="DI53">
        <f t="shared" si="97"/>
        <v>1635.7275377441465</v>
      </c>
      <c r="DJ53">
        <f t="shared" si="98"/>
        <v>0.82065631184763355</v>
      </c>
      <c r="DK53">
        <f t="shared" si="99"/>
        <v>0.17661668186593257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1761683461.849999</v>
      </c>
      <c r="DR53">
        <v>409.93946666666659</v>
      </c>
      <c r="DS53">
        <v>419.98156666666671</v>
      </c>
      <c r="DT53">
        <v>11.268183333333329</v>
      </c>
      <c r="DU53">
        <v>9.6026070000000008</v>
      </c>
      <c r="DV53">
        <v>409.12003333333331</v>
      </c>
      <c r="DW53">
        <v>11.177759999999999</v>
      </c>
      <c r="DX53">
        <v>500.00473333333332</v>
      </c>
      <c r="DY53">
        <v>91.06532666666665</v>
      </c>
      <c r="DZ53">
        <v>1.989401666666667E-2</v>
      </c>
      <c r="EA53">
        <v>17.935066666666671</v>
      </c>
      <c r="EB53">
        <v>17.949936666666659</v>
      </c>
      <c r="EC53">
        <v>999.9000000000002</v>
      </c>
      <c r="ED53">
        <v>0</v>
      </c>
      <c r="EE53">
        <v>0</v>
      </c>
      <c r="EF53">
        <v>9997.8126666666667</v>
      </c>
      <c r="EG53">
        <v>0</v>
      </c>
      <c r="EH53">
        <v>1093.183</v>
      </c>
      <c r="EI53">
        <v>-10.042159333333331</v>
      </c>
      <c r="EJ53">
        <v>414.61133333333339</v>
      </c>
      <c r="EK53">
        <v>424.05363333333332</v>
      </c>
      <c r="EL53">
        <v>1.665584</v>
      </c>
      <c r="EM53">
        <v>419.98156666666671</v>
      </c>
      <c r="EN53">
        <v>9.6026070000000008</v>
      </c>
      <c r="EO53">
        <v>1.026141666666667</v>
      </c>
      <c r="EP53">
        <v>0.87446460000000004</v>
      </c>
      <c r="EQ53">
        <v>7.2929046666666677</v>
      </c>
      <c r="ER53">
        <v>4.9772123333333331</v>
      </c>
      <c r="ES53">
        <v>900.01136666666673</v>
      </c>
      <c r="ET53">
        <v>0.95600450000000015</v>
      </c>
      <c r="EU53">
        <v>4.3995550000000001E-2</v>
      </c>
      <c r="EV53">
        <v>0</v>
      </c>
      <c r="EW53">
        <v>1489.674666666667</v>
      </c>
      <c r="EX53">
        <v>5.0005600000000019</v>
      </c>
      <c r="EY53">
        <v>13249.12</v>
      </c>
      <c r="EZ53">
        <v>7699.8230000000003</v>
      </c>
      <c r="FA53">
        <v>37.045599999999993</v>
      </c>
      <c r="FB53">
        <v>39.21436666666667</v>
      </c>
      <c r="FC53">
        <v>38.08936666666667</v>
      </c>
      <c r="FD53">
        <v>37.887266666666662</v>
      </c>
      <c r="FE53">
        <v>37.705966666666662</v>
      </c>
      <c r="FF53">
        <v>855.6343333333333</v>
      </c>
      <c r="FG53">
        <v>39.379333333333349</v>
      </c>
      <c r="FH53">
        <v>0</v>
      </c>
      <c r="FI53">
        <v>127.4000000953674</v>
      </c>
      <c r="FJ53">
        <v>0</v>
      </c>
      <c r="FK53">
        <v>1489.6831999999999</v>
      </c>
      <c r="FL53">
        <v>1.459999988562646</v>
      </c>
      <c r="FM53">
        <v>-27.91538473062614</v>
      </c>
      <c r="FN53">
        <v>13248.944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-10.019292999999999</v>
      </c>
      <c r="GD53">
        <v>-0.35884615384611768</v>
      </c>
      <c r="GE53">
        <v>4.5294296837460717E-2</v>
      </c>
      <c r="GF53">
        <v>1</v>
      </c>
      <c r="GG53">
        <v>1489.560882352941</v>
      </c>
      <c r="GH53">
        <v>1.5191749371926919</v>
      </c>
      <c r="GI53">
        <v>0.26299594771043727</v>
      </c>
      <c r="GJ53">
        <v>0</v>
      </c>
      <c r="GK53">
        <v>1.6641025</v>
      </c>
      <c r="GL53">
        <v>5.5712870544086357E-2</v>
      </c>
      <c r="GM53">
        <v>1.210635303260235E-2</v>
      </c>
      <c r="GN53">
        <v>1</v>
      </c>
      <c r="GO53">
        <v>2</v>
      </c>
      <c r="GP53">
        <v>3</v>
      </c>
      <c r="GQ53" t="s">
        <v>479</v>
      </c>
      <c r="GR53">
        <v>3.1326299999999998</v>
      </c>
      <c r="GS53">
        <v>2.6974200000000002</v>
      </c>
      <c r="GT53">
        <v>8.5680999999999993E-2</v>
      </c>
      <c r="GU53">
        <v>8.7835700000000003E-2</v>
      </c>
      <c r="GV53">
        <v>6.3384399999999994E-2</v>
      </c>
      <c r="GW53">
        <v>5.6603399999999998E-2</v>
      </c>
      <c r="GX53">
        <v>27813.7</v>
      </c>
      <c r="GY53">
        <v>26755.4</v>
      </c>
      <c r="GZ53">
        <v>30941.8</v>
      </c>
      <c r="HA53">
        <v>29561.200000000001</v>
      </c>
      <c r="HB53">
        <v>39952.6</v>
      </c>
      <c r="HC53">
        <v>36715.5</v>
      </c>
      <c r="HD53">
        <v>47265.7</v>
      </c>
      <c r="HE53">
        <v>43939.199999999997</v>
      </c>
      <c r="HF53">
        <v>1.89377</v>
      </c>
      <c r="HG53">
        <v>1.9108499999999999</v>
      </c>
      <c r="HH53">
        <v>3.7949499999999997E-2</v>
      </c>
      <c r="HI53">
        <v>0</v>
      </c>
      <c r="HJ53">
        <v>17.322700000000001</v>
      </c>
      <c r="HK53">
        <v>999.9</v>
      </c>
      <c r="HL53">
        <v>26.7</v>
      </c>
      <c r="HM53">
        <v>30.6</v>
      </c>
      <c r="HN53">
        <v>12.929</v>
      </c>
      <c r="HO53">
        <v>63.633400000000002</v>
      </c>
      <c r="HP53">
        <v>19.527200000000001</v>
      </c>
      <c r="HQ53">
        <v>1</v>
      </c>
      <c r="HR53">
        <v>-0.26480700000000001</v>
      </c>
      <c r="HS53">
        <v>3.05172</v>
      </c>
      <c r="HT53">
        <v>20.1874</v>
      </c>
      <c r="HU53">
        <v>5.2398999999999996</v>
      </c>
      <c r="HV53">
        <v>11.974</v>
      </c>
      <c r="HW53">
        <v>4.9732000000000003</v>
      </c>
      <c r="HX53">
        <v>3.2909999999999999</v>
      </c>
      <c r="HY53">
        <v>9999</v>
      </c>
      <c r="HZ53">
        <v>9999</v>
      </c>
      <c r="IA53">
        <v>9999</v>
      </c>
      <c r="IB53">
        <v>999.9</v>
      </c>
      <c r="IC53">
        <v>4.9729299999999999</v>
      </c>
      <c r="ID53">
        <v>1.8771899999999999</v>
      </c>
      <c r="IE53">
        <v>1.8753</v>
      </c>
      <c r="IF53">
        <v>1.8780600000000001</v>
      </c>
      <c r="IG53">
        <v>1.87483</v>
      </c>
      <c r="IH53">
        <v>1.87836</v>
      </c>
      <c r="II53">
        <v>1.87551</v>
      </c>
      <c r="IJ53">
        <v>1.8766799999999999</v>
      </c>
      <c r="IK53">
        <v>0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0.82</v>
      </c>
      <c r="IY53">
        <v>9.11E-2</v>
      </c>
      <c r="IZ53">
        <v>6.1933660764125778E-2</v>
      </c>
      <c r="JA53">
        <v>2.058711587971173E-3</v>
      </c>
      <c r="JB53">
        <v>-6.1309262243104059E-7</v>
      </c>
      <c r="JC53">
        <v>2.6183910446277612E-10</v>
      </c>
      <c r="JD53">
        <v>3.5078820932035488E-4</v>
      </c>
      <c r="JE53">
        <v>-4.3284922736758413E-3</v>
      </c>
      <c r="JF53">
        <v>1.4186339569364E-3</v>
      </c>
      <c r="JG53">
        <v>-2.7770646863349432E-5</v>
      </c>
      <c r="JH53">
        <v>2</v>
      </c>
      <c r="JI53">
        <v>2136</v>
      </c>
      <c r="JJ53">
        <v>1</v>
      </c>
      <c r="JK53">
        <v>19</v>
      </c>
      <c r="JL53">
        <v>29361391.199999999</v>
      </c>
      <c r="JM53">
        <v>29361391.199999999</v>
      </c>
      <c r="JN53">
        <v>1.09863</v>
      </c>
      <c r="JO53">
        <v>2.5402800000000001</v>
      </c>
      <c r="JP53">
        <v>1.39893</v>
      </c>
      <c r="JQ53">
        <v>2.32056</v>
      </c>
      <c r="JR53">
        <v>1.4489700000000001</v>
      </c>
      <c r="JS53">
        <v>2.6086399999999998</v>
      </c>
      <c r="JT53">
        <v>36.457799999999999</v>
      </c>
      <c r="JU53">
        <v>23.8949</v>
      </c>
      <c r="JV53">
        <v>18</v>
      </c>
      <c r="JW53">
        <v>479.06</v>
      </c>
      <c r="JX53">
        <v>458.85399999999998</v>
      </c>
      <c r="JY53">
        <v>13.6174</v>
      </c>
      <c r="JZ53">
        <v>23.577400000000001</v>
      </c>
      <c r="KA53">
        <v>29.999600000000001</v>
      </c>
      <c r="KB53">
        <v>23.3569</v>
      </c>
      <c r="KC53">
        <v>23.4392</v>
      </c>
      <c r="KD53">
        <v>22.021999999999998</v>
      </c>
      <c r="KE53">
        <v>20.0306</v>
      </c>
      <c r="KF53">
        <v>23.7713</v>
      </c>
      <c r="KG53">
        <v>13.651899999999999</v>
      </c>
      <c r="KH53">
        <v>420</v>
      </c>
      <c r="KI53">
        <v>9.6432900000000004</v>
      </c>
      <c r="KJ53">
        <v>102.203</v>
      </c>
      <c r="KK53">
        <v>101.056</v>
      </c>
    </row>
    <row r="54" spans="1:297" x14ac:dyDescent="0.3">
      <c r="A54">
        <v>38</v>
      </c>
      <c r="B54">
        <v>1761683592.0999999</v>
      </c>
      <c r="C54">
        <v>6142.0999999046326</v>
      </c>
      <c r="D54" t="s">
        <v>594</v>
      </c>
      <c r="E54" t="s">
        <v>595</v>
      </c>
      <c r="F54">
        <v>5</v>
      </c>
      <c r="G54" t="s">
        <v>575</v>
      </c>
      <c r="H54" t="s">
        <v>436</v>
      </c>
      <c r="I54">
        <v>1761683584.349999</v>
      </c>
      <c r="J54">
        <f t="shared" si="50"/>
        <v>1.4862732824464655E-3</v>
      </c>
      <c r="K54">
        <f t="shared" si="51"/>
        <v>1.4862732824464655</v>
      </c>
      <c r="L54">
        <f t="shared" si="52"/>
        <v>6.9739597344650974</v>
      </c>
      <c r="M54">
        <f t="shared" si="53"/>
        <v>410.86986666666661</v>
      </c>
      <c r="N54">
        <f t="shared" si="54"/>
        <v>298.17529075075981</v>
      </c>
      <c r="O54">
        <f t="shared" si="55"/>
        <v>27.160719606342937</v>
      </c>
      <c r="P54">
        <f t="shared" si="56"/>
        <v>37.426042966641774</v>
      </c>
      <c r="Q54">
        <f t="shared" si="57"/>
        <v>0.10847704947005928</v>
      </c>
      <c r="R54">
        <f t="shared" si="58"/>
        <v>2.7684165893752541</v>
      </c>
      <c r="S54">
        <f t="shared" si="59"/>
        <v>0.10616981900622925</v>
      </c>
      <c r="T54">
        <f t="shared" si="60"/>
        <v>6.6559345117204835E-2</v>
      </c>
      <c r="U54">
        <f t="shared" si="61"/>
        <v>300.14924671790271</v>
      </c>
      <c r="V54">
        <f t="shared" si="62"/>
        <v>19.586920459362382</v>
      </c>
      <c r="W54">
        <f t="shared" si="63"/>
        <v>19.586920459362382</v>
      </c>
      <c r="X54">
        <f t="shared" si="64"/>
        <v>2.2872548502648491</v>
      </c>
      <c r="Y54">
        <f t="shared" si="65"/>
        <v>49.611505084149648</v>
      </c>
      <c r="Z54">
        <f t="shared" si="66"/>
        <v>1.0353439728049105</v>
      </c>
      <c r="AA54">
        <f t="shared" si="67"/>
        <v>2.0869029694801418</v>
      </c>
      <c r="AB54">
        <f t="shared" si="68"/>
        <v>1.2519108774599386</v>
      </c>
      <c r="AC54">
        <f t="shared" si="69"/>
        <v>-65.544651755889134</v>
      </c>
      <c r="AD54">
        <f t="shared" si="70"/>
        <v>-219.00383773856925</v>
      </c>
      <c r="AE54">
        <f t="shared" si="71"/>
        <v>-15.71910472848036</v>
      </c>
      <c r="AF54">
        <f t="shared" si="72"/>
        <v>-0.11834750503604141</v>
      </c>
      <c r="AG54">
        <f t="shared" si="73"/>
        <v>7.0091773700114599</v>
      </c>
      <c r="AH54">
        <f t="shared" si="74"/>
        <v>1.4093586588966351</v>
      </c>
      <c r="AI54">
        <f t="shared" si="75"/>
        <v>6.9739597344650974</v>
      </c>
      <c r="AJ54">
        <v>424.09785756550838</v>
      </c>
      <c r="AK54">
        <v>415.6402545454543</v>
      </c>
      <c r="AL54">
        <v>1.4817532464506389E-3</v>
      </c>
      <c r="AM54">
        <v>65.126255982470937</v>
      </c>
      <c r="AN54">
        <f t="shared" si="76"/>
        <v>1.4862732824464655</v>
      </c>
      <c r="AO54">
        <v>9.7039431128336719</v>
      </c>
      <c r="AP54">
        <v>11.414376923076929</v>
      </c>
      <c r="AQ54">
        <v>7.2347891451789714E-3</v>
      </c>
      <c r="AR54">
        <v>96.791105692692355</v>
      </c>
      <c r="AS54">
        <v>1</v>
      </c>
      <c r="AT54">
        <v>0</v>
      </c>
      <c r="AU54">
        <f t="shared" si="77"/>
        <v>1</v>
      </c>
      <c r="AV54">
        <f t="shared" si="78"/>
        <v>0</v>
      </c>
      <c r="AW54">
        <f t="shared" si="79"/>
        <v>49632.128523093066</v>
      </c>
      <c r="AX54" t="s">
        <v>572</v>
      </c>
      <c r="AY54">
        <v>5037.6000000000004</v>
      </c>
      <c r="AZ54">
        <v>716.66923076923081</v>
      </c>
      <c r="BA54">
        <v>1764.136972542495</v>
      </c>
      <c r="BB54">
        <f t="shared" si="80"/>
        <v>0.59375647020403477</v>
      </c>
      <c r="BC54">
        <v>-0.82433697919469073</v>
      </c>
      <c r="BD54" t="s">
        <v>596</v>
      </c>
      <c r="BE54">
        <v>5043.6099999999997</v>
      </c>
      <c r="BF54">
        <v>1405.4242307692309</v>
      </c>
      <c r="BG54">
        <v>1734.5536190660421</v>
      </c>
      <c r="BH54">
        <f t="shared" si="81"/>
        <v>0.18974875419188741</v>
      </c>
      <c r="BI54">
        <v>0.5</v>
      </c>
      <c r="BJ54">
        <f t="shared" si="82"/>
        <v>1390.0639968141118</v>
      </c>
      <c r="BK54">
        <f t="shared" si="83"/>
        <v>6.9739597344650974</v>
      </c>
      <c r="BL54">
        <f t="shared" si="84"/>
        <v>131.88145582123673</v>
      </c>
      <c r="BM54">
        <f t="shared" si="85"/>
        <v>5.6100271149621224E-3</v>
      </c>
      <c r="BN54">
        <f t="shared" si="86"/>
        <v>1.7055312185956999E-2</v>
      </c>
      <c r="BO54">
        <f t="shared" si="87"/>
        <v>711.73787644157073</v>
      </c>
      <c r="BP54" t="s">
        <v>597</v>
      </c>
      <c r="BQ54">
        <v>793.73</v>
      </c>
      <c r="BR54">
        <f t="shared" si="88"/>
        <v>793.73</v>
      </c>
      <c r="BS54">
        <f t="shared" si="89"/>
        <v>0.54240100088264886</v>
      </c>
      <c r="BT54">
        <f t="shared" si="90"/>
        <v>0.34983112841441921</v>
      </c>
      <c r="BU54">
        <f t="shared" si="91"/>
        <v>3.0485512072263479E-2</v>
      </c>
      <c r="BV54">
        <f t="shared" si="92"/>
        <v>0.32334653334012847</v>
      </c>
      <c r="BW54">
        <f t="shared" si="93"/>
        <v>2.8242734641518465E-2</v>
      </c>
      <c r="BX54">
        <f t="shared" si="94"/>
        <v>0.19757127810753558</v>
      </c>
      <c r="BY54">
        <f t="shared" si="95"/>
        <v>0.80242872189246439</v>
      </c>
      <c r="BZ54">
        <v>438</v>
      </c>
      <c r="CA54">
        <v>290.00000000000011</v>
      </c>
      <c r="CB54">
        <v>1683.46</v>
      </c>
      <c r="CC54">
        <v>285</v>
      </c>
      <c r="CD54">
        <v>5043.6099999999997</v>
      </c>
      <c r="CE54">
        <v>1683</v>
      </c>
      <c r="CF54">
        <v>0.46</v>
      </c>
      <c r="CG54">
        <v>300.00000000000011</v>
      </c>
      <c r="CH54">
        <v>23.9</v>
      </c>
      <c r="CI54">
        <v>1734.5536190660421</v>
      </c>
      <c r="CJ54">
        <v>1.718034547930305</v>
      </c>
      <c r="CK54">
        <v>-26.001219503377119</v>
      </c>
      <c r="CL54">
        <v>0.76528188524270147</v>
      </c>
      <c r="CM54">
        <v>0.9763187249703299</v>
      </c>
      <c r="CN54">
        <v>-3.6825379310344839E-3</v>
      </c>
      <c r="CO54">
        <v>289.99999999999989</v>
      </c>
      <c r="CP54">
        <v>1681.2</v>
      </c>
      <c r="CQ54">
        <v>665</v>
      </c>
      <c r="CR54">
        <v>5043.53</v>
      </c>
      <c r="CS54">
        <v>1683</v>
      </c>
      <c r="CT54">
        <v>-1.8</v>
      </c>
      <c r="DH54">
        <f t="shared" si="96"/>
        <v>1693.1421333333328</v>
      </c>
      <c r="DI54">
        <f t="shared" si="97"/>
        <v>1390.0639968141118</v>
      </c>
      <c r="DJ54">
        <f t="shared" si="98"/>
        <v>0.82099663663643918</v>
      </c>
      <c r="DK54">
        <f t="shared" si="99"/>
        <v>0.17727350870832748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1761683584.349999</v>
      </c>
      <c r="DR54">
        <v>410.86986666666661</v>
      </c>
      <c r="DS54">
        <v>419.97539999999998</v>
      </c>
      <c r="DT54">
        <v>11.36619333333333</v>
      </c>
      <c r="DU54">
        <v>9.6942509999999995</v>
      </c>
      <c r="DV54">
        <v>410.04879999999991</v>
      </c>
      <c r="DW54">
        <v>11.274116666666661</v>
      </c>
      <c r="DX54">
        <v>500.01949999999999</v>
      </c>
      <c r="DY54">
        <v>91.069616666666676</v>
      </c>
      <c r="DZ54">
        <v>2.0156526666666671E-2</v>
      </c>
      <c r="EA54">
        <v>18.119566666666671</v>
      </c>
      <c r="EB54">
        <v>17.983203333333339</v>
      </c>
      <c r="EC54">
        <v>999.9000000000002</v>
      </c>
      <c r="ED54">
        <v>0</v>
      </c>
      <c r="EE54">
        <v>0</v>
      </c>
      <c r="EF54">
        <v>10001.712333333329</v>
      </c>
      <c r="EG54">
        <v>0</v>
      </c>
      <c r="EH54">
        <v>1093.179333333333</v>
      </c>
      <c r="EI54">
        <v>-9.1054463333333331</v>
      </c>
      <c r="EJ54">
        <v>415.59359999999992</v>
      </c>
      <c r="EK54">
        <v>424.0865</v>
      </c>
      <c r="EL54">
        <v>1.671940666666667</v>
      </c>
      <c r="EM54">
        <v>419.97539999999998</v>
      </c>
      <c r="EN54">
        <v>9.6942509999999995</v>
      </c>
      <c r="EO54">
        <v>1.035115</v>
      </c>
      <c r="EP54">
        <v>0.88285170000000002</v>
      </c>
      <c r="EQ54">
        <v>7.420189333333334</v>
      </c>
      <c r="ER54">
        <v>5.1141899999999989</v>
      </c>
      <c r="ES54">
        <v>599.9627999999999</v>
      </c>
      <c r="ET54">
        <v>0.93299943333333313</v>
      </c>
      <c r="EU54">
        <v>6.7000663333333349E-2</v>
      </c>
      <c r="EV54">
        <v>0</v>
      </c>
      <c r="EW54">
        <v>1405.419333333334</v>
      </c>
      <c r="EX54">
        <v>5.0005600000000019</v>
      </c>
      <c r="EY54">
        <v>8282.8103333333329</v>
      </c>
      <c r="EZ54">
        <v>5080.8073333333332</v>
      </c>
      <c r="FA54">
        <v>35.005899999999997</v>
      </c>
      <c r="FB54">
        <v>38.291466666666658</v>
      </c>
      <c r="FC54">
        <v>36.62469999999999</v>
      </c>
      <c r="FD54">
        <v>36.968566666666661</v>
      </c>
      <c r="FE54">
        <v>36.516333333333328</v>
      </c>
      <c r="FF54">
        <v>555.09933333333333</v>
      </c>
      <c r="FG54">
        <v>39.862999999999992</v>
      </c>
      <c r="FH54">
        <v>0</v>
      </c>
      <c r="FI54">
        <v>120.2000000476837</v>
      </c>
      <c r="FJ54">
        <v>0</v>
      </c>
      <c r="FK54">
        <v>1405.4242307692309</v>
      </c>
      <c r="FL54">
        <v>-5.8461540964512698E-2</v>
      </c>
      <c r="FM54">
        <v>33.570256517469922</v>
      </c>
      <c r="FN54">
        <v>8282.8911538461525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-9.09126075</v>
      </c>
      <c r="GD54">
        <v>-0.26049377110691913</v>
      </c>
      <c r="GE54">
        <v>3.7474872540643842E-2</v>
      </c>
      <c r="GF54">
        <v>1</v>
      </c>
      <c r="GG54">
        <v>1405.3676470588241</v>
      </c>
      <c r="GH54">
        <v>0.50206264226357966</v>
      </c>
      <c r="GI54">
        <v>0.2140651196073699</v>
      </c>
      <c r="GJ54">
        <v>1</v>
      </c>
      <c r="GK54">
        <v>1.6765224999999999</v>
      </c>
      <c r="GL54">
        <v>1.6651857410881189E-2</v>
      </c>
      <c r="GM54">
        <v>2.0778444570034589E-2</v>
      </c>
      <c r="GN54">
        <v>1</v>
      </c>
      <c r="GO54">
        <v>3</v>
      </c>
      <c r="GP54">
        <v>3</v>
      </c>
      <c r="GQ54" t="s">
        <v>470</v>
      </c>
      <c r="GR54">
        <v>3.13266</v>
      </c>
      <c r="GS54">
        <v>2.6978800000000001</v>
      </c>
      <c r="GT54">
        <v>8.5835599999999998E-2</v>
      </c>
      <c r="GU54">
        <v>8.7839100000000003E-2</v>
      </c>
      <c r="GV54">
        <v>6.3849199999999995E-2</v>
      </c>
      <c r="GW54">
        <v>5.7019300000000002E-2</v>
      </c>
      <c r="GX54">
        <v>27810.5</v>
      </c>
      <c r="GY54">
        <v>26756.799999999999</v>
      </c>
      <c r="GZ54">
        <v>30943.3</v>
      </c>
      <c r="HA54">
        <v>29562.7</v>
      </c>
      <c r="HB54">
        <v>39933.9</v>
      </c>
      <c r="HC54">
        <v>36701.199999999997</v>
      </c>
      <c r="HD54">
        <v>47267.4</v>
      </c>
      <c r="HE54">
        <v>43941.7</v>
      </c>
      <c r="HF54">
        <v>1.89408</v>
      </c>
      <c r="HG54">
        <v>1.91147</v>
      </c>
      <c r="HH54">
        <v>2.9332899999999999E-2</v>
      </c>
      <c r="HI54">
        <v>0</v>
      </c>
      <c r="HJ54">
        <v>17.494499999999999</v>
      </c>
      <c r="HK54">
        <v>999.9</v>
      </c>
      <c r="HL54">
        <v>26.7</v>
      </c>
      <c r="HM54">
        <v>30.6</v>
      </c>
      <c r="HN54">
        <v>12.9291</v>
      </c>
      <c r="HO54">
        <v>63.273400000000002</v>
      </c>
      <c r="HP54">
        <v>19.379000000000001</v>
      </c>
      <c r="HQ54">
        <v>1</v>
      </c>
      <c r="HR54">
        <v>-0.26831300000000002</v>
      </c>
      <c r="HS54">
        <v>2.68221</v>
      </c>
      <c r="HT54">
        <v>20.197399999999998</v>
      </c>
      <c r="HU54">
        <v>5.2393000000000001</v>
      </c>
      <c r="HV54">
        <v>11.974</v>
      </c>
      <c r="HW54">
        <v>4.9732000000000003</v>
      </c>
      <c r="HX54">
        <v>3.2909999999999999</v>
      </c>
      <c r="HY54">
        <v>9999</v>
      </c>
      <c r="HZ54">
        <v>9999</v>
      </c>
      <c r="IA54">
        <v>9999</v>
      </c>
      <c r="IB54">
        <v>999.9</v>
      </c>
      <c r="IC54">
        <v>4.9729299999999999</v>
      </c>
      <c r="ID54">
        <v>1.8772599999999999</v>
      </c>
      <c r="IE54">
        <v>1.87531</v>
      </c>
      <c r="IF54">
        <v>1.8781099999999999</v>
      </c>
      <c r="IG54">
        <v>1.8748499999999999</v>
      </c>
      <c r="IH54">
        <v>1.8784000000000001</v>
      </c>
      <c r="II54">
        <v>1.8755500000000001</v>
      </c>
      <c r="IJ54">
        <v>1.8767</v>
      </c>
      <c r="IK54">
        <v>0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0.82099999999999995</v>
      </c>
      <c r="IY54">
        <v>9.2899999999999996E-2</v>
      </c>
      <c r="IZ54">
        <v>6.1933660764125778E-2</v>
      </c>
      <c r="JA54">
        <v>2.058711587971173E-3</v>
      </c>
      <c r="JB54">
        <v>-6.1309262243104059E-7</v>
      </c>
      <c r="JC54">
        <v>2.6183910446277612E-10</v>
      </c>
      <c r="JD54">
        <v>3.5078820932035488E-4</v>
      </c>
      <c r="JE54">
        <v>-4.3284922736758413E-3</v>
      </c>
      <c r="JF54">
        <v>1.4186339569364E-3</v>
      </c>
      <c r="JG54">
        <v>-2.7770646863349432E-5</v>
      </c>
      <c r="JH54">
        <v>2</v>
      </c>
      <c r="JI54">
        <v>2136</v>
      </c>
      <c r="JJ54">
        <v>1</v>
      </c>
      <c r="JK54">
        <v>19</v>
      </c>
      <c r="JL54">
        <v>29361393.199999999</v>
      </c>
      <c r="JM54">
        <v>29361393.199999999</v>
      </c>
      <c r="JN54">
        <v>1.09863</v>
      </c>
      <c r="JO54">
        <v>2.5463900000000002</v>
      </c>
      <c r="JP54">
        <v>1.39893</v>
      </c>
      <c r="JQ54">
        <v>2.32056</v>
      </c>
      <c r="JR54">
        <v>1.4489700000000001</v>
      </c>
      <c r="JS54">
        <v>2.5708000000000002</v>
      </c>
      <c r="JT54">
        <v>36.457799999999999</v>
      </c>
      <c r="JU54">
        <v>23.912400000000002</v>
      </c>
      <c r="JV54">
        <v>18</v>
      </c>
      <c r="JW54">
        <v>479.02199999999999</v>
      </c>
      <c r="JX54">
        <v>459.017</v>
      </c>
      <c r="JY54">
        <v>14.4643</v>
      </c>
      <c r="JZ54">
        <v>23.540600000000001</v>
      </c>
      <c r="KA54">
        <v>29.999500000000001</v>
      </c>
      <c r="KB54">
        <v>23.3294</v>
      </c>
      <c r="KC54">
        <v>23.4129</v>
      </c>
      <c r="KD54">
        <v>22.0227</v>
      </c>
      <c r="KE54">
        <v>19.410299999999999</v>
      </c>
      <c r="KF54">
        <v>23.7713</v>
      </c>
      <c r="KG54">
        <v>14.482100000000001</v>
      </c>
      <c r="KH54">
        <v>420</v>
      </c>
      <c r="KI54">
        <v>9.7413900000000009</v>
      </c>
      <c r="KJ54">
        <v>102.20699999999999</v>
      </c>
      <c r="KK54">
        <v>101.06100000000001</v>
      </c>
    </row>
    <row r="55" spans="1:297" x14ac:dyDescent="0.3">
      <c r="A55">
        <v>39</v>
      </c>
      <c r="B55">
        <v>1761683721.5999999</v>
      </c>
      <c r="C55">
        <v>6271.5999999046326</v>
      </c>
      <c r="D55" t="s">
        <v>598</v>
      </c>
      <c r="E55" t="s">
        <v>599</v>
      </c>
      <c r="F55">
        <v>5</v>
      </c>
      <c r="G55" t="s">
        <v>575</v>
      </c>
      <c r="H55" t="s">
        <v>436</v>
      </c>
      <c r="I55">
        <v>1761683713.849999</v>
      </c>
      <c r="J55">
        <f t="shared" si="50"/>
        <v>1.5001987050630053E-3</v>
      </c>
      <c r="K55">
        <f t="shared" si="51"/>
        <v>1.5001987050630052</v>
      </c>
      <c r="L55">
        <f t="shared" si="52"/>
        <v>5.2820213990632183</v>
      </c>
      <c r="M55">
        <f t="shared" si="53"/>
        <v>412.92933333333332</v>
      </c>
      <c r="N55">
        <f t="shared" si="54"/>
        <v>328.3978360051625</v>
      </c>
      <c r="O55">
        <f t="shared" si="55"/>
        <v>29.912883490208024</v>
      </c>
      <c r="P55">
        <f t="shared" si="56"/>
        <v>37.61263225100879</v>
      </c>
      <c r="Q55">
        <f t="shared" si="57"/>
        <v>0.11263798091749616</v>
      </c>
      <c r="R55">
        <f t="shared" si="58"/>
        <v>2.7684314284686669</v>
      </c>
      <c r="S55">
        <f t="shared" si="59"/>
        <v>0.1101525535166763</v>
      </c>
      <c r="T55">
        <f t="shared" si="60"/>
        <v>6.9064083960718475E-2</v>
      </c>
      <c r="U55">
        <f t="shared" si="61"/>
        <v>248.24987576518475</v>
      </c>
      <c r="V55">
        <f t="shared" si="62"/>
        <v>19.487485864370839</v>
      </c>
      <c r="W55">
        <f t="shared" si="63"/>
        <v>19.487485864370839</v>
      </c>
      <c r="X55">
        <f t="shared" si="64"/>
        <v>2.2731644895674328</v>
      </c>
      <c r="Y55">
        <f t="shared" si="65"/>
        <v>49.844763309090979</v>
      </c>
      <c r="Z55">
        <f t="shared" si="66"/>
        <v>1.0552859360757565</v>
      </c>
      <c r="AA55">
        <f t="shared" si="67"/>
        <v>2.1171450439675121</v>
      </c>
      <c r="AB55">
        <f t="shared" si="68"/>
        <v>1.2178785534916763</v>
      </c>
      <c r="AC55">
        <f t="shared" si="69"/>
        <v>-66.158762893278535</v>
      </c>
      <c r="AD55">
        <f t="shared" si="70"/>
        <v>-169.95574780741083</v>
      </c>
      <c r="AE55">
        <f t="shared" si="71"/>
        <v>-12.20669614515672</v>
      </c>
      <c r="AF55">
        <f t="shared" si="72"/>
        <v>-7.1331080661309443E-2</v>
      </c>
      <c r="AG55">
        <f t="shared" si="73"/>
        <v>5.2696664714609476</v>
      </c>
      <c r="AH55">
        <f t="shared" si="74"/>
        <v>1.4801080492166718</v>
      </c>
      <c r="AI55">
        <f t="shared" si="75"/>
        <v>5.2820213990632183</v>
      </c>
      <c r="AJ55">
        <v>424.13836717732539</v>
      </c>
      <c r="AK55">
        <v>417.73886666666658</v>
      </c>
      <c r="AL55">
        <v>-3.5032792095402078E-4</v>
      </c>
      <c r="AM55">
        <v>65.126255982470937</v>
      </c>
      <c r="AN55">
        <f t="shared" si="76"/>
        <v>1.5001987050630052</v>
      </c>
      <c r="AO55">
        <v>9.8300392108860155</v>
      </c>
      <c r="AP55">
        <v>11.60552937062937</v>
      </c>
      <c r="AQ55">
        <v>5.2487989646630463E-4</v>
      </c>
      <c r="AR55">
        <v>96.791105692692355</v>
      </c>
      <c r="AS55">
        <v>1</v>
      </c>
      <c r="AT55">
        <v>0</v>
      </c>
      <c r="AU55">
        <f t="shared" si="77"/>
        <v>1</v>
      </c>
      <c r="AV55">
        <f t="shared" si="78"/>
        <v>0</v>
      </c>
      <c r="AW55">
        <f t="shared" si="79"/>
        <v>49593.4476981763</v>
      </c>
      <c r="AX55" t="s">
        <v>572</v>
      </c>
      <c r="AY55">
        <v>5037.6000000000004</v>
      </c>
      <c r="AZ55">
        <v>716.66923076923081</v>
      </c>
      <c r="BA55">
        <v>1764.136972542495</v>
      </c>
      <c r="BB55">
        <f t="shared" si="80"/>
        <v>0.59375647020403477</v>
      </c>
      <c r="BC55">
        <v>-0.82433697919469073</v>
      </c>
      <c r="BD55" t="s">
        <v>600</v>
      </c>
      <c r="BE55">
        <v>5032.4799999999996</v>
      </c>
      <c r="BF55">
        <v>1204.3150000000001</v>
      </c>
      <c r="BG55">
        <v>1739.961260632726</v>
      </c>
      <c r="BH55">
        <f t="shared" si="81"/>
        <v>0.30784953248783342</v>
      </c>
      <c r="BI55">
        <v>0.5</v>
      </c>
      <c r="BJ55">
        <f t="shared" si="82"/>
        <v>1144.4202746624442</v>
      </c>
      <c r="BK55">
        <f t="shared" si="83"/>
        <v>5.2820213990632183</v>
      </c>
      <c r="BL55">
        <f t="shared" si="84"/>
        <v>176.15462326221567</v>
      </c>
      <c r="BM55">
        <f t="shared" si="85"/>
        <v>5.3357656391215431E-3</v>
      </c>
      <c r="BN55">
        <f t="shared" si="86"/>
        <v>1.3894396649370033E-2</v>
      </c>
      <c r="BO55">
        <f t="shared" si="87"/>
        <v>712.64669029786467</v>
      </c>
      <c r="BP55" t="s">
        <v>601</v>
      </c>
      <c r="BQ55">
        <v>772.47</v>
      </c>
      <c r="BR55">
        <f t="shared" si="88"/>
        <v>772.47</v>
      </c>
      <c r="BS55">
        <f t="shared" si="89"/>
        <v>0.5560418398515975</v>
      </c>
      <c r="BT55">
        <f t="shared" si="90"/>
        <v>0.55364454691034692</v>
      </c>
      <c r="BU55">
        <f t="shared" si="91"/>
        <v>2.4378861633140684E-2</v>
      </c>
      <c r="BV55">
        <f t="shared" si="92"/>
        <v>0.52345395546975959</v>
      </c>
      <c r="BW55">
        <f t="shared" si="93"/>
        <v>2.3080149340772828E-2</v>
      </c>
      <c r="BX55">
        <f t="shared" si="94"/>
        <v>0.3551178912093893</v>
      </c>
      <c r="BY55">
        <f t="shared" si="95"/>
        <v>0.6448821087906107</v>
      </c>
      <c r="BZ55">
        <v>440</v>
      </c>
      <c r="CA55">
        <v>290.00000000000011</v>
      </c>
      <c r="CB55">
        <v>1686.99</v>
      </c>
      <c r="CC55">
        <v>295</v>
      </c>
      <c r="CD55">
        <v>5032.4799999999996</v>
      </c>
      <c r="CE55">
        <v>1687.44</v>
      </c>
      <c r="CF55">
        <v>-0.45</v>
      </c>
      <c r="CG55">
        <v>300.00000000000011</v>
      </c>
      <c r="CH55">
        <v>23.9</v>
      </c>
      <c r="CI55">
        <v>1739.961260632726</v>
      </c>
      <c r="CJ55">
        <v>1.4576778690585011</v>
      </c>
      <c r="CK55">
        <v>-26.429616639644919</v>
      </c>
      <c r="CL55">
        <v>0.64170862933445016</v>
      </c>
      <c r="CM55">
        <v>0.98376164803966359</v>
      </c>
      <c r="CN55">
        <v>-3.9212985539488314E-3</v>
      </c>
      <c r="CO55">
        <v>289.99999999999989</v>
      </c>
      <c r="CP55">
        <v>1686.17</v>
      </c>
      <c r="CQ55">
        <v>695</v>
      </c>
      <c r="CR55">
        <v>5032.21</v>
      </c>
      <c r="CS55">
        <v>1687.44</v>
      </c>
      <c r="CT55">
        <v>-1.27</v>
      </c>
      <c r="DH55">
        <f t="shared" si="96"/>
        <v>1393.1293333333329</v>
      </c>
      <c r="DI55">
        <f t="shared" si="97"/>
        <v>1144.4202746624442</v>
      </c>
      <c r="DJ55">
        <f t="shared" si="98"/>
        <v>0.82147453741728071</v>
      </c>
      <c r="DK55">
        <f t="shared" si="99"/>
        <v>0.17819585721535175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1761683713.849999</v>
      </c>
      <c r="DR55">
        <v>412.92933333333332</v>
      </c>
      <c r="DS55">
        <v>419.98620000000011</v>
      </c>
      <c r="DT55">
        <v>11.585430000000001</v>
      </c>
      <c r="DU55">
        <v>9.829914666666669</v>
      </c>
      <c r="DV55">
        <v>412.10480000000001</v>
      </c>
      <c r="DW55">
        <v>11.48965666666667</v>
      </c>
      <c r="DX55">
        <v>500.01056666666659</v>
      </c>
      <c r="DY55">
        <v>91.067266666666654</v>
      </c>
      <c r="DZ55">
        <v>2.0067689999999999E-2</v>
      </c>
      <c r="EA55">
        <v>18.34876666666667</v>
      </c>
      <c r="EB55">
        <v>18.01082666666667</v>
      </c>
      <c r="EC55">
        <v>999.9000000000002</v>
      </c>
      <c r="ED55">
        <v>0</v>
      </c>
      <c r="EE55">
        <v>0</v>
      </c>
      <c r="EF55">
        <v>10002.058000000001</v>
      </c>
      <c r="EG55">
        <v>0</v>
      </c>
      <c r="EH55">
        <v>1093.124333333333</v>
      </c>
      <c r="EI55">
        <v>-7.056865666666666</v>
      </c>
      <c r="EJ55">
        <v>417.76936666666671</v>
      </c>
      <c r="EK55">
        <v>424.15570000000002</v>
      </c>
      <c r="EL55">
        <v>1.7555123333333329</v>
      </c>
      <c r="EM55">
        <v>419.98620000000011</v>
      </c>
      <c r="EN55">
        <v>9.829914666666669</v>
      </c>
      <c r="EO55">
        <v>1.055053333333333</v>
      </c>
      <c r="EP55">
        <v>0.89518339999999996</v>
      </c>
      <c r="EQ55">
        <v>7.699650666666666</v>
      </c>
      <c r="ER55">
        <v>5.3135426666666667</v>
      </c>
      <c r="ES55">
        <v>300.005</v>
      </c>
      <c r="ET55">
        <v>0.90002196666666656</v>
      </c>
      <c r="EU55">
        <v>9.9978183333333331E-2</v>
      </c>
      <c r="EV55">
        <v>0</v>
      </c>
      <c r="EW55">
        <v>1204.335</v>
      </c>
      <c r="EX55">
        <v>5.0005600000000019</v>
      </c>
      <c r="EY55">
        <v>3606.521666666667</v>
      </c>
      <c r="EZ55">
        <v>2492.4696666666669</v>
      </c>
      <c r="FA55">
        <v>35.699833333333331</v>
      </c>
      <c r="FB55">
        <v>40.970633333333332</v>
      </c>
      <c r="FC55">
        <v>38.051866666666662</v>
      </c>
      <c r="FD55">
        <v>40.189399999999978</v>
      </c>
      <c r="FE55">
        <v>37.876766666666661</v>
      </c>
      <c r="FF55">
        <v>265.51100000000002</v>
      </c>
      <c r="FG55">
        <v>29.491</v>
      </c>
      <c r="FH55">
        <v>0</v>
      </c>
      <c r="FI55">
        <v>127.2000000476837</v>
      </c>
      <c r="FJ55">
        <v>0</v>
      </c>
      <c r="FK55">
        <v>1204.3150000000001</v>
      </c>
      <c r="FL55">
        <v>-0.41470084328787682</v>
      </c>
      <c r="FM55">
        <v>-2.103931525516761</v>
      </c>
      <c r="FN55">
        <v>3606.33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-7.062521463414634</v>
      </c>
      <c r="GD55">
        <v>5.5534285714280353E-2</v>
      </c>
      <c r="GE55">
        <v>2.060613306298965E-2</v>
      </c>
      <c r="GF55">
        <v>1</v>
      </c>
      <c r="GG55">
        <v>1204.298529411765</v>
      </c>
      <c r="GH55">
        <v>0.15935828992909359</v>
      </c>
      <c r="GI55">
        <v>0.2237531774725591</v>
      </c>
      <c r="GJ55">
        <v>1</v>
      </c>
      <c r="GK55">
        <v>1.7425019512195119</v>
      </c>
      <c r="GL55">
        <v>0.22853916376306641</v>
      </c>
      <c r="GM55">
        <v>2.2717711820055369E-2</v>
      </c>
      <c r="GN55">
        <v>0</v>
      </c>
      <c r="GO55">
        <v>2</v>
      </c>
      <c r="GP55">
        <v>3</v>
      </c>
      <c r="GQ55" t="s">
        <v>479</v>
      </c>
      <c r="GR55">
        <v>3.1326999999999998</v>
      </c>
      <c r="GS55">
        <v>2.6980900000000001</v>
      </c>
      <c r="GT55">
        <v>8.6162299999999997E-2</v>
      </c>
      <c r="GU55">
        <v>8.7848999999999997E-2</v>
      </c>
      <c r="GV55">
        <v>6.4643800000000001E-2</v>
      </c>
      <c r="GW55">
        <v>5.7582700000000001E-2</v>
      </c>
      <c r="GX55">
        <v>27802.1</v>
      </c>
      <c r="GY55">
        <v>26756.400000000001</v>
      </c>
      <c r="GZ55">
        <v>30944.799999999999</v>
      </c>
      <c r="HA55">
        <v>29562.400000000001</v>
      </c>
      <c r="HB55">
        <v>39901.9</v>
      </c>
      <c r="HC55">
        <v>36678.400000000001</v>
      </c>
      <c r="HD55">
        <v>47270.1</v>
      </c>
      <c r="HE55">
        <v>43940.9</v>
      </c>
      <c r="HF55">
        <v>1.89425</v>
      </c>
      <c r="HG55">
        <v>1.91205</v>
      </c>
      <c r="HH55">
        <v>1.72257E-2</v>
      </c>
      <c r="HI55">
        <v>0</v>
      </c>
      <c r="HJ55">
        <v>17.731999999999999</v>
      </c>
      <c r="HK55">
        <v>999.9</v>
      </c>
      <c r="HL55">
        <v>26.7</v>
      </c>
      <c r="HM55">
        <v>30.6</v>
      </c>
      <c r="HN55">
        <v>12.927899999999999</v>
      </c>
      <c r="HO55">
        <v>63.693399999999997</v>
      </c>
      <c r="HP55">
        <v>19.2468</v>
      </c>
      <c r="HQ55">
        <v>1</v>
      </c>
      <c r="HR55">
        <v>-0.270036</v>
      </c>
      <c r="HS55">
        <v>2.5831900000000001</v>
      </c>
      <c r="HT55">
        <v>20.2011</v>
      </c>
      <c r="HU55">
        <v>5.2408000000000001</v>
      </c>
      <c r="HV55">
        <v>11.9739</v>
      </c>
      <c r="HW55">
        <v>4.9733000000000001</v>
      </c>
      <c r="HX55">
        <v>3.2909999999999999</v>
      </c>
      <c r="HY55">
        <v>9999</v>
      </c>
      <c r="HZ55">
        <v>9999</v>
      </c>
      <c r="IA55">
        <v>9999</v>
      </c>
      <c r="IB55">
        <v>999.9</v>
      </c>
      <c r="IC55">
        <v>4.9729299999999999</v>
      </c>
      <c r="ID55">
        <v>1.8772800000000001</v>
      </c>
      <c r="IE55">
        <v>1.87531</v>
      </c>
      <c r="IF55">
        <v>1.8781099999999999</v>
      </c>
      <c r="IG55">
        <v>1.8748499999999999</v>
      </c>
      <c r="IH55">
        <v>1.87846</v>
      </c>
      <c r="II55">
        <v>1.87557</v>
      </c>
      <c r="IJ55">
        <v>1.8767400000000001</v>
      </c>
      <c r="IK55">
        <v>0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0.82399999999999995</v>
      </c>
      <c r="IY55">
        <v>9.6100000000000005E-2</v>
      </c>
      <c r="IZ55">
        <v>6.1933660764125778E-2</v>
      </c>
      <c r="JA55">
        <v>2.058711587971173E-3</v>
      </c>
      <c r="JB55">
        <v>-6.1309262243104059E-7</v>
      </c>
      <c r="JC55">
        <v>2.6183910446277612E-10</v>
      </c>
      <c r="JD55">
        <v>3.5078820932035488E-4</v>
      </c>
      <c r="JE55">
        <v>-4.3284922736758413E-3</v>
      </c>
      <c r="JF55">
        <v>1.4186339569364E-3</v>
      </c>
      <c r="JG55">
        <v>-2.7770646863349432E-5</v>
      </c>
      <c r="JH55">
        <v>2</v>
      </c>
      <c r="JI55">
        <v>2136</v>
      </c>
      <c r="JJ55">
        <v>1</v>
      </c>
      <c r="JK55">
        <v>19</v>
      </c>
      <c r="JL55">
        <v>29361395.399999999</v>
      </c>
      <c r="JM55">
        <v>29361395.399999999</v>
      </c>
      <c r="JN55">
        <v>1.09863</v>
      </c>
      <c r="JO55">
        <v>2.5366200000000001</v>
      </c>
      <c r="JP55">
        <v>1.39893</v>
      </c>
      <c r="JQ55">
        <v>2.32056</v>
      </c>
      <c r="JR55">
        <v>1.4489700000000001</v>
      </c>
      <c r="JS55">
        <v>2.5341800000000001</v>
      </c>
      <c r="JT55">
        <v>36.4343</v>
      </c>
      <c r="JU55">
        <v>23.921099999999999</v>
      </c>
      <c r="JV55">
        <v>18</v>
      </c>
      <c r="JW55">
        <v>478.959</v>
      </c>
      <c r="JX55">
        <v>459.202</v>
      </c>
      <c r="JY55">
        <v>15.091699999999999</v>
      </c>
      <c r="JZ55">
        <v>23.5184</v>
      </c>
      <c r="KA55">
        <v>30</v>
      </c>
      <c r="KB55">
        <v>23.307700000000001</v>
      </c>
      <c r="KC55">
        <v>23.392800000000001</v>
      </c>
      <c r="KD55">
        <v>22.0289</v>
      </c>
      <c r="KE55">
        <v>18.215399999999999</v>
      </c>
      <c r="KF55">
        <v>23.7713</v>
      </c>
      <c r="KG55">
        <v>15.0755</v>
      </c>
      <c r="KH55">
        <v>420</v>
      </c>
      <c r="KI55">
        <v>9.8360000000000003</v>
      </c>
      <c r="KJ55">
        <v>102.21299999999999</v>
      </c>
      <c r="KK55">
        <v>101.06</v>
      </c>
    </row>
    <row r="56" spans="1:297" x14ac:dyDescent="0.3">
      <c r="A56">
        <v>40</v>
      </c>
      <c r="B56">
        <v>1761683797.0999999</v>
      </c>
      <c r="C56">
        <v>6347.0999999046326</v>
      </c>
      <c r="D56" t="s">
        <v>602</v>
      </c>
      <c r="E56" t="s">
        <v>603</v>
      </c>
      <c r="F56">
        <v>5</v>
      </c>
      <c r="G56" t="s">
        <v>575</v>
      </c>
      <c r="H56" t="s">
        <v>436</v>
      </c>
      <c r="I56">
        <v>1761683789.349999</v>
      </c>
      <c r="J56">
        <f t="shared" si="50"/>
        <v>1.5547901391360359E-3</v>
      </c>
      <c r="K56">
        <f t="shared" si="51"/>
        <v>1.5547901391360359</v>
      </c>
      <c r="L56">
        <f t="shared" si="52"/>
        <v>3.4978359400187364</v>
      </c>
      <c r="M56">
        <f t="shared" si="53"/>
        <v>414.95846666666682</v>
      </c>
      <c r="N56">
        <f t="shared" si="54"/>
        <v>358.71334460628236</v>
      </c>
      <c r="O56">
        <f t="shared" si="55"/>
        <v>32.675966909821874</v>
      </c>
      <c r="P56">
        <f t="shared" si="56"/>
        <v>37.799455553103947</v>
      </c>
      <c r="Q56">
        <f t="shared" si="57"/>
        <v>0.11899263379594215</v>
      </c>
      <c r="R56">
        <f t="shared" si="58"/>
        <v>2.7681938672535007</v>
      </c>
      <c r="S56">
        <f t="shared" si="59"/>
        <v>0.11622234038750794</v>
      </c>
      <c r="T56">
        <f t="shared" si="60"/>
        <v>7.2882490808093767E-2</v>
      </c>
      <c r="U56">
        <f t="shared" si="61"/>
        <v>221.44983812776036</v>
      </c>
      <c r="V56">
        <f t="shared" si="62"/>
        <v>19.383019926645563</v>
      </c>
      <c r="W56">
        <f t="shared" si="63"/>
        <v>19.383019926645563</v>
      </c>
      <c r="X56">
        <f t="shared" si="64"/>
        <v>2.2584431720648066</v>
      </c>
      <c r="Y56">
        <f t="shared" si="65"/>
        <v>49.918939486667654</v>
      </c>
      <c r="Z56">
        <f t="shared" si="66"/>
        <v>1.0620481413592111</v>
      </c>
      <c r="AA56">
        <f t="shared" si="67"/>
        <v>2.1275454812954568</v>
      </c>
      <c r="AB56">
        <f t="shared" si="68"/>
        <v>1.1963950307055955</v>
      </c>
      <c r="AC56">
        <f t="shared" si="69"/>
        <v>-68.56624513589918</v>
      </c>
      <c r="AD56">
        <f t="shared" si="70"/>
        <v>-142.68627560308875</v>
      </c>
      <c r="AE56">
        <f t="shared" si="71"/>
        <v>-10.247609212548006</v>
      </c>
      <c r="AF56">
        <f t="shared" si="72"/>
        <v>-5.0291823775580724E-2</v>
      </c>
      <c r="AG56">
        <f t="shared" si="73"/>
        <v>3.5501622098771235</v>
      </c>
      <c r="AH56">
        <f t="shared" si="74"/>
        <v>1.5513745855712089</v>
      </c>
      <c r="AI56">
        <f t="shared" si="75"/>
        <v>3.4978359400187364</v>
      </c>
      <c r="AJ56">
        <v>424.16372066652463</v>
      </c>
      <c r="AK56">
        <v>419.92157575757562</v>
      </c>
      <c r="AL56">
        <v>6.6049834461634352E-4</v>
      </c>
      <c r="AM56">
        <v>65.126255982470937</v>
      </c>
      <c r="AN56">
        <f t="shared" si="76"/>
        <v>1.5547901391360359</v>
      </c>
      <c r="AO56">
        <v>9.8184776418263322</v>
      </c>
      <c r="AP56">
        <v>11.662309090909099</v>
      </c>
      <c r="AQ56">
        <v>1.488443430098347E-5</v>
      </c>
      <c r="AR56">
        <v>96.791105692692355</v>
      </c>
      <c r="AS56">
        <v>1</v>
      </c>
      <c r="AT56">
        <v>0</v>
      </c>
      <c r="AU56">
        <f t="shared" si="77"/>
        <v>1</v>
      </c>
      <c r="AV56">
        <f t="shared" si="78"/>
        <v>0</v>
      </c>
      <c r="AW56">
        <f t="shared" si="79"/>
        <v>49573.597872038175</v>
      </c>
      <c r="AX56" t="s">
        <v>572</v>
      </c>
      <c r="AY56">
        <v>5037.6000000000004</v>
      </c>
      <c r="AZ56">
        <v>716.66923076923081</v>
      </c>
      <c r="BA56">
        <v>1764.136972542495</v>
      </c>
      <c r="BB56">
        <f t="shared" si="80"/>
        <v>0.59375647020403477</v>
      </c>
      <c r="BC56">
        <v>-0.82433697919469073</v>
      </c>
      <c r="BD56" t="s">
        <v>604</v>
      </c>
      <c r="BE56">
        <v>5017</v>
      </c>
      <c r="BF56">
        <v>982.21169230769237</v>
      </c>
      <c r="BG56">
        <v>1744.425353120904</v>
      </c>
      <c r="BH56">
        <f t="shared" si="81"/>
        <v>0.43694254927535647</v>
      </c>
      <c r="BI56">
        <v>0.5</v>
      </c>
      <c r="BJ56">
        <f t="shared" si="82"/>
        <v>1021.1232551352822</v>
      </c>
      <c r="BK56">
        <f t="shared" si="83"/>
        <v>3.4978359400187364</v>
      </c>
      <c r="BL56">
        <f t="shared" si="84"/>
        <v>223.08609911158021</v>
      </c>
      <c r="BM56">
        <f t="shared" si="85"/>
        <v>4.2327631825805493E-3</v>
      </c>
      <c r="BN56">
        <f t="shared" si="86"/>
        <v>1.1299778111069898E-2</v>
      </c>
      <c r="BO56">
        <f t="shared" si="87"/>
        <v>713.39442097013443</v>
      </c>
      <c r="BP56" t="s">
        <v>605</v>
      </c>
      <c r="BQ56">
        <v>736.47</v>
      </c>
      <c r="BR56">
        <f t="shared" si="88"/>
        <v>736.47</v>
      </c>
      <c r="BS56">
        <f t="shared" si="89"/>
        <v>0.5778151248017569</v>
      </c>
      <c r="BT56">
        <f t="shared" si="90"/>
        <v>0.75619783996700929</v>
      </c>
      <c r="BU56">
        <f t="shared" si="91"/>
        <v>1.9180940857546021E-2</v>
      </c>
      <c r="BV56">
        <f t="shared" si="92"/>
        <v>0.74162891783037277</v>
      </c>
      <c r="BW56">
        <f t="shared" si="93"/>
        <v>1.8818354623714763E-2</v>
      </c>
      <c r="BX56">
        <f t="shared" si="94"/>
        <v>0.56700304787864486</v>
      </c>
      <c r="BY56">
        <f t="shared" si="95"/>
        <v>0.43299695212135514</v>
      </c>
      <c r="BZ56">
        <v>442</v>
      </c>
      <c r="CA56">
        <v>290.00000000000011</v>
      </c>
      <c r="CB56">
        <v>1689.46</v>
      </c>
      <c r="CC56">
        <v>295</v>
      </c>
      <c r="CD56">
        <v>5017</v>
      </c>
      <c r="CE56">
        <v>1690.12</v>
      </c>
      <c r="CF56">
        <v>-0.66</v>
      </c>
      <c r="CG56">
        <v>300.00000000000011</v>
      </c>
      <c r="CH56">
        <v>23.9</v>
      </c>
      <c r="CI56">
        <v>1744.425353120904</v>
      </c>
      <c r="CJ56">
        <v>1.6755429838032629</v>
      </c>
      <c r="CK56">
        <v>-27.244524851409238</v>
      </c>
      <c r="CL56">
        <v>0.73177235020688813</v>
      </c>
      <c r="CM56">
        <v>0.98019995287363404</v>
      </c>
      <c r="CN56">
        <v>-4.0329844271412719E-3</v>
      </c>
      <c r="CO56">
        <v>289.99999999999989</v>
      </c>
      <c r="CP56">
        <v>1688.77</v>
      </c>
      <c r="CQ56">
        <v>765</v>
      </c>
      <c r="CR56">
        <v>5016.42</v>
      </c>
      <c r="CS56">
        <v>1690.11</v>
      </c>
      <c r="CT56">
        <v>-1.34</v>
      </c>
      <c r="DH56">
        <f t="shared" si="96"/>
        <v>1243.0755333333341</v>
      </c>
      <c r="DI56">
        <f t="shared" si="97"/>
        <v>1021.1232551352822</v>
      </c>
      <c r="DJ56">
        <f t="shared" si="98"/>
        <v>0.82144908153498764</v>
      </c>
      <c r="DK56">
        <f t="shared" si="99"/>
        <v>0.17814672736252624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1761683789.349999</v>
      </c>
      <c r="DR56">
        <v>414.95846666666682</v>
      </c>
      <c r="DS56">
        <v>419.99103333333341</v>
      </c>
      <c r="DT56">
        <v>11.659053333333331</v>
      </c>
      <c r="DU56">
        <v>9.8191583333333305</v>
      </c>
      <c r="DV56">
        <v>414.13056666666671</v>
      </c>
      <c r="DW56">
        <v>11.562013333333329</v>
      </c>
      <c r="DX56">
        <v>500.01343333333341</v>
      </c>
      <c r="DY56">
        <v>91.072476666666674</v>
      </c>
      <c r="DZ56">
        <v>1.966529333333334E-2</v>
      </c>
      <c r="EA56">
        <v>18.42692666666667</v>
      </c>
      <c r="EB56">
        <v>17.970839999999999</v>
      </c>
      <c r="EC56">
        <v>999.9000000000002</v>
      </c>
      <c r="ED56">
        <v>0</v>
      </c>
      <c r="EE56">
        <v>0</v>
      </c>
      <c r="EF56">
        <v>10000.084000000001</v>
      </c>
      <c r="EG56">
        <v>0</v>
      </c>
      <c r="EH56">
        <v>1093.082333333334</v>
      </c>
      <c r="EI56">
        <v>-5.032491666666667</v>
      </c>
      <c r="EJ56">
        <v>419.8535</v>
      </c>
      <c r="EK56">
        <v>424.15583333333331</v>
      </c>
      <c r="EL56">
        <v>1.839890333333333</v>
      </c>
      <c r="EM56">
        <v>419.99103333333341</v>
      </c>
      <c r="EN56">
        <v>9.8191583333333305</v>
      </c>
      <c r="EO56">
        <v>1.0618183333333331</v>
      </c>
      <c r="EP56">
        <v>0.89425506666666654</v>
      </c>
      <c r="EQ56">
        <v>7.7934113333333341</v>
      </c>
      <c r="ER56">
        <v>5.2986199999999997</v>
      </c>
      <c r="ES56">
        <v>149.9932</v>
      </c>
      <c r="ET56">
        <v>0.9000579999999998</v>
      </c>
      <c r="EU56">
        <v>9.9941686666666682E-2</v>
      </c>
      <c r="EV56">
        <v>0</v>
      </c>
      <c r="EW56">
        <v>982.21303333333344</v>
      </c>
      <c r="EX56">
        <v>5.0005600000000019</v>
      </c>
      <c r="EY56">
        <v>1562.8489999999999</v>
      </c>
      <c r="EZ56">
        <v>1225.046</v>
      </c>
      <c r="FA56">
        <v>35.987200000000001</v>
      </c>
      <c r="FB56">
        <v>41.778899999999979</v>
      </c>
      <c r="FC56">
        <v>38.578800000000001</v>
      </c>
      <c r="FD56">
        <v>41.408033333333329</v>
      </c>
      <c r="FE56">
        <v>38.353966666666658</v>
      </c>
      <c r="FF56">
        <v>130.501</v>
      </c>
      <c r="FG56">
        <v>14.49</v>
      </c>
      <c r="FH56">
        <v>0</v>
      </c>
      <c r="FI56">
        <v>73.200000047683716</v>
      </c>
      <c r="FJ56">
        <v>0</v>
      </c>
      <c r="FK56">
        <v>982.21169230769237</v>
      </c>
      <c r="FL56">
        <v>0.51829058925084603</v>
      </c>
      <c r="FM56">
        <v>0.57880342808747731</v>
      </c>
      <c r="FN56">
        <v>1562.7642307692311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-5.0546902500000002</v>
      </c>
      <c r="GD56">
        <v>0.49273249530957741</v>
      </c>
      <c r="GE56">
        <v>5.2430208062122889E-2</v>
      </c>
      <c r="GF56">
        <v>1</v>
      </c>
      <c r="GG56">
        <v>982.25897058823534</v>
      </c>
      <c r="GH56">
        <v>-0.64857143057862121</v>
      </c>
      <c r="GI56">
        <v>0.24406140564042869</v>
      </c>
      <c r="GJ56">
        <v>1</v>
      </c>
      <c r="GK56">
        <v>1.83737675</v>
      </c>
      <c r="GL56">
        <v>4.6068855534705397E-2</v>
      </c>
      <c r="GM56">
        <v>4.5164678607845588E-3</v>
      </c>
      <c r="GN56">
        <v>1</v>
      </c>
      <c r="GO56">
        <v>3</v>
      </c>
      <c r="GP56">
        <v>3</v>
      </c>
      <c r="GQ56" t="s">
        <v>470</v>
      </c>
      <c r="GR56">
        <v>3.1328100000000001</v>
      </c>
      <c r="GS56">
        <v>2.6970499999999999</v>
      </c>
      <c r="GT56">
        <v>8.6502099999999998E-2</v>
      </c>
      <c r="GU56">
        <v>8.7851200000000004E-2</v>
      </c>
      <c r="GV56">
        <v>6.4879099999999995E-2</v>
      </c>
      <c r="GW56">
        <v>5.7534200000000001E-2</v>
      </c>
      <c r="GX56">
        <v>27792.400000000001</v>
      </c>
      <c r="GY56">
        <v>26756.5</v>
      </c>
      <c r="GZ56">
        <v>30945.5</v>
      </c>
      <c r="HA56">
        <v>29562.6</v>
      </c>
      <c r="HB56">
        <v>39892.699999999997</v>
      </c>
      <c r="HC56">
        <v>36680.699999999997</v>
      </c>
      <c r="HD56">
        <v>47271.199999999997</v>
      </c>
      <c r="HE56">
        <v>43941.3</v>
      </c>
      <c r="HF56">
        <v>1.89452</v>
      </c>
      <c r="HG56">
        <v>1.91212</v>
      </c>
      <c r="HH56">
        <v>9.9465300000000003E-3</v>
      </c>
      <c r="HI56">
        <v>0</v>
      </c>
      <c r="HJ56">
        <v>17.831199999999999</v>
      </c>
      <c r="HK56">
        <v>999.9</v>
      </c>
      <c r="HL56">
        <v>26.6</v>
      </c>
      <c r="HM56">
        <v>30.6</v>
      </c>
      <c r="HN56">
        <v>12.8794</v>
      </c>
      <c r="HO56">
        <v>63.5334</v>
      </c>
      <c r="HP56">
        <v>19.2668</v>
      </c>
      <c r="HQ56">
        <v>1</v>
      </c>
      <c r="HR56">
        <v>-0.27144600000000002</v>
      </c>
      <c r="HS56">
        <v>2.2339099999999998</v>
      </c>
      <c r="HT56">
        <v>20.206900000000001</v>
      </c>
      <c r="HU56">
        <v>5.2411000000000003</v>
      </c>
      <c r="HV56">
        <v>11.974</v>
      </c>
      <c r="HW56">
        <v>4.9733999999999998</v>
      </c>
      <c r="HX56">
        <v>3.2909999999999999</v>
      </c>
      <c r="HY56">
        <v>9999</v>
      </c>
      <c r="HZ56">
        <v>9999</v>
      </c>
      <c r="IA56">
        <v>9999</v>
      </c>
      <c r="IB56">
        <v>999.9</v>
      </c>
      <c r="IC56">
        <v>4.9729299999999999</v>
      </c>
      <c r="ID56">
        <v>1.8772</v>
      </c>
      <c r="IE56">
        <v>1.87531</v>
      </c>
      <c r="IF56">
        <v>1.8781000000000001</v>
      </c>
      <c r="IG56">
        <v>1.8748499999999999</v>
      </c>
      <c r="IH56">
        <v>1.8784000000000001</v>
      </c>
      <c r="II56">
        <v>1.8755599999999999</v>
      </c>
      <c r="IJ56">
        <v>1.8766799999999999</v>
      </c>
      <c r="IK56">
        <v>0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0.82799999999999996</v>
      </c>
      <c r="IY56">
        <v>9.7100000000000006E-2</v>
      </c>
      <c r="IZ56">
        <v>6.1933660764125778E-2</v>
      </c>
      <c r="JA56">
        <v>2.058711587971173E-3</v>
      </c>
      <c r="JB56">
        <v>-6.1309262243104059E-7</v>
      </c>
      <c r="JC56">
        <v>2.6183910446277612E-10</v>
      </c>
      <c r="JD56">
        <v>3.5078820932035488E-4</v>
      </c>
      <c r="JE56">
        <v>-4.3284922736758413E-3</v>
      </c>
      <c r="JF56">
        <v>1.4186339569364E-3</v>
      </c>
      <c r="JG56">
        <v>-2.7770646863349432E-5</v>
      </c>
      <c r="JH56">
        <v>2</v>
      </c>
      <c r="JI56">
        <v>2136</v>
      </c>
      <c r="JJ56">
        <v>1</v>
      </c>
      <c r="JK56">
        <v>19</v>
      </c>
      <c r="JL56">
        <v>29361396.600000001</v>
      </c>
      <c r="JM56">
        <v>29361396.600000001</v>
      </c>
      <c r="JN56">
        <v>1.09863</v>
      </c>
      <c r="JO56">
        <v>2.5476100000000002</v>
      </c>
      <c r="JP56">
        <v>1.39893</v>
      </c>
      <c r="JQ56">
        <v>2.32056</v>
      </c>
      <c r="JR56">
        <v>1.4489700000000001</v>
      </c>
      <c r="JS56">
        <v>2.5390600000000001</v>
      </c>
      <c r="JT56">
        <v>36.410699999999999</v>
      </c>
      <c r="JU56">
        <v>23.9299</v>
      </c>
      <c r="JV56">
        <v>18</v>
      </c>
      <c r="JW56">
        <v>479.03399999999999</v>
      </c>
      <c r="JX56">
        <v>459.16500000000002</v>
      </c>
      <c r="JY56">
        <v>15.4328</v>
      </c>
      <c r="JZ56">
        <v>23.5105</v>
      </c>
      <c r="KA56">
        <v>30.0002</v>
      </c>
      <c r="KB56">
        <v>23.297899999999998</v>
      </c>
      <c r="KC56">
        <v>23.383099999999999</v>
      </c>
      <c r="KD56">
        <v>22.029800000000002</v>
      </c>
      <c r="KE56">
        <v>18.215399999999999</v>
      </c>
      <c r="KF56">
        <v>23.7713</v>
      </c>
      <c r="KG56">
        <v>15.438000000000001</v>
      </c>
      <c r="KH56">
        <v>420</v>
      </c>
      <c r="KI56">
        <v>9.8412000000000006</v>
      </c>
      <c r="KJ56">
        <v>102.215</v>
      </c>
      <c r="KK56">
        <v>101.06</v>
      </c>
    </row>
    <row r="57" spans="1:297" x14ac:dyDescent="0.3">
      <c r="A57">
        <v>41</v>
      </c>
      <c r="B57">
        <v>1761683907.5999999</v>
      </c>
      <c r="C57">
        <v>6457.5999999046326</v>
      </c>
      <c r="D57" t="s">
        <v>606</v>
      </c>
      <c r="E57" t="s">
        <v>607</v>
      </c>
      <c r="F57">
        <v>5</v>
      </c>
      <c r="G57" t="s">
        <v>575</v>
      </c>
      <c r="H57" t="s">
        <v>436</v>
      </c>
      <c r="I57">
        <v>1761683899.849999</v>
      </c>
      <c r="J57">
        <f t="shared" si="50"/>
        <v>1.5718675282166451E-3</v>
      </c>
      <c r="K57">
        <f t="shared" si="51"/>
        <v>1.5718675282166452</v>
      </c>
      <c r="L57">
        <f t="shared" si="52"/>
        <v>0.92284812998342014</v>
      </c>
      <c r="M57">
        <f t="shared" si="53"/>
        <v>418.09653333333318</v>
      </c>
      <c r="N57">
        <f t="shared" si="54"/>
        <v>396.9460914411751</v>
      </c>
      <c r="O57">
        <f t="shared" si="55"/>
        <v>36.160209390495602</v>
      </c>
      <c r="P57">
        <f t="shared" si="56"/>
        <v>38.086930484398309</v>
      </c>
      <c r="Q57">
        <f t="shared" si="57"/>
        <v>0.12071928142719124</v>
      </c>
      <c r="R57">
        <f t="shared" si="58"/>
        <v>2.7687136753719459</v>
      </c>
      <c r="S57">
        <f t="shared" si="59"/>
        <v>0.11786956660921874</v>
      </c>
      <c r="T57">
        <f t="shared" si="60"/>
        <v>7.3918911763297096E-2</v>
      </c>
      <c r="U57">
        <f t="shared" si="61"/>
        <v>203.41577161671083</v>
      </c>
      <c r="V57">
        <f t="shared" si="62"/>
        <v>19.409679831171943</v>
      </c>
      <c r="W57">
        <f t="shared" si="63"/>
        <v>19.409679831171943</v>
      </c>
      <c r="X57">
        <f t="shared" si="64"/>
        <v>2.2621921157291824</v>
      </c>
      <c r="Y57">
        <f t="shared" si="65"/>
        <v>49.820448854401143</v>
      </c>
      <c r="Z57">
        <f t="shared" si="66"/>
        <v>1.0695829757861779</v>
      </c>
      <c r="AA57">
        <f t="shared" si="67"/>
        <v>2.1468754304321984</v>
      </c>
      <c r="AB57">
        <f t="shared" si="68"/>
        <v>1.1926091399430045</v>
      </c>
      <c r="AC57">
        <f t="shared" si="69"/>
        <v>-69.31935799435405</v>
      </c>
      <c r="AD57">
        <f t="shared" si="70"/>
        <v>-125.14135632243833</v>
      </c>
      <c r="AE57">
        <f t="shared" si="71"/>
        <v>-8.9937549431703978</v>
      </c>
      <c r="AF57">
        <f t="shared" si="72"/>
        <v>-3.8697643251936142E-2</v>
      </c>
      <c r="AG57">
        <f t="shared" si="73"/>
        <v>0.93235765409186511</v>
      </c>
      <c r="AH57">
        <f t="shared" si="74"/>
        <v>1.5806922042453655</v>
      </c>
      <c r="AI57">
        <f t="shared" si="75"/>
        <v>0.92284812998342014</v>
      </c>
      <c r="AJ57">
        <v>424.16559201305643</v>
      </c>
      <c r="AK57">
        <v>423.05112121212119</v>
      </c>
      <c r="AL57">
        <v>-8.0775537757280414E-4</v>
      </c>
      <c r="AM57">
        <v>65.126255982470937</v>
      </c>
      <c r="AN57">
        <f t="shared" si="76"/>
        <v>1.5718675282166452</v>
      </c>
      <c r="AO57">
        <v>9.8658776811335098</v>
      </c>
      <c r="AP57">
        <v>11.73004125874127</v>
      </c>
      <c r="AQ57">
        <v>-1.390042767398402E-5</v>
      </c>
      <c r="AR57">
        <v>96.791105692692355</v>
      </c>
      <c r="AS57">
        <v>1</v>
      </c>
      <c r="AT57">
        <v>0</v>
      </c>
      <c r="AU57">
        <f t="shared" si="77"/>
        <v>1</v>
      </c>
      <c r="AV57">
        <f t="shared" si="78"/>
        <v>0</v>
      </c>
      <c r="AW57">
        <f t="shared" si="79"/>
        <v>49563.721673653628</v>
      </c>
      <c r="AX57" t="s">
        <v>572</v>
      </c>
      <c r="AY57">
        <v>5037.6000000000004</v>
      </c>
      <c r="AZ57">
        <v>716.66923076923081</v>
      </c>
      <c r="BA57">
        <v>1764.136972542495</v>
      </c>
      <c r="BB57">
        <f t="shared" si="80"/>
        <v>0.59375647020403477</v>
      </c>
      <c r="BC57">
        <v>-0.82433697919469073</v>
      </c>
      <c r="BD57" t="s">
        <v>608</v>
      </c>
      <c r="BE57">
        <v>5010.07</v>
      </c>
      <c r="BF57">
        <v>781.32064000000003</v>
      </c>
      <c r="BG57">
        <v>1761.861788235944</v>
      </c>
      <c r="BH57">
        <f t="shared" si="81"/>
        <v>0.55653692859625847</v>
      </c>
      <c r="BI57">
        <v>0.5</v>
      </c>
      <c r="BJ57">
        <f t="shared" si="82"/>
        <v>938.86800850477266</v>
      </c>
      <c r="BK57">
        <f t="shared" si="83"/>
        <v>0.92284812998342014</v>
      </c>
      <c r="BL57">
        <f t="shared" si="84"/>
        <v>261.25735890526602</v>
      </c>
      <c r="BM57">
        <f t="shared" si="85"/>
        <v>1.860948603372536E-3</v>
      </c>
      <c r="BN57">
        <f t="shared" si="86"/>
        <v>1.2913523193149971E-3</v>
      </c>
      <c r="BO57">
        <f t="shared" si="87"/>
        <v>716.29346069523922</v>
      </c>
      <c r="BP57" t="s">
        <v>609</v>
      </c>
      <c r="BQ57">
        <v>714</v>
      </c>
      <c r="BR57">
        <f t="shared" si="88"/>
        <v>714</v>
      </c>
      <c r="BS57">
        <f t="shared" si="89"/>
        <v>0.59474687244628355</v>
      </c>
      <c r="BT57">
        <f t="shared" si="90"/>
        <v>0.93575427527199639</v>
      </c>
      <c r="BU57">
        <f t="shared" si="91"/>
        <v>2.1665595689317444E-3</v>
      </c>
      <c r="BV57">
        <f t="shared" si="92"/>
        <v>0.93814402066977198</v>
      </c>
      <c r="BW57">
        <f t="shared" si="93"/>
        <v>2.1720805479883152E-3</v>
      </c>
      <c r="BX57">
        <f t="shared" si="94"/>
        <v>0.85512722733678881</v>
      </c>
      <c r="BY57">
        <f t="shared" si="95"/>
        <v>0.14487277266321119</v>
      </c>
      <c r="BZ57">
        <v>444</v>
      </c>
      <c r="CA57">
        <v>290.00000000000011</v>
      </c>
      <c r="CB57">
        <v>1703.41</v>
      </c>
      <c r="CC57">
        <v>285</v>
      </c>
      <c r="CD57">
        <v>5010.07</v>
      </c>
      <c r="CE57">
        <v>1705.38</v>
      </c>
      <c r="CF57">
        <v>-1.97</v>
      </c>
      <c r="CG57">
        <v>300.00000000000011</v>
      </c>
      <c r="CH57">
        <v>23.9</v>
      </c>
      <c r="CI57">
        <v>1761.861788235944</v>
      </c>
      <c r="CJ57">
        <v>1.6943039510657689</v>
      </c>
      <c r="CK57">
        <v>-28.299878916217079</v>
      </c>
      <c r="CL57">
        <v>0.73653720484532992</v>
      </c>
      <c r="CM57">
        <v>0.9813869083610175</v>
      </c>
      <c r="CN57">
        <v>-4.1094914349276944E-3</v>
      </c>
      <c r="CO57">
        <v>289.99999999999989</v>
      </c>
      <c r="CP57">
        <v>1704.74</v>
      </c>
      <c r="CQ57">
        <v>685</v>
      </c>
      <c r="CR57">
        <v>5009.91</v>
      </c>
      <c r="CS57">
        <v>1705.37</v>
      </c>
      <c r="CT57">
        <v>-0.63</v>
      </c>
      <c r="DH57">
        <f t="shared" si="96"/>
        <v>1143.0801100000001</v>
      </c>
      <c r="DI57">
        <f t="shared" si="97"/>
        <v>938.86800850477266</v>
      </c>
      <c r="DJ57">
        <f t="shared" si="98"/>
        <v>0.82134926528007957</v>
      </c>
      <c r="DK57">
        <f t="shared" si="99"/>
        <v>0.1779540819905534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1761683899.849999</v>
      </c>
      <c r="DR57">
        <v>418.09653333333318</v>
      </c>
      <c r="DS57">
        <v>420.00836666666669</v>
      </c>
      <c r="DT57">
        <v>11.74127</v>
      </c>
      <c r="DU57">
        <v>9.8667636666666674</v>
      </c>
      <c r="DV57">
        <v>417.26339999999999</v>
      </c>
      <c r="DW57">
        <v>11.642843333333341</v>
      </c>
      <c r="DX57">
        <v>500.01416666666671</v>
      </c>
      <c r="DY57">
        <v>91.076726666666659</v>
      </c>
      <c r="DZ57">
        <v>1.929410333333333E-2</v>
      </c>
      <c r="EA57">
        <v>18.571306666666661</v>
      </c>
      <c r="EB57">
        <v>18.048786666666661</v>
      </c>
      <c r="EC57">
        <v>999.9000000000002</v>
      </c>
      <c r="ED57">
        <v>0</v>
      </c>
      <c r="EE57">
        <v>0</v>
      </c>
      <c r="EF57">
        <v>10002.68466666667</v>
      </c>
      <c r="EG57">
        <v>0</v>
      </c>
      <c r="EH57">
        <v>1093.056</v>
      </c>
      <c r="EI57">
        <v>-1.911720333333333</v>
      </c>
      <c r="EJ57">
        <v>423.06383333333338</v>
      </c>
      <c r="EK57">
        <v>424.19376666666659</v>
      </c>
      <c r="EL57">
        <v>1.874511333333333</v>
      </c>
      <c r="EM57">
        <v>420.00836666666669</v>
      </c>
      <c r="EN57">
        <v>9.8667636666666674</v>
      </c>
      <c r="EO57">
        <v>1.069356333333334</v>
      </c>
      <c r="EP57">
        <v>0.89863259999999989</v>
      </c>
      <c r="EQ57">
        <v>7.8972593333333334</v>
      </c>
      <c r="ER57">
        <v>5.3688616666666658</v>
      </c>
      <c r="ES57">
        <v>50.02411</v>
      </c>
      <c r="ET57">
        <v>0.90011210000000019</v>
      </c>
      <c r="EU57">
        <v>9.9887819999999988E-2</v>
      </c>
      <c r="EV57">
        <v>0</v>
      </c>
      <c r="EW57">
        <v>781.31906666666657</v>
      </c>
      <c r="EX57">
        <v>5.0005600000000019</v>
      </c>
      <c r="EY57">
        <v>510.70249999999999</v>
      </c>
      <c r="EZ57">
        <v>380.41173333333342</v>
      </c>
      <c r="FA57">
        <v>35.274733333333337</v>
      </c>
      <c r="FB57">
        <v>39.14556666666666</v>
      </c>
      <c r="FC57">
        <v>37.212133333333327</v>
      </c>
      <c r="FD57">
        <v>38.13519999999999</v>
      </c>
      <c r="FE57">
        <v>36.620600000000003</v>
      </c>
      <c r="FF57">
        <v>40.526666666666657</v>
      </c>
      <c r="FG57">
        <v>4.5</v>
      </c>
      <c r="FH57">
        <v>0</v>
      </c>
      <c r="FI57">
        <v>108.6000001430511</v>
      </c>
      <c r="FJ57">
        <v>0</v>
      </c>
      <c r="FK57">
        <v>781.32064000000003</v>
      </c>
      <c r="FL57">
        <v>5.8307693098793731E-2</v>
      </c>
      <c r="FM57">
        <v>-4.7604615222485078</v>
      </c>
      <c r="FN57">
        <v>510.61840000000012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-1.9380158536585359</v>
      </c>
      <c r="GD57">
        <v>0.45736745644599192</v>
      </c>
      <c r="GE57">
        <v>5.1009485247813263E-2</v>
      </c>
      <c r="GF57">
        <v>1</v>
      </c>
      <c r="GG57">
        <v>781.3550294117648</v>
      </c>
      <c r="GH57">
        <v>-0.58223071115577174</v>
      </c>
      <c r="GI57">
        <v>0.16824290655339699</v>
      </c>
      <c r="GJ57">
        <v>1</v>
      </c>
      <c r="GK57">
        <v>1.87663</v>
      </c>
      <c r="GL57">
        <v>-5.7516585365855882E-2</v>
      </c>
      <c r="GM57">
        <v>6.838632369335752E-3</v>
      </c>
      <c r="GN57">
        <v>1</v>
      </c>
      <c r="GO57">
        <v>3</v>
      </c>
      <c r="GP57">
        <v>3</v>
      </c>
      <c r="GQ57" t="s">
        <v>470</v>
      </c>
      <c r="GR57">
        <v>3.1325099999999999</v>
      </c>
      <c r="GS57">
        <v>2.6975099999999999</v>
      </c>
      <c r="GT57">
        <v>8.6986999999999995E-2</v>
      </c>
      <c r="GU57">
        <v>8.7858900000000004E-2</v>
      </c>
      <c r="GV57">
        <v>6.5159300000000003E-2</v>
      </c>
      <c r="GW57">
        <v>5.7742000000000002E-2</v>
      </c>
      <c r="GX57">
        <v>27777.599999999999</v>
      </c>
      <c r="GY57">
        <v>26755.7</v>
      </c>
      <c r="GZ57">
        <v>30945.4</v>
      </c>
      <c r="HA57">
        <v>29561.9</v>
      </c>
      <c r="HB57">
        <v>39880.9</v>
      </c>
      <c r="HC57">
        <v>36671.699999999997</v>
      </c>
      <c r="HD57">
        <v>47271.5</v>
      </c>
      <c r="HE57">
        <v>43940.4</v>
      </c>
      <c r="HF57">
        <v>1.89408</v>
      </c>
      <c r="HG57">
        <v>1.9127799999999999</v>
      </c>
      <c r="HH57">
        <v>3.9711599999999996E-3</v>
      </c>
      <c r="HI57">
        <v>0</v>
      </c>
      <c r="HJ57">
        <v>17.979800000000001</v>
      </c>
      <c r="HK57">
        <v>999.9</v>
      </c>
      <c r="HL57">
        <v>26.6</v>
      </c>
      <c r="HM57">
        <v>30.7</v>
      </c>
      <c r="HN57">
        <v>12.953200000000001</v>
      </c>
      <c r="HO57">
        <v>63.513399999999997</v>
      </c>
      <c r="HP57">
        <v>19.455100000000002</v>
      </c>
      <c r="HQ57">
        <v>1</v>
      </c>
      <c r="HR57">
        <v>-0.27035799999999999</v>
      </c>
      <c r="HS57">
        <v>2.6822900000000001</v>
      </c>
      <c r="HT57">
        <v>20.199300000000001</v>
      </c>
      <c r="HU57">
        <v>5.2394499999999997</v>
      </c>
      <c r="HV57">
        <v>11.973699999999999</v>
      </c>
      <c r="HW57">
        <v>4.9728000000000003</v>
      </c>
      <c r="HX57">
        <v>3.2909999999999999</v>
      </c>
      <c r="HY57">
        <v>9999</v>
      </c>
      <c r="HZ57">
        <v>9999</v>
      </c>
      <c r="IA57">
        <v>9999</v>
      </c>
      <c r="IB57">
        <v>999.9</v>
      </c>
      <c r="IC57">
        <v>4.9729299999999999</v>
      </c>
      <c r="ID57">
        <v>1.87723</v>
      </c>
      <c r="IE57">
        <v>1.87531</v>
      </c>
      <c r="IF57">
        <v>1.8780699999999999</v>
      </c>
      <c r="IG57">
        <v>1.8748499999999999</v>
      </c>
      <c r="IH57">
        <v>1.8783799999999999</v>
      </c>
      <c r="II57">
        <v>1.8754999999999999</v>
      </c>
      <c r="IJ57">
        <v>1.8766799999999999</v>
      </c>
      <c r="IK57">
        <v>0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0.83299999999999996</v>
      </c>
      <c r="IY57">
        <v>9.8199999999999996E-2</v>
      </c>
      <c r="IZ57">
        <v>6.1933660764125778E-2</v>
      </c>
      <c r="JA57">
        <v>2.058711587971173E-3</v>
      </c>
      <c r="JB57">
        <v>-6.1309262243104059E-7</v>
      </c>
      <c r="JC57">
        <v>2.6183910446277612E-10</v>
      </c>
      <c r="JD57">
        <v>3.5078820932035488E-4</v>
      </c>
      <c r="JE57">
        <v>-4.3284922736758413E-3</v>
      </c>
      <c r="JF57">
        <v>1.4186339569364E-3</v>
      </c>
      <c r="JG57">
        <v>-2.7770646863349432E-5</v>
      </c>
      <c r="JH57">
        <v>2</v>
      </c>
      <c r="JI57">
        <v>2136</v>
      </c>
      <c r="JJ57">
        <v>1</v>
      </c>
      <c r="JK57">
        <v>19</v>
      </c>
      <c r="JL57">
        <v>29361398.5</v>
      </c>
      <c r="JM57">
        <v>29361398.5</v>
      </c>
      <c r="JN57">
        <v>1.09863</v>
      </c>
      <c r="JO57">
        <v>2.5378400000000001</v>
      </c>
      <c r="JP57">
        <v>1.39893</v>
      </c>
      <c r="JQ57">
        <v>2.32056</v>
      </c>
      <c r="JR57">
        <v>1.4489700000000001</v>
      </c>
      <c r="JS57">
        <v>2.6037599999999999</v>
      </c>
      <c r="JT57">
        <v>36.387099999999997</v>
      </c>
      <c r="JU57">
        <v>23.9299</v>
      </c>
      <c r="JV57">
        <v>18</v>
      </c>
      <c r="JW57">
        <v>478.72699999999998</v>
      </c>
      <c r="JX57">
        <v>459.48500000000001</v>
      </c>
      <c r="JY57">
        <v>15.4473</v>
      </c>
      <c r="JZ57">
        <v>23.5045</v>
      </c>
      <c r="KA57">
        <v>30.0002</v>
      </c>
      <c r="KB57">
        <v>23.288</v>
      </c>
      <c r="KC57">
        <v>23.373200000000001</v>
      </c>
      <c r="KD57">
        <v>22.030799999999999</v>
      </c>
      <c r="KE57">
        <v>17.6387</v>
      </c>
      <c r="KF57">
        <v>23.7713</v>
      </c>
      <c r="KG57">
        <v>15.402799999999999</v>
      </c>
      <c r="KH57">
        <v>420</v>
      </c>
      <c r="KI57">
        <v>9.9055499999999999</v>
      </c>
      <c r="KJ57">
        <v>102.215</v>
      </c>
      <c r="KK57">
        <v>101.05800000000001</v>
      </c>
    </row>
    <row r="58" spans="1:297" x14ac:dyDescent="0.3">
      <c r="A58">
        <v>42</v>
      </c>
      <c r="B58">
        <v>1761684023.0999999</v>
      </c>
      <c r="C58">
        <v>6573.0999999046326</v>
      </c>
      <c r="D58" t="s">
        <v>610</v>
      </c>
      <c r="E58" t="s">
        <v>611</v>
      </c>
      <c r="F58">
        <v>5</v>
      </c>
      <c r="G58" t="s">
        <v>575</v>
      </c>
      <c r="H58" t="s">
        <v>436</v>
      </c>
      <c r="I58">
        <v>1761684015.349999</v>
      </c>
      <c r="J58">
        <f t="shared" si="50"/>
        <v>1.6040721842911017E-3</v>
      </c>
      <c r="K58">
        <f t="shared" si="51"/>
        <v>1.6040721842911017</v>
      </c>
      <c r="L58">
        <f t="shared" si="52"/>
        <v>-0.98055102247034742</v>
      </c>
      <c r="M58">
        <f t="shared" si="53"/>
        <v>420.30173333333329</v>
      </c>
      <c r="N58">
        <f t="shared" si="54"/>
        <v>423.97835621030276</v>
      </c>
      <c r="O58">
        <f t="shared" si="55"/>
        <v>38.620146818389287</v>
      </c>
      <c r="P58">
        <f t="shared" si="56"/>
        <v>38.285243601693061</v>
      </c>
      <c r="Q58">
        <f t="shared" si="57"/>
        <v>0.1350979290786353</v>
      </c>
      <c r="R58">
        <f t="shared" si="58"/>
        <v>2.767717665026173</v>
      </c>
      <c r="S58">
        <f t="shared" si="59"/>
        <v>0.13153846968851027</v>
      </c>
      <c r="T58">
        <f t="shared" si="60"/>
        <v>8.2523535573103851E-2</v>
      </c>
      <c r="U58">
        <f t="shared" si="61"/>
        <v>108.8059703526737</v>
      </c>
      <c r="V58">
        <f t="shared" si="62"/>
        <v>18.715686983078886</v>
      </c>
      <c r="W58">
        <f t="shared" si="63"/>
        <v>18.715686983078886</v>
      </c>
      <c r="X58">
        <f t="shared" si="64"/>
        <v>2.1663592583809126</v>
      </c>
      <c r="Y58">
        <f t="shared" si="65"/>
        <v>50.382075169338016</v>
      </c>
      <c r="Z58">
        <f t="shared" si="66"/>
        <v>1.0753108249613941</v>
      </c>
      <c r="AA58">
        <f t="shared" si="67"/>
        <v>2.1343122952899263</v>
      </c>
      <c r="AB58">
        <f t="shared" si="68"/>
        <v>1.0910484334195185</v>
      </c>
      <c r="AC58">
        <f t="shared" si="69"/>
        <v>-70.739583327237582</v>
      </c>
      <c r="AD58">
        <f t="shared" si="70"/>
        <v>-35.525719375230558</v>
      </c>
      <c r="AE58">
        <f t="shared" si="71"/>
        <v>-2.5437822773455343</v>
      </c>
      <c r="AF58">
        <f t="shared" si="72"/>
        <v>-3.1146271399720149E-3</v>
      </c>
      <c r="AG58">
        <f t="shared" si="73"/>
        <v>-0.91980570234339765</v>
      </c>
      <c r="AH58">
        <f t="shared" si="74"/>
        <v>1.6029015178295145</v>
      </c>
      <c r="AI58">
        <f t="shared" si="75"/>
        <v>-0.98055102247034742</v>
      </c>
      <c r="AJ58">
        <v>424.20768236126719</v>
      </c>
      <c r="AK58">
        <v>425.39090909090919</v>
      </c>
      <c r="AL58">
        <v>1.071422008089662E-3</v>
      </c>
      <c r="AM58">
        <v>65.126255982470937</v>
      </c>
      <c r="AN58">
        <f t="shared" si="76"/>
        <v>1.6040721842911017</v>
      </c>
      <c r="AO58">
        <v>9.9029380798985507</v>
      </c>
      <c r="AP58">
        <v>11.805175524475519</v>
      </c>
      <c r="AQ58">
        <v>-2.0589917522694088E-6</v>
      </c>
      <c r="AR58">
        <v>96.791105692692355</v>
      </c>
      <c r="AS58">
        <v>1</v>
      </c>
      <c r="AT58">
        <v>0</v>
      </c>
      <c r="AU58">
        <f t="shared" si="77"/>
        <v>1</v>
      </c>
      <c r="AV58">
        <f t="shared" si="78"/>
        <v>0</v>
      </c>
      <c r="AW58">
        <f t="shared" si="79"/>
        <v>49551.570847970652</v>
      </c>
      <c r="AX58" t="s">
        <v>612</v>
      </c>
      <c r="AY58">
        <v>5006.08</v>
      </c>
      <c r="AZ58">
        <v>691.77599999999995</v>
      </c>
      <c r="BA58">
        <v>1803.42745997682</v>
      </c>
      <c r="BB58">
        <f t="shared" si="80"/>
        <v>0.61641040998184005</v>
      </c>
      <c r="BC58">
        <v>-0.98055102247034764</v>
      </c>
      <c r="BD58" t="s">
        <v>491</v>
      </c>
      <c r="BE58" t="s">
        <v>491</v>
      </c>
      <c r="BF58">
        <v>0</v>
      </c>
      <c r="BG58">
        <v>0</v>
      </c>
      <c r="BH58" t="e">
        <f t="shared" si="81"/>
        <v>#DIV/0!</v>
      </c>
      <c r="BI58">
        <v>0.5</v>
      </c>
      <c r="BJ58">
        <f t="shared" si="82"/>
        <v>460.19051416697738</v>
      </c>
      <c r="BK58">
        <f t="shared" si="83"/>
        <v>-0.98055102247034742</v>
      </c>
      <c r="BL58" t="e">
        <f t="shared" si="84"/>
        <v>#DIV/0!</v>
      </c>
      <c r="BM58">
        <f t="shared" si="85"/>
        <v>4.8250582767219702E-19</v>
      </c>
      <c r="BN58" t="e">
        <f t="shared" si="86"/>
        <v>#DIV/0!</v>
      </c>
      <c r="BO58" t="e">
        <f t="shared" si="87"/>
        <v>#DIV/0!</v>
      </c>
      <c r="BP58" t="s">
        <v>491</v>
      </c>
      <c r="BQ58">
        <v>0</v>
      </c>
      <c r="BR58" t="e">
        <f t="shared" si="88"/>
        <v>#DIV/0!</v>
      </c>
      <c r="BS58" t="e">
        <f t="shared" si="89"/>
        <v>#DIV/0!</v>
      </c>
      <c r="BT58" t="e">
        <f t="shared" si="90"/>
        <v>#DIV/0!</v>
      </c>
      <c r="BU58" t="e">
        <f t="shared" si="91"/>
        <v>#DIV/0!</v>
      </c>
      <c r="BV58">
        <f t="shared" si="92"/>
        <v>0</v>
      </c>
      <c r="BW58">
        <f t="shared" si="93"/>
        <v>1.6222957688684405</v>
      </c>
      <c r="BX58" t="e">
        <f t="shared" si="94"/>
        <v>#DIV/0!</v>
      </c>
      <c r="BY58" t="e">
        <f t="shared" si="95"/>
        <v>#DIV/0!</v>
      </c>
      <c r="BZ58">
        <v>446</v>
      </c>
      <c r="CA58">
        <v>290.00000000000011</v>
      </c>
      <c r="CB58">
        <v>1741.73</v>
      </c>
      <c r="CC58">
        <v>285</v>
      </c>
      <c r="CD58">
        <v>5006.08</v>
      </c>
      <c r="CE58">
        <v>1741.96</v>
      </c>
      <c r="CF58">
        <v>-0.23</v>
      </c>
      <c r="CG58">
        <v>300.00000000000011</v>
      </c>
      <c r="CH58">
        <v>23.9</v>
      </c>
      <c r="CI58">
        <v>1803.42745997682</v>
      </c>
      <c r="CJ58">
        <v>1.22751761882849</v>
      </c>
      <c r="CK58">
        <v>-30.77214180900663</v>
      </c>
      <c r="CL58">
        <v>0.53238065882205976</v>
      </c>
      <c r="CM58">
        <v>0.99168882287166937</v>
      </c>
      <c r="CN58">
        <v>-4.1442874304783144E-3</v>
      </c>
      <c r="CO58">
        <v>289.99999999999989</v>
      </c>
      <c r="CP58">
        <v>1739.3</v>
      </c>
      <c r="CQ58">
        <v>635</v>
      </c>
      <c r="CR58">
        <v>5006.29</v>
      </c>
      <c r="CS58">
        <v>1741.96</v>
      </c>
      <c r="CT58">
        <v>-2.66</v>
      </c>
      <c r="DH58">
        <f t="shared" si="96"/>
        <v>1093.0830005600001</v>
      </c>
      <c r="DI58">
        <f t="shared" si="97"/>
        <v>460.19051416697738</v>
      </c>
      <c r="DJ58">
        <f t="shared" si="98"/>
        <v>0.42100235200000002</v>
      </c>
      <c r="DK58">
        <f t="shared" si="99"/>
        <v>9.9540446879999994E-2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1761684015.349999</v>
      </c>
      <c r="DR58">
        <v>420.30173333333329</v>
      </c>
      <c r="DS58">
        <v>420.00639999999999</v>
      </c>
      <c r="DT58">
        <v>11.80494</v>
      </c>
      <c r="DU58">
        <v>9.9041053333333355</v>
      </c>
      <c r="DV58">
        <v>419.46473333333341</v>
      </c>
      <c r="DW58">
        <v>11.70543</v>
      </c>
      <c r="DX58">
        <v>499.98436666666669</v>
      </c>
      <c r="DY58">
        <v>91.070160000000001</v>
      </c>
      <c r="DZ58">
        <v>1.9741766666666671E-2</v>
      </c>
      <c r="EA58">
        <v>18.477599999999999</v>
      </c>
      <c r="EB58">
        <v>17.981766666666669</v>
      </c>
      <c r="EC58">
        <v>999.9000000000002</v>
      </c>
      <c r="ED58">
        <v>0</v>
      </c>
      <c r="EE58">
        <v>0</v>
      </c>
      <c r="EF58">
        <v>9997.5286666666689</v>
      </c>
      <c r="EG58">
        <v>0</v>
      </c>
      <c r="EH58">
        <v>1093.078</v>
      </c>
      <c r="EI58">
        <v>0.29526666666666668</v>
      </c>
      <c r="EJ58">
        <v>425.32253333333341</v>
      </c>
      <c r="EK58">
        <v>424.20786666666669</v>
      </c>
      <c r="EL58">
        <v>1.900838333333333</v>
      </c>
      <c r="EM58">
        <v>420.00639999999999</v>
      </c>
      <c r="EN58">
        <v>9.9041053333333355</v>
      </c>
      <c r="EO58">
        <v>1.075078</v>
      </c>
      <c r="EP58">
        <v>0.90196833333333315</v>
      </c>
      <c r="EQ58">
        <v>7.9756446666666676</v>
      </c>
      <c r="ER58">
        <v>5.4221853333333323</v>
      </c>
      <c r="ES58">
        <v>5.0005599999999976E-3</v>
      </c>
      <c r="ET58">
        <v>0</v>
      </c>
      <c r="EU58">
        <v>0</v>
      </c>
      <c r="EV58">
        <v>0</v>
      </c>
      <c r="EW58">
        <v>691.83333333333337</v>
      </c>
      <c r="EX58">
        <v>5.0005599999999976E-3</v>
      </c>
      <c r="EY58">
        <v>148.47</v>
      </c>
      <c r="EZ58">
        <v>-1.926666666666667</v>
      </c>
      <c r="FA58">
        <v>33.724666666666657</v>
      </c>
      <c r="FB58">
        <v>39.299733333333307</v>
      </c>
      <c r="FC58">
        <v>36.612200000000001</v>
      </c>
      <c r="FD58">
        <v>38.053999999999988</v>
      </c>
      <c r="FE58">
        <v>36.087200000000003</v>
      </c>
      <c r="FF58">
        <v>0</v>
      </c>
      <c r="FG58">
        <v>0</v>
      </c>
      <c r="FH58">
        <v>0</v>
      </c>
      <c r="FI58">
        <v>113.6000001430511</v>
      </c>
      <c r="FJ58">
        <v>0</v>
      </c>
      <c r="FK58">
        <v>691.77599999999995</v>
      </c>
      <c r="FL58">
        <v>-19.469230981974182</v>
      </c>
      <c r="FM58">
        <v>6.8076931024211573</v>
      </c>
      <c r="FN58">
        <v>147.01599999999999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0.27461012499999998</v>
      </c>
      <c r="GD58">
        <v>0.37872327579737353</v>
      </c>
      <c r="GE58">
        <v>4.2601843988369498E-2</v>
      </c>
      <c r="GF58">
        <v>1</v>
      </c>
      <c r="GG58">
        <v>691.93235294117642</v>
      </c>
      <c r="GH58">
        <v>-0.2154316652364254</v>
      </c>
      <c r="GI58">
        <v>6.0242998415844857</v>
      </c>
      <c r="GJ58">
        <v>1</v>
      </c>
      <c r="GK58">
        <v>1.8995614999999999</v>
      </c>
      <c r="GL58">
        <v>2.3321200750462651E-2</v>
      </c>
      <c r="GM58">
        <v>2.3253758298391099E-3</v>
      </c>
      <c r="GN58">
        <v>1</v>
      </c>
      <c r="GO58">
        <v>3</v>
      </c>
      <c r="GP58">
        <v>3</v>
      </c>
      <c r="GQ58" t="s">
        <v>470</v>
      </c>
      <c r="GR58">
        <v>3.1326399999999999</v>
      </c>
      <c r="GS58">
        <v>2.6976599999999999</v>
      </c>
      <c r="GT58">
        <v>8.7339899999999998E-2</v>
      </c>
      <c r="GU58">
        <v>8.7854199999999993E-2</v>
      </c>
      <c r="GV58">
        <v>6.5468200000000004E-2</v>
      </c>
      <c r="GW58">
        <v>5.7901800000000003E-2</v>
      </c>
      <c r="GX58">
        <v>27767.599999999999</v>
      </c>
      <c r="GY58">
        <v>26756.5</v>
      </c>
      <c r="GZ58">
        <v>30946.3</v>
      </c>
      <c r="HA58">
        <v>29562.6</v>
      </c>
      <c r="HB58">
        <v>39868.199999999997</v>
      </c>
      <c r="HC58">
        <v>36666.1</v>
      </c>
      <c r="HD58">
        <v>47272.3</v>
      </c>
      <c r="HE58">
        <v>43941.3</v>
      </c>
      <c r="HF58">
        <v>1.89438</v>
      </c>
      <c r="HG58">
        <v>1.91265</v>
      </c>
      <c r="HH58">
        <v>-3.50177E-3</v>
      </c>
      <c r="HI58">
        <v>0</v>
      </c>
      <c r="HJ58">
        <v>18.046700000000001</v>
      </c>
      <c r="HK58">
        <v>999.9</v>
      </c>
      <c r="HL58">
        <v>26.5</v>
      </c>
      <c r="HM58">
        <v>30.7</v>
      </c>
      <c r="HN58">
        <v>12.905099999999999</v>
      </c>
      <c r="HO58">
        <v>63.403399999999998</v>
      </c>
      <c r="HP58">
        <v>19.2668</v>
      </c>
      <c r="HQ58">
        <v>1</v>
      </c>
      <c r="HR58">
        <v>-0.27202199999999999</v>
      </c>
      <c r="HS58">
        <v>2.3186499999999999</v>
      </c>
      <c r="HT58">
        <v>20.208200000000001</v>
      </c>
      <c r="HU58">
        <v>5.24125</v>
      </c>
      <c r="HV58">
        <v>11.974</v>
      </c>
      <c r="HW58">
        <v>4.9736500000000001</v>
      </c>
      <c r="HX58">
        <v>3.2909999999999999</v>
      </c>
      <c r="HY58">
        <v>9999</v>
      </c>
      <c r="HZ58">
        <v>9999</v>
      </c>
      <c r="IA58">
        <v>9999</v>
      </c>
      <c r="IB58">
        <v>999.9</v>
      </c>
      <c r="IC58">
        <v>4.9729299999999999</v>
      </c>
      <c r="ID58">
        <v>1.8772200000000001</v>
      </c>
      <c r="IE58">
        <v>1.87531</v>
      </c>
      <c r="IF58">
        <v>1.8780600000000001</v>
      </c>
      <c r="IG58">
        <v>1.8748400000000001</v>
      </c>
      <c r="IH58">
        <v>1.8783700000000001</v>
      </c>
      <c r="II58">
        <v>1.8755200000000001</v>
      </c>
      <c r="IJ58">
        <v>1.8766799999999999</v>
      </c>
      <c r="IK58">
        <v>0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0.83699999999999997</v>
      </c>
      <c r="IY58">
        <v>9.9500000000000005E-2</v>
      </c>
      <c r="IZ58">
        <v>6.1933660764125778E-2</v>
      </c>
      <c r="JA58">
        <v>2.058711587971173E-3</v>
      </c>
      <c r="JB58">
        <v>-6.1309262243104059E-7</v>
      </c>
      <c r="JC58">
        <v>2.6183910446277612E-10</v>
      </c>
      <c r="JD58">
        <v>3.5078820932035488E-4</v>
      </c>
      <c r="JE58">
        <v>-4.3284922736758413E-3</v>
      </c>
      <c r="JF58">
        <v>1.4186339569364E-3</v>
      </c>
      <c r="JG58">
        <v>-2.7770646863349432E-5</v>
      </c>
      <c r="JH58">
        <v>2</v>
      </c>
      <c r="JI58">
        <v>2136</v>
      </c>
      <c r="JJ58">
        <v>1</v>
      </c>
      <c r="JK58">
        <v>19</v>
      </c>
      <c r="JL58">
        <v>29361400.399999999</v>
      </c>
      <c r="JM58">
        <v>29361400.399999999</v>
      </c>
      <c r="JN58">
        <v>1.09863</v>
      </c>
      <c r="JO58">
        <v>2.5354000000000001</v>
      </c>
      <c r="JP58">
        <v>1.39893</v>
      </c>
      <c r="JQ58">
        <v>2.32056</v>
      </c>
      <c r="JR58">
        <v>1.4489700000000001</v>
      </c>
      <c r="JS58">
        <v>2.5390600000000001</v>
      </c>
      <c r="JT58">
        <v>36.340000000000003</v>
      </c>
      <c r="JU58">
        <v>23.938700000000001</v>
      </c>
      <c r="JV58">
        <v>18</v>
      </c>
      <c r="JW58">
        <v>478.84300000000002</v>
      </c>
      <c r="JX58">
        <v>459.339</v>
      </c>
      <c r="JY58">
        <v>15.514799999999999</v>
      </c>
      <c r="JZ58">
        <v>23.502600000000001</v>
      </c>
      <c r="KA58">
        <v>30.0002</v>
      </c>
      <c r="KB58">
        <v>23.2822</v>
      </c>
      <c r="KC58">
        <v>23.365400000000001</v>
      </c>
      <c r="KD58">
        <v>22.034700000000001</v>
      </c>
      <c r="KE58">
        <v>17.092300000000002</v>
      </c>
      <c r="KF58">
        <v>23.7713</v>
      </c>
      <c r="KG58">
        <v>15.517300000000001</v>
      </c>
      <c r="KH58">
        <v>420</v>
      </c>
      <c r="KI58">
        <v>9.8842999999999996</v>
      </c>
      <c r="KJ58">
        <v>102.217</v>
      </c>
      <c r="KK58">
        <v>101.06</v>
      </c>
    </row>
    <row r="59" spans="1:297" x14ac:dyDescent="0.3">
      <c r="A59">
        <v>43</v>
      </c>
      <c r="B59">
        <v>1761685547.5</v>
      </c>
      <c r="C59">
        <v>8097.5</v>
      </c>
      <c r="D59" t="s">
        <v>613</v>
      </c>
      <c r="E59" t="s">
        <v>614</v>
      </c>
      <c r="F59">
        <v>5</v>
      </c>
      <c r="G59" t="s">
        <v>615</v>
      </c>
      <c r="H59" t="s">
        <v>436</v>
      </c>
      <c r="I59">
        <v>1761685539.5</v>
      </c>
      <c r="J59">
        <f t="shared" si="50"/>
        <v>1.126024832005149E-3</v>
      </c>
      <c r="K59">
        <f t="shared" si="51"/>
        <v>1.1260248320051489</v>
      </c>
      <c r="L59">
        <f t="shared" si="52"/>
        <v>6.756080135427827</v>
      </c>
      <c r="M59">
        <f t="shared" si="53"/>
        <v>411.38454838709691</v>
      </c>
      <c r="N59">
        <f t="shared" si="54"/>
        <v>187.90540212721731</v>
      </c>
      <c r="O59">
        <f t="shared" si="55"/>
        <v>17.124214778534729</v>
      </c>
      <c r="P59">
        <f t="shared" si="56"/>
        <v>37.490339731593984</v>
      </c>
      <c r="Q59">
        <f t="shared" si="57"/>
        <v>5.1232599745368389E-2</v>
      </c>
      <c r="R59">
        <f t="shared" si="58"/>
        <v>2.7685880297369083</v>
      </c>
      <c r="S59">
        <f t="shared" si="59"/>
        <v>5.0711681997154527E-2</v>
      </c>
      <c r="T59">
        <f t="shared" si="60"/>
        <v>3.1741162148991184E-2</v>
      </c>
      <c r="U59">
        <f t="shared" si="61"/>
        <v>544.42715177742457</v>
      </c>
      <c r="V59">
        <f t="shared" si="62"/>
        <v>26.099544050987909</v>
      </c>
      <c r="W59">
        <f t="shared" si="63"/>
        <v>26.099544050987909</v>
      </c>
      <c r="X59">
        <f t="shared" si="64"/>
        <v>3.394185199604427</v>
      </c>
      <c r="Y59">
        <f t="shared" si="65"/>
        <v>50.458581729757846</v>
      </c>
      <c r="Z59">
        <f t="shared" si="66"/>
        <v>1.4241413902637963</v>
      </c>
      <c r="AA59">
        <f t="shared" si="67"/>
        <v>2.8223967885009178</v>
      </c>
      <c r="AB59">
        <f t="shared" si="68"/>
        <v>1.9700438093406307</v>
      </c>
      <c r="AC59">
        <f t="shared" si="69"/>
        <v>-49.657695091427072</v>
      </c>
      <c r="AD59">
        <f t="shared" si="70"/>
        <v>-460.29974135228673</v>
      </c>
      <c r="AE59">
        <f t="shared" si="71"/>
        <v>-35.012121838177045</v>
      </c>
      <c r="AF59">
        <f t="shared" si="72"/>
        <v>-0.54240650446627114</v>
      </c>
      <c r="AG59">
        <f t="shared" si="73"/>
        <v>6.7078413024557415</v>
      </c>
      <c r="AH59">
        <f t="shared" si="74"/>
        <v>1.1831387382516747</v>
      </c>
      <c r="AI59">
        <f t="shared" si="75"/>
        <v>6.756080135427827</v>
      </c>
      <c r="AJ59">
        <v>426.09673095263531</v>
      </c>
      <c r="AK59">
        <v>417.86920606060602</v>
      </c>
      <c r="AL59">
        <v>6.8278277949528933E-4</v>
      </c>
      <c r="AM59">
        <v>65.071113291080977</v>
      </c>
      <c r="AN59">
        <f t="shared" si="76"/>
        <v>1.1260248320051489</v>
      </c>
      <c r="AO59">
        <v>14.198503433724589</v>
      </c>
      <c r="AP59">
        <v>15.579789510489521</v>
      </c>
      <c r="AQ59">
        <v>-7.1391963402356864E-3</v>
      </c>
      <c r="AR59">
        <v>96.775966201886661</v>
      </c>
      <c r="AS59">
        <v>2</v>
      </c>
      <c r="AT59">
        <v>0</v>
      </c>
      <c r="AU59">
        <f t="shared" si="77"/>
        <v>1</v>
      </c>
      <c r="AV59">
        <f t="shared" si="78"/>
        <v>0</v>
      </c>
      <c r="AW59">
        <f t="shared" si="79"/>
        <v>48816.593144253886</v>
      </c>
      <c r="AX59" t="s">
        <v>612</v>
      </c>
      <c r="AY59">
        <v>5006.08</v>
      </c>
      <c r="AZ59">
        <v>691.77599999999995</v>
      </c>
      <c r="BA59">
        <v>1803.42745997682</v>
      </c>
      <c r="BB59">
        <f t="shared" si="80"/>
        <v>0.61641040998184005</v>
      </c>
      <c r="BC59">
        <v>-0.98055102247034764</v>
      </c>
      <c r="BD59" t="s">
        <v>616</v>
      </c>
      <c r="BE59">
        <v>5037.12</v>
      </c>
      <c r="BF59">
        <v>1442.804615384616</v>
      </c>
      <c r="BG59">
        <v>1571.1406238653931</v>
      </c>
      <c r="BH59">
        <f t="shared" si="81"/>
        <v>8.1683336635417714E-2</v>
      </c>
      <c r="BI59">
        <v>0.5</v>
      </c>
      <c r="BJ59">
        <f t="shared" si="82"/>
        <v>2538.5043744375762</v>
      </c>
      <c r="BK59">
        <f t="shared" si="83"/>
        <v>6.756080135427827</v>
      </c>
      <c r="BL59">
        <f t="shared" si="84"/>
        <v>103.6767536838325</v>
      </c>
      <c r="BM59">
        <f t="shared" si="85"/>
        <v>3.0477123600042171E-3</v>
      </c>
      <c r="BN59">
        <f t="shared" si="86"/>
        <v>0.14784598691105327</v>
      </c>
      <c r="BO59">
        <f t="shared" si="87"/>
        <v>654.64940416862203</v>
      </c>
      <c r="BP59" t="s">
        <v>617</v>
      </c>
      <c r="BQ59">
        <v>759.53</v>
      </c>
      <c r="BR59">
        <f t="shared" si="88"/>
        <v>759.53</v>
      </c>
      <c r="BS59">
        <f t="shared" si="89"/>
        <v>0.51657414462916185</v>
      </c>
      <c r="BT59">
        <f t="shared" si="90"/>
        <v>0.15812509682236714</v>
      </c>
      <c r="BU59">
        <f t="shared" si="91"/>
        <v>0.22251882490123592</v>
      </c>
      <c r="BV59">
        <f t="shared" si="92"/>
        <v>0.14594174588995276</v>
      </c>
      <c r="BW59">
        <f t="shared" si="93"/>
        <v>0.20895653401675965</v>
      </c>
      <c r="BX59">
        <f t="shared" si="94"/>
        <v>8.3241177293764498E-2</v>
      </c>
      <c r="BY59">
        <f t="shared" si="95"/>
        <v>0.91675882270623554</v>
      </c>
      <c r="BZ59">
        <v>447</v>
      </c>
      <c r="CA59">
        <v>290.00000000000011</v>
      </c>
      <c r="CB59">
        <v>1514.75</v>
      </c>
      <c r="CC59">
        <v>65</v>
      </c>
      <c r="CD59">
        <v>5037.12</v>
      </c>
      <c r="CE59">
        <v>1513.27</v>
      </c>
      <c r="CF59">
        <v>1.48</v>
      </c>
      <c r="CG59">
        <v>300.00000000000011</v>
      </c>
      <c r="CH59">
        <v>24</v>
      </c>
      <c r="CI59">
        <v>1571.1406238653931</v>
      </c>
      <c r="CJ59">
        <v>2.300118334115123</v>
      </c>
      <c r="CK59">
        <v>-29.147843697626911</v>
      </c>
      <c r="CL59">
        <v>1.067226064664226</v>
      </c>
      <c r="CM59">
        <v>0.96382117341768747</v>
      </c>
      <c r="CN59">
        <v>-2.5189483870967748E-3</v>
      </c>
      <c r="CO59">
        <v>289.99999999999989</v>
      </c>
      <c r="CP59">
        <v>1511.38</v>
      </c>
      <c r="CQ59">
        <v>775</v>
      </c>
      <c r="CR59">
        <v>5034.51</v>
      </c>
      <c r="CS59">
        <v>1513.24</v>
      </c>
      <c r="CT59">
        <v>-1.86</v>
      </c>
      <c r="DH59">
        <f t="shared" si="96"/>
        <v>3094.6074193548393</v>
      </c>
      <c r="DI59">
        <f t="shared" si="97"/>
        <v>2538.5043744375762</v>
      </c>
      <c r="DJ59">
        <f t="shared" si="98"/>
        <v>0.82029932409546191</v>
      </c>
      <c r="DK59">
        <f t="shared" si="99"/>
        <v>0.17592769550424145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1761685539.5</v>
      </c>
      <c r="DR59">
        <v>411.38454838709691</v>
      </c>
      <c r="DS59">
        <v>420.01793548387087</v>
      </c>
      <c r="DT59">
        <v>15.62721935483871</v>
      </c>
      <c r="DU59">
        <v>14.22965483870968</v>
      </c>
      <c r="DV59">
        <v>410.56264516129028</v>
      </c>
      <c r="DW59">
        <v>15.45739032258065</v>
      </c>
      <c r="DX59">
        <v>500.00535483870959</v>
      </c>
      <c r="DY59">
        <v>91.099035483870949</v>
      </c>
      <c r="DZ59">
        <v>3.3069206451612897E-2</v>
      </c>
      <c r="EA59">
        <v>23.015667741935481</v>
      </c>
      <c r="EB59">
        <v>24.00853225806452</v>
      </c>
      <c r="EC59">
        <v>999.90000000000032</v>
      </c>
      <c r="ED59">
        <v>0</v>
      </c>
      <c r="EE59">
        <v>0</v>
      </c>
      <c r="EF59">
        <v>9999.4938709677444</v>
      </c>
      <c r="EG59">
        <v>0</v>
      </c>
      <c r="EH59">
        <v>1094.6019354838711</v>
      </c>
      <c r="EI59">
        <v>-8.633322903225805</v>
      </c>
      <c r="EJ59">
        <v>417.91538709677423</v>
      </c>
      <c r="EK59">
        <v>426.08087096774187</v>
      </c>
      <c r="EL59">
        <v>1.3975683870967739</v>
      </c>
      <c r="EM59">
        <v>420.01793548387087</v>
      </c>
      <c r="EN59">
        <v>14.22965483870968</v>
      </c>
      <c r="EO59">
        <v>1.423624838709677</v>
      </c>
      <c r="EP59">
        <v>1.296307741935484</v>
      </c>
      <c r="EQ59">
        <v>12.171619354838709</v>
      </c>
      <c r="ER59">
        <v>10.756093548387099</v>
      </c>
      <c r="ES59">
        <v>2000.005483870968</v>
      </c>
      <c r="ET59">
        <v>0.97999400000000036</v>
      </c>
      <c r="EU59">
        <v>2.0006300000000012E-2</v>
      </c>
      <c r="EV59">
        <v>0</v>
      </c>
      <c r="EW59">
        <v>1442.8754838709681</v>
      </c>
      <c r="EX59">
        <v>5.0005600000000019</v>
      </c>
      <c r="EY59">
        <v>28930.583870967741</v>
      </c>
      <c r="EZ59">
        <v>17294.880645161291</v>
      </c>
      <c r="FA59">
        <v>39.886999999999993</v>
      </c>
      <c r="FB59">
        <v>40.799999999999983</v>
      </c>
      <c r="FC59">
        <v>39.875</v>
      </c>
      <c r="FD59">
        <v>39.686999999999983</v>
      </c>
      <c r="FE59">
        <v>40.25</v>
      </c>
      <c r="FF59">
        <v>1955.095483870967</v>
      </c>
      <c r="FG59">
        <v>39.910000000000011</v>
      </c>
      <c r="FH59">
        <v>0</v>
      </c>
      <c r="FI59">
        <v>1523.7999999523161</v>
      </c>
      <c r="FJ59">
        <v>0</v>
      </c>
      <c r="FK59">
        <v>1442.804615384616</v>
      </c>
      <c r="FL59">
        <v>-8.2529914441530714</v>
      </c>
      <c r="FM59">
        <v>-114.7555554197836</v>
      </c>
      <c r="FN59">
        <v>28929.653846153851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-8.6317329268292688</v>
      </c>
      <c r="GD59">
        <v>-0.19897944250872571</v>
      </c>
      <c r="GE59">
        <v>4.3568147362544572E-2</v>
      </c>
      <c r="GF59">
        <v>1</v>
      </c>
      <c r="GG59">
        <v>1443.1552941176469</v>
      </c>
      <c r="GH59">
        <v>-7.1046600420154924</v>
      </c>
      <c r="GI59">
        <v>0.73558394288091078</v>
      </c>
      <c r="GJ59">
        <v>0</v>
      </c>
      <c r="GK59">
        <v>1.3802287804878051</v>
      </c>
      <c r="GL59">
        <v>0.26970397212543412</v>
      </c>
      <c r="GM59">
        <v>3.3353875863205998E-2</v>
      </c>
      <c r="GN59">
        <v>0</v>
      </c>
      <c r="GO59">
        <v>1</v>
      </c>
      <c r="GP59">
        <v>3</v>
      </c>
      <c r="GQ59" t="s">
        <v>442</v>
      </c>
      <c r="GR59">
        <v>3.1299199999999998</v>
      </c>
      <c r="GS59">
        <v>2.7107100000000002</v>
      </c>
      <c r="GT59">
        <v>8.5262599999999994E-2</v>
      </c>
      <c r="GU59">
        <v>8.7203600000000006E-2</v>
      </c>
      <c r="GV59">
        <v>7.95434E-2</v>
      </c>
      <c r="GW59">
        <v>7.5004799999999996E-2</v>
      </c>
      <c r="GX59">
        <v>27559.1</v>
      </c>
      <c r="GY59">
        <v>26567.7</v>
      </c>
      <c r="GZ59">
        <v>30663.8</v>
      </c>
      <c r="HA59">
        <v>29352.6</v>
      </c>
      <c r="HB59">
        <v>38930.699999999997</v>
      </c>
      <c r="HC59">
        <v>35740.300000000003</v>
      </c>
      <c r="HD59">
        <v>46873.5</v>
      </c>
      <c r="HE59">
        <v>43630.3</v>
      </c>
      <c r="HF59">
        <v>1.84918</v>
      </c>
      <c r="HG59">
        <v>1.8779999999999999</v>
      </c>
      <c r="HH59">
        <v>7.1085999999999996E-2</v>
      </c>
      <c r="HI59">
        <v>0</v>
      </c>
      <c r="HJ59">
        <v>22.83</v>
      </c>
      <c r="HK59">
        <v>999.9</v>
      </c>
      <c r="HL59">
        <v>37.200000000000003</v>
      </c>
      <c r="HM59">
        <v>30.3</v>
      </c>
      <c r="HN59">
        <v>17.699300000000001</v>
      </c>
      <c r="HO59">
        <v>63.613399999999999</v>
      </c>
      <c r="HP59">
        <v>18.461500000000001</v>
      </c>
      <c r="HQ59">
        <v>1</v>
      </c>
      <c r="HR59">
        <v>4.37805E-2</v>
      </c>
      <c r="HS59">
        <v>4.3710000000000004</v>
      </c>
      <c r="HT59">
        <v>20.1523</v>
      </c>
      <c r="HU59">
        <v>5.2389999999999999</v>
      </c>
      <c r="HV59">
        <v>11.974600000000001</v>
      </c>
      <c r="HW59">
        <v>4.97295</v>
      </c>
      <c r="HX59">
        <v>3.2909999999999999</v>
      </c>
      <c r="HY59">
        <v>9999</v>
      </c>
      <c r="HZ59">
        <v>9999</v>
      </c>
      <c r="IA59">
        <v>9999</v>
      </c>
      <c r="IB59">
        <v>999.9</v>
      </c>
      <c r="IC59">
        <v>4.9729099999999997</v>
      </c>
      <c r="ID59">
        <v>1.8771599999999999</v>
      </c>
      <c r="IE59">
        <v>1.8752500000000001</v>
      </c>
      <c r="IF59">
        <v>1.87805</v>
      </c>
      <c r="IG59">
        <v>1.87476</v>
      </c>
      <c r="IH59">
        <v>1.8783700000000001</v>
      </c>
      <c r="II59">
        <v>1.8754900000000001</v>
      </c>
      <c r="IJ59">
        <v>1.8766799999999999</v>
      </c>
      <c r="IK59">
        <v>0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0.82199999999999995</v>
      </c>
      <c r="IY59">
        <v>0.16880000000000001</v>
      </c>
      <c r="IZ59">
        <v>6.1933660764125778E-2</v>
      </c>
      <c r="JA59">
        <v>2.058711587971173E-3</v>
      </c>
      <c r="JB59">
        <v>-6.1309262243104059E-7</v>
      </c>
      <c r="JC59">
        <v>2.6183910446277612E-10</v>
      </c>
      <c r="JD59">
        <v>3.5078820932035488E-4</v>
      </c>
      <c r="JE59">
        <v>-4.3284922736758413E-3</v>
      </c>
      <c r="JF59">
        <v>1.4186339569364E-3</v>
      </c>
      <c r="JG59">
        <v>-2.7770646863349432E-5</v>
      </c>
      <c r="JH59">
        <v>2</v>
      </c>
      <c r="JI59">
        <v>2136</v>
      </c>
      <c r="JJ59">
        <v>1</v>
      </c>
      <c r="JK59">
        <v>19</v>
      </c>
      <c r="JL59">
        <v>29361425.800000001</v>
      </c>
      <c r="JM59">
        <v>29361425.800000001</v>
      </c>
      <c r="JN59">
        <v>1.1071800000000001</v>
      </c>
      <c r="JO59">
        <v>2.5402800000000001</v>
      </c>
      <c r="JP59">
        <v>1.39893</v>
      </c>
      <c r="JQ59">
        <v>2.32544</v>
      </c>
      <c r="JR59">
        <v>1.4489700000000001</v>
      </c>
      <c r="JS59">
        <v>2.6049799999999999</v>
      </c>
      <c r="JT59">
        <v>36.058199999999999</v>
      </c>
      <c r="JU59">
        <v>23.833600000000001</v>
      </c>
      <c r="JV59">
        <v>18</v>
      </c>
      <c r="JW59">
        <v>477.76499999999999</v>
      </c>
      <c r="JX59">
        <v>464.55200000000002</v>
      </c>
      <c r="JY59">
        <v>17.711200000000002</v>
      </c>
      <c r="JZ59">
        <v>27.459599999999998</v>
      </c>
      <c r="KA59">
        <v>30.001999999999999</v>
      </c>
      <c r="KB59">
        <v>26.605599999999999</v>
      </c>
      <c r="KC59">
        <v>26.589300000000001</v>
      </c>
      <c r="KD59">
        <v>22.1953</v>
      </c>
      <c r="KE59">
        <v>25.970300000000002</v>
      </c>
      <c r="KF59">
        <v>59.892699999999998</v>
      </c>
      <c r="KG59">
        <v>17.6813</v>
      </c>
      <c r="KH59">
        <v>420</v>
      </c>
      <c r="KI59">
        <v>14.1532</v>
      </c>
      <c r="KJ59">
        <v>101.327</v>
      </c>
      <c r="KK59">
        <v>100.34399999999999</v>
      </c>
    </row>
    <row r="60" spans="1:297" x14ac:dyDescent="0.3">
      <c r="A60">
        <v>44</v>
      </c>
      <c r="B60">
        <v>1761685677</v>
      </c>
      <c r="C60">
        <v>8227</v>
      </c>
      <c r="D60" t="s">
        <v>618</v>
      </c>
      <c r="E60" t="s">
        <v>619</v>
      </c>
      <c r="F60">
        <v>5</v>
      </c>
      <c r="G60" t="s">
        <v>615</v>
      </c>
      <c r="H60" t="s">
        <v>436</v>
      </c>
      <c r="I60">
        <v>1761685669.25</v>
      </c>
      <c r="J60">
        <f t="shared" si="50"/>
        <v>1.1715446104289824E-3</v>
      </c>
      <c r="K60">
        <f t="shared" si="51"/>
        <v>1.1715446104289824</v>
      </c>
      <c r="L60">
        <f t="shared" si="52"/>
        <v>6.9456227662855365</v>
      </c>
      <c r="M60">
        <f t="shared" si="53"/>
        <v>411.10739999999998</v>
      </c>
      <c r="N60">
        <f t="shared" si="54"/>
        <v>192.54621020845568</v>
      </c>
      <c r="O60">
        <f t="shared" si="55"/>
        <v>17.55081090060467</v>
      </c>
      <c r="P60">
        <f t="shared" si="56"/>
        <v>37.472917433315367</v>
      </c>
      <c r="Q60">
        <f t="shared" si="57"/>
        <v>5.3929459576981906E-2</v>
      </c>
      <c r="R60">
        <f t="shared" si="58"/>
        <v>2.7688939782332547</v>
      </c>
      <c r="S60">
        <f t="shared" si="59"/>
        <v>5.335265276834792E-2</v>
      </c>
      <c r="T60">
        <f t="shared" si="60"/>
        <v>3.3396717596798083E-2</v>
      </c>
      <c r="U60">
        <f t="shared" si="61"/>
        <v>509.34878240781154</v>
      </c>
      <c r="V60">
        <f t="shared" si="62"/>
        <v>26.052722880270537</v>
      </c>
      <c r="W60">
        <f t="shared" si="63"/>
        <v>26.052722880270537</v>
      </c>
      <c r="X60">
        <f t="shared" si="64"/>
        <v>3.3847997574433593</v>
      </c>
      <c r="Y60">
        <f t="shared" si="65"/>
        <v>50.319237188807087</v>
      </c>
      <c r="Z60">
        <f t="shared" si="66"/>
        <v>1.4361871357236207</v>
      </c>
      <c r="AA60">
        <f t="shared" si="67"/>
        <v>2.8541512470365578</v>
      </c>
      <c r="AB60">
        <f t="shared" si="68"/>
        <v>1.9486126217197386</v>
      </c>
      <c r="AC60">
        <f t="shared" si="69"/>
        <v>-51.665117319918124</v>
      </c>
      <c r="AD60">
        <f t="shared" si="70"/>
        <v>-425.74528924100815</v>
      </c>
      <c r="AE60">
        <f t="shared" si="71"/>
        <v>-32.402636327374182</v>
      </c>
      <c r="AF60">
        <f t="shared" si="72"/>
        <v>-0.46426048048891744</v>
      </c>
      <c r="AG60">
        <f t="shared" si="73"/>
        <v>6.9492962703032966</v>
      </c>
      <c r="AH60">
        <f t="shared" si="74"/>
        <v>1.1750112750395747</v>
      </c>
      <c r="AI60">
        <f t="shared" si="75"/>
        <v>6.9456227662855365</v>
      </c>
      <c r="AJ60">
        <v>426.16434513381068</v>
      </c>
      <c r="AK60">
        <v>417.70759999999979</v>
      </c>
      <c r="AL60">
        <v>1.205705312117373E-4</v>
      </c>
      <c r="AM60">
        <v>65.071113291080977</v>
      </c>
      <c r="AN60">
        <f t="shared" si="76"/>
        <v>1.1715446104289824</v>
      </c>
      <c r="AO60">
        <v>14.3529764252233</v>
      </c>
      <c r="AP60">
        <v>15.73874615384616</v>
      </c>
      <c r="AQ60">
        <v>-2.87299088628904E-4</v>
      </c>
      <c r="AR60">
        <v>96.775966201886661</v>
      </c>
      <c r="AS60">
        <v>2</v>
      </c>
      <c r="AT60">
        <v>0</v>
      </c>
      <c r="AU60">
        <f t="shared" si="77"/>
        <v>1</v>
      </c>
      <c r="AV60">
        <f t="shared" si="78"/>
        <v>0</v>
      </c>
      <c r="AW60">
        <f t="shared" si="79"/>
        <v>48794.933448965654</v>
      </c>
      <c r="AX60" t="s">
        <v>612</v>
      </c>
      <c r="AY60">
        <v>5006.08</v>
      </c>
      <c r="AZ60">
        <v>691.77599999999995</v>
      </c>
      <c r="BA60">
        <v>1803.42745997682</v>
      </c>
      <c r="BB60">
        <f t="shared" si="80"/>
        <v>0.61641040998184005</v>
      </c>
      <c r="BC60">
        <v>-0.98055102247034764</v>
      </c>
      <c r="BD60" t="s">
        <v>620</v>
      </c>
      <c r="BE60">
        <v>5035.82</v>
      </c>
      <c r="BF60">
        <v>1421.3284615384621</v>
      </c>
      <c r="BG60">
        <v>1563.4303425438</v>
      </c>
      <c r="BH60">
        <f t="shared" si="81"/>
        <v>9.0891085543426953E-2</v>
      </c>
      <c r="BI60">
        <v>0.5</v>
      </c>
      <c r="BJ60">
        <f t="shared" si="82"/>
        <v>2374.2532811698516</v>
      </c>
      <c r="BK60">
        <f t="shared" si="83"/>
        <v>6.9456227662855365</v>
      </c>
      <c r="BL60">
        <f t="shared" si="84"/>
        <v>107.89922904028555</v>
      </c>
      <c r="BM60">
        <f t="shared" si="85"/>
        <v>3.3383859471178526E-3</v>
      </c>
      <c r="BN60">
        <f t="shared" si="86"/>
        <v>0.15350675428399937</v>
      </c>
      <c r="BO60">
        <f t="shared" si="87"/>
        <v>653.3069400752006</v>
      </c>
      <c r="BP60" t="s">
        <v>621</v>
      </c>
      <c r="BQ60">
        <v>751</v>
      </c>
      <c r="BR60">
        <f t="shared" si="88"/>
        <v>751</v>
      </c>
      <c r="BS60">
        <f t="shared" si="89"/>
        <v>0.51964601200071658</v>
      </c>
      <c r="BT60">
        <f t="shared" si="90"/>
        <v>0.17490961817157494</v>
      </c>
      <c r="BU60">
        <f t="shared" si="91"/>
        <v>0.22804148177424607</v>
      </c>
      <c r="BV60">
        <f t="shared" si="92"/>
        <v>0.16302549539377459</v>
      </c>
      <c r="BW60">
        <f t="shared" si="93"/>
        <v>0.21589241419070726</v>
      </c>
      <c r="BX60">
        <f t="shared" si="94"/>
        <v>9.2418555458089066E-2</v>
      </c>
      <c r="BY60">
        <f t="shared" si="95"/>
        <v>0.90758144454191092</v>
      </c>
      <c r="BZ60">
        <v>449</v>
      </c>
      <c r="CA60">
        <v>290.00000000000011</v>
      </c>
      <c r="CB60">
        <v>1505.76</v>
      </c>
      <c r="CC60">
        <v>165</v>
      </c>
      <c r="CD60">
        <v>5035.82</v>
      </c>
      <c r="CE60">
        <v>1504.73</v>
      </c>
      <c r="CF60">
        <v>1.03</v>
      </c>
      <c r="CG60">
        <v>300.00000000000011</v>
      </c>
      <c r="CH60">
        <v>23.9</v>
      </c>
      <c r="CI60">
        <v>1563.4303425438</v>
      </c>
      <c r="CJ60">
        <v>1.576743716325387</v>
      </c>
      <c r="CK60">
        <v>-29.559928060265619</v>
      </c>
      <c r="CL60">
        <v>0.72733016517283611</v>
      </c>
      <c r="CM60">
        <v>0.98333082376239656</v>
      </c>
      <c r="CN60">
        <v>-2.6842133481646312E-3</v>
      </c>
      <c r="CO60">
        <v>289.99999999999989</v>
      </c>
      <c r="CP60">
        <v>1502.8</v>
      </c>
      <c r="CQ60">
        <v>625</v>
      </c>
      <c r="CR60">
        <v>5035.18</v>
      </c>
      <c r="CS60">
        <v>1504.72</v>
      </c>
      <c r="CT60">
        <v>-1.92</v>
      </c>
      <c r="DH60">
        <f t="shared" si="96"/>
        <v>2894.2690000000011</v>
      </c>
      <c r="DI60">
        <f t="shared" si="97"/>
        <v>2374.2532811698516</v>
      </c>
      <c r="DJ60">
        <f t="shared" si="98"/>
        <v>0.82032916814914247</v>
      </c>
      <c r="DK60">
        <f t="shared" si="99"/>
        <v>0.17598529452784498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1761685669.25</v>
      </c>
      <c r="DR60">
        <v>411.10739999999998</v>
      </c>
      <c r="DS60">
        <v>420.02613333333329</v>
      </c>
      <c r="DT60">
        <v>15.75610333333333</v>
      </c>
      <c r="DU60">
        <v>14.368320000000001</v>
      </c>
      <c r="DV60">
        <v>410.28586666666672</v>
      </c>
      <c r="DW60">
        <v>15.583780000000001</v>
      </c>
      <c r="DX60">
        <v>500.00500000000011</v>
      </c>
      <c r="DY60">
        <v>91.116533333333336</v>
      </c>
      <c r="DZ60">
        <v>3.4629193333333343E-2</v>
      </c>
      <c r="EA60">
        <v>23.20066666666667</v>
      </c>
      <c r="EB60">
        <v>24.01821</v>
      </c>
      <c r="EC60">
        <v>999.9000000000002</v>
      </c>
      <c r="ED60">
        <v>0</v>
      </c>
      <c r="EE60">
        <v>0</v>
      </c>
      <c r="EF60">
        <v>9999.378333333334</v>
      </c>
      <c r="EG60">
        <v>0</v>
      </c>
      <c r="EH60">
        <v>1094.2776666666671</v>
      </c>
      <c r="EI60">
        <v>-8.9186713333333323</v>
      </c>
      <c r="EJ60">
        <v>417.68859999999989</v>
      </c>
      <c r="EK60">
        <v>426.14909999999998</v>
      </c>
      <c r="EL60">
        <v>1.387779000000001</v>
      </c>
      <c r="EM60">
        <v>420.02613333333329</v>
      </c>
      <c r="EN60">
        <v>14.368320000000001</v>
      </c>
      <c r="EO60">
        <v>1.435639666666666</v>
      </c>
      <c r="EP60">
        <v>1.3091906666666671</v>
      </c>
      <c r="EQ60">
        <v>12.29940666666667</v>
      </c>
      <c r="ER60">
        <v>10.90476</v>
      </c>
      <c r="ES60">
        <v>1799.9913333333341</v>
      </c>
      <c r="ET60">
        <v>0.97799479999999972</v>
      </c>
      <c r="EU60">
        <v>2.200539E-2</v>
      </c>
      <c r="EV60">
        <v>0</v>
      </c>
      <c r="EW60">
        <v>1421.319666666667</v>
      </c>
      <c r="EX60">
        <v>5.0005600000000019</v>
      </c>
      <c r="EY60">
        <v>25640.743333333328</v>
      </c>
      <c r="EZ60">
        <v>15551.053333333341</v>
      </c>
      <c r="FA60">
        <v>39.780999999999977</v>
      </c>
      <c r="FB60">
        <v>40.875</v>
      </c>
      <c r="FC60">
        <v>39.936999999999983</v>
      </c>
      <c r="FD60">
        <v>39.758266666666657</v>
      </c>
      <c r="FE60">
        <v>40.25</v>
      </c>
      <c r="FF60">
        <v>1755.4913333333341</v>
      </c>
      <c r="FG60">
        <v>39.5</v>
      </c>
      <c r="FH60">
        <v>0</v>
      </c>
      <c r="FI60">
        <v>127.4000000953674</v>
      </c>
      <c r="FJ60">
        <v>0</v>
      </c>
      <c r="FK60">
        <v>1421.3284615384621</v>
      </c>
      <c r="FL60">
        <v>-6.1709401612301669</v>
      </c>
      <c r="FM60">
        <v>-103.9145299093219</v>
      </c>
      <c r="FN60">
        <v>25640.619230769229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-8.8913046341463406</v>
      </c>
      <c r="GD60">
        <v>-0.45191331010454278</v>
      </c>
      <c r="GE60">
        <v>5.6887164787402397E-2</v>
      </c>
      <c r="GF60">
        <v>1</v>
      </c>
      <c r="GG60">
        <v>1421.6838235294119</v>
      </c>
      <c r="GH60">
        <v>-6.3356760828203589</v>
      </c>
      <c r="GI60">
        <v>0.68398922723664413</v>
      </c>
      <c r="GJ60">
        <v>0</v>
      </c>
      <c r="GK60">
        <v>1.371232926829268</v>
      </c>
      <c r="GL60">
        <v>0.30524655052264899</v>
      </c>
      <c r="GM60">
        <v>3.040699327809572E-2</v>
      </c>
      <c r="GN60">
        <v>0</v>
      </c>
      <c r="GO60">
        <v>1</v>
      </c>
      <c r="GP60">
        <v>3</v>
      </c>
      <c r="GQ60" t="s">
        <v>442</v>
      </c>
      <c r="GR60">
        <v>3.1297199999999998</v>
      </c>
      <c r="GS60">
        <v>2.7125499999999998</v>
      </c>
      <c r="GT60">
        <v>8.5150000000000003E-2</v>
      </c>
      <c r="GU60">
        <v>8.7127099999999999E-2</v>
      </c>
      <c r="GV60">
        <v>8.0053200000000005E-2</v>
      </c>
      <c r="GW60">
        <v>7.5393799999999997E-2</v>
      </c>
      <c r="GX60">
        <v>27541.3</v>
      </c>
      <c r="GY60">
        <v>26553.9</v>
      </c>
      <c r="GZ60">
        <v>30642</v>
      </c>
      <c r="HA60">
        <v>29336.5</v>
      </c>
      <c r="HB60">
        <v>38884.1</v>
      </c>
      <c r="HC60">
        <v>35706.300000000003</v>
      </c>
      <c r="HD60">
        <v>46843.199999999997</v>
      </c>
      <c r="HE60">
        <v>43606.8</v>
      </c>
      <c r="HF60">
        <v>1.8448500000000001</v>
      </c>
      <c r="HG60">
        <v>1.87442</v>
      </c>
      <c r="HH60">
        <v>7.1674600000000005E-2</v>
      </c>
      <c r="HI60">
        <v>0</v>
      </c>
      <c r="HJ60">
        <v>22.802499999999998</v>
      </c>
      <c r="HK60">
        <v>999.9</v>
      </c>
      <c r="HL60">
        <v>37.200000000000003</v>
      </c>
      <c r="HM60">
        <v>30.3</v>
      </c>
      <c r="HN60">
        <v>17.6967</v>
      </c>
      <c r="HO60">
        <v>63.513399999999997</v>
      </c>
      <c r="HP60">
        <v>18.237200000000001</v>
      </c>
      <c r="HQ60">
        <v>1</v>
      </c>
      <c r="HR60">
        <v>6.6654000000000005E-2</v>
      </c>
      <c r="HS60">
        <v>3.8627899999999999</v>
      </c>
      <c r="HT60">
        <v>20.166</v>
      </c>
      <c r="HU60">
        <v>5.2394499999999997</v>
      </c>
      <c r="HV60">
        <v>11.9742</v>
      </c>
      <c r="HW60">
        <v>4.9732500000000002</v>
      </c>
      <c r="HX60">
        <v>3.2909999999999999</v>
      </c>
      <c r="HY60">
        <v>9999</v>
      </c>
      <c r="HZ60">
        <v>9999</v>
      </c>
      <c r="IA60">
        <v>9999</v>
      </c>
      <c r="IB60">
        <v>999.9</v>
      </c>
      <c r="IC60">
        <v>4.9729099999999997</v>
      </c>
      <c r="ID60">
        <v>1.87714</v>
      </c>
      <c r="IE60">
        <v>1.8752899999999999</v>
      </c>
      <c r="IF60">
        <v>1.8780600000000001</v>
      </c>
      <c r="IG60">
        <v>1.87477</v>
      </c>
      <c r="IH60">
        <v>1.87836</v>
      </c>
      <c r="II60">
        <v>1.8754599999999999</v>
      </c>
      <c r="IJ60">
        <v>1.8766499999999999</v>
      </c>
      <c r="IK60">
        <v>0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0.82099999999999995</v>
      </c>
      <c r="IY60">
        <v>0.1719</v>
      </c>
      <c r="IZ60">
        <v>6.1933660764125778E-2</v>
      </c>
      <c r="JA60">
        <v>2.058711587971173E-3</v>
      </c>
      <c r="JB60">
        <v>-6.1309262243104059E-7</v>
      </c>
      <c r="JC60">
        <v>2.6183910446277612E-10</v>
      </c>
      <c r="JD60">
        <v>3.5078820932035488E-4</v>
      </c>
      <c r="JE60">
        <v>-4.3284922736758413E-3</v>
      </c>
      <c r="JF60">
        <v>1.4186339569364E-3</v>
      </c>
      <c r="JG60">
        <v>-2.7770646863349432E-5</v>
      </c>
      <c r="JH60">
        <v>2</v>
      </c>
      <c r="JI60">
        <v>2136</v>
      </c>
      <c r="JJ60">
        <v>1</v>
      </c>
      <c r="JK60">
        <v>19</v>
      </c>
      <c r="JL60">
        <v>29361427.899999999</v>
      </c>
      <c r="JM60">
        <v>29361427.899999999</v>
      </c>
      <c r="JN60">
        <v>1.1071800000000001</v>
      </c>
      <c r="JO60">
        <v>2.5402800000000001</v>
      </c>
      <c r="JP60">
        <v>1.39893</v>
      </c>
      <c r="JQ60">
        <v>2.32544</v>
      </c>
      <c r="JR60">
        <v>1.4489700000000001</v>
      </c>
      <c r="JS60">
        <v>2.5366200000000001</v>
      </c>
      <c r="JT60">
        <v>36.081600000000002</v>
      </c>
      <c r="JU60">
        <v>23.851099999999999</v>
      </c>
      <c r="JV60">
        <v>18</v>
      </c>
      <c r="JW60">
        <v>478.32400000000001</v>
      </c>
      <c r="JX60">
        <v>465.89100000000002</v>
      </c>
      <c r="JY60">
        <v>18.505500000000001</v>
      </c>
      <c r="JZ60">
        <v>27.810300000000002</v>
      </c>
      <c r="KA60">
        <v>30.0014</v>
      </c>
      <c r="KB60">
        <v>27.038499999999999</v>
      </c>
      <c r="KC60">
        <v>27.033799999999999</v>
      </c>
      <c r="KD60">
        <v>22.194099999999999</v>
      </c>
      <c r="KE60">
        <v>24.5961</v>
      </c>
      <c r="KF60">
        <v>59.520499999999998</v>
      </c>
      <c r="KG60">
        <v>18.491499999999998</v>
      </c>
      <c r="KH60">
        <v>420</v>
      </c>
      <c r="KI60">
        <v>14.283799999999999</v>
      </c>
      <c r="KJ60">
        <v>101.259</v>
      </c>
      <c r="KK60">
        <v>100.29</v>
      </c>
    </row>
    <row r="61" spans="1:297" x14ac:dyDescent="0.3">
      <c r="A61">
        <v>45</v>
      </c>
      <c r="B61">
        <v>1761685806.5</v>
      </c>
      <c r="C61">
        <v>8356.5</v>
      </c>
      <c r="D61" t="s">
        <v>622</v>
      </c>
      <c r="E61" t="s">
        <v>623</v>
      </c>
      <c r="F61">
        <v>5</v>
      </c>
      <c r="G61" t="s">
        <v>615</v>
      </c>
      <c r="H61" t="s">
        <v>436</v>
      </c>
      <c r="I61">
        <v>1761685798.75</v>
      </c>
      <c r="J61">
        <f t="shared" si="50"/>
        <v>1.2223180342541278E-3</v>
      </c>
      <c r="K61">
        <f t="shared" si="51"/>
        <v>1.2223180342541278</v>
      </c>
      <c r="L61">
        <f t="shared" si="52"/>
        <v>7.0281793951560152</v>
      </c>
      <c r="M61">
        <f t="shared" si="53"/>
        <v>410.97056666666663</v>
      </c>
      <c r="N61">
        <f t="shared" si="54"/>
        <v>202.20174055274694</v>
      </c>
      <c r="O61">
        <f t="shared" si="55"/>
        <v>18.433527822638474</v>
      </c>
      <c r="P61">
        <f t="shared" si="56"/>
        <v>37.465737704464999</v>
      </c>
      <c r="Q61">
        <f t="shared" si="57"/>
        <v>5.7293829015849777E-2</v>
      </c>
      <c r="R61">
        <f t="shared" si="58"/>
        <v>2.7691681982332428</v>
      </c>
      <c r="S61">
        <f t="shared" si="59"/>
        <v>5.6643341487024546E-2</v>
      </c>
      <c r="T61">
        <f t="shared" si="60"/>
        <v>3.5459916681843028E-2</v>
      </c>
      <c r="U61">
        <f t="shared" si="61"/>
        <v>456.88707442721801</v>
      </c>
      <c r="V61">
        <f t="shared" si="62"/>
        <v>25.948764873664413</v>
      </c>
      <c r="W61">
        <f t="shared" si="63"/>
        <v>25.948764873664413</v>
      </c>
      <c r="X61">
        <f t="shared" si="64"/>
        <v>3.3640420609482784</v>
      </c>
      <c r="Y61">
        <f t="shared" si="65"/>
        <v>50.035560154534387</v>
      </c>
      <c r="Z61">
        <f t="shared" si="66"/>
        <v>1.448722726196304</v>
      </c>
      <c r="AA61">
        <f t="shared" si="67"/>
        <v>2.8953862447466099</v>
      </c>
      <c r="AB61">
        <f t="shared" si="68"/>
        <v>1.9153193347519744</v>
      </c>
      <c r="AC61">
        <f t="shared" si="69"/>
        <v>-53.904225310607032</v>
      </c>
      <c r="AD61">
        <f t="shared" si="70"/>
        <v>-374.80125575289827</v>
      </c>
      <c r="AE61">
        <f t="shared" si="71"/>
        <v>-28.54162373853864</v>
      </c>
      <c r="AF61">
        <f t="shared" si="72"/>
        <v>-0.36003037482595346</v>
      </c>
      <c r="AG61">
        <f t="shared" si="73"/>
        <v>7.0324896925746208</v>
      </c>
      <c r="AH61">
        <f t="shared" si="74"/>
        <v>1.2176606098378653</v>
      </c>
      <c r="AI61">
        <f t="shared" si="75"/>
        <v>7.0281793951560152</v>
      </c>
      <c r="AJ61">
        <v>426.1127735955759</v>
      </c>
      <c r="AK61">
        <v>417.55714545454549</v>
      </c>
      <c r="AL61">
        <v>-3.575287848253588E-4</v>
      </c>
      <c r="AM61">
        <v>65.071113291080977</v>
      </c>
      <c r="AN61">
        <f t="shared" si="76"/>
        <v>1.2223180342541278</v>
      </c>
      <c r="AO61">
        <v>14.45319861393719</v>
      </c>
      <c r="AP61">
        <v>15.8960965034965</v>
      </c>
      <c r="AQ61">
        <v>7.5754359313386221E-5</v>
      </c>
      <c r="AR61">
        <v>96.775966201886661</v>
      </c>
      <c r="AS61">
        <v>1</v>
      </c>
      <c r="AT61">
        <v>0</v>
      </c>
      <c r="AU61">
        <f t="shared" si="77"/>
        <v>1</v>
      </c>
      <c r="AV61">
        <f t="shared" si="78"/>
        <v>0</v>
      </c>
      <c r="AW61">
        <f t="shared" si="79"/>
        <v>48763.652616133855</v>
      </c>
      <c r="AX61" t="s">
        <v>612</v>
      </c>
      <c r="AY61">
        <v>5006.08</v>
      </c>
      <c r="AZ61">
        <v>691.77599999999995</v>
      </c>
      <c r="BA61">
        <v>1803.42745997682</v>
      </c>
      <c r="BB61">
        <f t="shared" si="80"/>
        <v>0.61641040998184005</v>
      </c>
      <c r="BC61">
        <v>-0.98055102247034764</v>
      </c>
      <c r="BD61" t="s">
        <v>624</v>
      </c>
      <c r="BE61">
        <v>5039.0200000000004</v>
      </c>
      <c r="BF61">
        <v>1394.086153846154</v>
      </c>
      <c r="BG61">
        <v>1560.21960535529</v>
      </c>
      <c r="BH61">
        <f t="shared" si="81"/>
        <v>0.10648081266182041</v>
      </c>
      <c r="BI61">
        <v>0.5</v>
      </c>
      <c r="BJ61">
        <f t="shared" si="82"/>
        <v>2128.1671138223928</v>
      </c>
      <c r="BK61">
        <f t="shared" si="83"/>
        <v>7.0281793951560152</v>
      </c>
      <c r="BL61">
        <f t="shared" si="84"/>
        <v>113.30448187998462</v>
      </c>
      <c r="BM61">
        <f t="shared" si="85"/>
        <v>3.7632056080605029E-3</v>
      </c>
      <c r="BN61">
        <f t="shared" si="86"/>
        <v>0.1558805271942133</v>
      </c>
      <c r="BO61">
        <f t="shared" si="87"/>
        <v>652.74563142281556</v>
      </c>
      <c r="BP61" t="s">
        <v>625</v>
      </c>
      <c r="BQ61">
        <v>748.8</v>
      </c>
      <c r="BR61">
        <f t="shared" si="88"/>
        <v>748.8</v>
      </c>
      <c r="BS61">
        <f t="shared" si="89"/>
        <v>0.52006756136775711</v>
      </c>
      <c r="BT61">
        <f t="shared" si="90"/>
        <v>0.20474419204647193</v>
      </c>
      <c r="BU61">
        <f t="shared" si="91"/>
        <v>0.23061020488398393</v>
      </c>
      <c r="BV61">
        <f t="shared" si="92"/>
        <v>0.19130021855727627</v>
      </c>
      <c r="BW61">
        <f t="shared" si="93"/>
        <v>0.21878067305970283</v>
      </c>
      <c r="BX61">
        <f t="shared" si="94"/>
        <v>0.10997344072417863</v>
      </c>
      <c r="BY61">
        <f t="shared" si="95"/>
        <v>0.89002655927582142</v>
      </c>
      <c r="BZ61">
        <v>451</v>
      </c>
      <c r="CA61">
        <v>290.00000000000011</v>
      </c>
      <c r="CB61">
        <v>1503.8</v>
      </c>
      <c r="CC61">
        <v>85</v>
      </c>
      <c r="CD61">
        <v>5039.0200000000004</v>
      </c>
      <c r="CE61">
        <v>1503.11</v>
      </c>
      <c r="CF61">
        <v>0.69</v>
      </c>
      <c r="CG61">
        <v>300.00000000000011</v>
      </c>
      <c r="CH61">
        <v>23.9</v>
      </c>
      <c r="CI61">
        <v>1560.21960535529</v>
      </c>
      <c r="CJ61">
        <v>2.5371922702524148</v>
      </c>
      <c r="CK61">
        <v>-28.775620118644159</v>
      </c>
      <c r="CL61">
        <v>1.1604374952739309</v>
      </c>
      <c r="CM61">
        <v>0.95644748070466734</v>
      </c>
      <c r="CN61">
        <v>-2.9337833147942199E-3</v>
      </c>
      <c r="CO61">
        <v>289.99999999999989</v>
      </c>
      <c r="CP61">
        <v>1501.21</v>
      </c>
      <c r="CQ61">
        <v>855</v>
      </c>
      <c r="CR61">
        <v>5036.3999999999996</v>
      </c>
      <c r="CS61">
        <v>1503.08</v>
      </c>
      <c r="CT61">
        <v>-1.87</v>
      </c>
      <c r="DH61">
        <f t="shared" si="96"/>
        <v>2594.049</v>
      </c>
      <c r="DI61">
        <f t="shared" si="97"/>
        <v>2128.1671138223928</v>
      </c>
      <c r="DJ61">
        <f t="shared" si="98"/>
        <v>0.82040359061158552</v>
      </c>
      <c r="DK61">
        <f t="shared" si="99"/>
        <v>0.17612892988036002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1761685798.75</v>
      </c>
      <c r="DR61">
        <v>410.97056666666663</v>
      </c>
      <c r="DS61">
        <v>420.0098999999999</v>
      </c>
      <c r="DT61">
        <v>15.89138333333333</v>
      </c>
      <c r="DU61">
        <v>14.45343666666667</v>
      </c>
      <c r="DV61">
        <v>410.14946666666663</v>
      </c>
      <c r="DW61">
        <v>15.71646333333333</v>
      </c>
      <c r="DX61">
        <v>500.00893333333329</v>
      </c>
      <c r="DY61">
        <v>91.128306666666688</v>
      </c>
      <c r="DZ61">
        <v>3.5734613333333318E-2</v>
      </c>
      <c r="EA61">
        <v>23.438230000000011</v>
      </c>
      <c r="EB61">
        <v>24.010110000000001</v>
      </c>
      <c r="EC61">
        <v>999.9000000000002</v>
      </c>
      <c r="ED61">
        <v>0</v>
      </c>
      <c r="EE61">
        <v>0</v>
      </c>
      <c r="EF61">
        <v>9999.7039999999979</v>
      </c>
      <c r="EG61">
        <v>0</v>
      </c>
      <c r="EH61">
        <v>1094.0146666666669</v>
      </c>
      <c r="EI61">
        <v>-9.0392940000000017</v>
      </c>
      <c r="EJ61">
        <v>417.6069</v>
      </c>
      <c r="EK61">
        <v>426.16946666666661</v>
      </c>
      <c r="EL61">
        <v>1.4379653333333331</v>
      </c>
      <c r="EM61">
        <v>420.0098999999999</v>
      </c>
      <c r="EN61">
        <v>14.45343666666667</v>
      </c>
      <c r="EO61">
        <v>1.448155666666666</v>
      </c>
      <c r="EP61">
        <v>1.3171166666666669</v>
      </c>
      <c r="EQ61">
        <v>12.431496666666661</v>
      </c>
      <c r="ER61">
        <v>10.995620000000001</v>
      </c>
      <c r="ES61">
        <v>1500.0343333333331</v>
      </c>
      <c r="ET61">
        <v>0.97300399999999976</v>
      </c>
      <c r="EU61">
        <v>2.699598666666668E-2</v>
      </c>
      <c r="EV61">
        <v>0</v>
      </c>
      <c r="EW61">
        <v>1394.090666666666</v>
      </c>
      <c r="EX61">
        <v>5.0005600000000019</v>
      </c>
      <c r="EY61">
        <v>20921.3</v>
      </c>
      <c r="EZ61">
        <v>12931.82333333333</v>
      </c>
      <c r="FA61">
        <v>39.370800000000003</v>
      </c>
      <c r="FB61">
        <v>40.811999999999983</v>
      </c>
      <c r="FC61">
        <v>39.75</v>
      </c>
      <c r="FD61">
        <v>39.722699999999989</v>
      </c>
      <c r="FE61">
        <v>40</v>
      </c>
      <c r="FF61">
        <v>1454.6743333333329</v>
      </c>
      <c r="FG61">
        <v>40.359999999999992</v>
      </c>
      <c r="FH61">
        <v>0</v>
      </c>
      <c r="FI61">
        <v>127.4000000953674</v>
      </c>
      <c r="FJ61">
        <v>0</v>
      </c>
      <c r="FK61">
        <v>1394.086153846154</v>
      </c>
      <c r="FL61">
        <v>-3.118632470588155</v>
      </c>
      <c r="FM61">
        <v>-53.223931537393931</v>
      </c>
      <c r="FN61">
        <v>20920.93076923077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-9.0375575609756087</v>
      </c>
      <c r="GD61">
        <v>-4.054118466898203E-2</v>
      </c>
      <c r="GE61">
        <v>2.1893114050578751E-2</v>
      </c>
      <c r="GF61">
        <v>1</v>
      </c>
      <c r="GG61">
        <v>1394.247647058824</v>
      </c>
      <c r="GH61">
        <v>-3.3268143574456701</v>
      </c>
      <c r="GI61">
        <v>0.38789824942001738</v>
      </c>
      <c r="GJ61">
        <v>0</v>
      </c>
      <c r="GK61">
        <v>1.4336531707317071</v>
      </c>
      <c r="GL61">
        <v>7.934195121951125E-2</v>
      </c>
      <c r="GM61">
        <v>8.1636694998363339E-3</v>
      </c>
      <c r="GN61">
        <v>1</v>
      </c>
      <c r="GO61">
        <v>2</v>
      </c>
      <c r="GP61">
        <v>3</v>
      </c>
      <c r="GQ61" t="s">
        <v>479</v>
      </c>
      <c r="GR61">
        <v>3.1295500000000001</v>
      </c>
      <c r="GS61">
        <v>2.71346</v>
      </c>
      <c r="GT61">
        <v>8.5055400000000003E-2</v>
      </c>
      <c r="GU61">
        <v>8.7056900000000007E-2</v>
      </c>
      <c r="GV61">
        <v>8.0588499999999993E-2</v>
      </c>
      <c r="GW61">
        <v>7.5913300000000003E-2</v>
      </c>
      <c r="GX61">
        <v>27527.8</v>
      </c>
      <c r="GY61">
        <v>26545</v>
      </c>
      <c r="GZ61">
        <v>30625</v>
      </c>
      <c r="HA61">
        <v>29325.7</v>
      </c>
      <c r="HB61">
        <v>38841.599999999999</v>
      </c>
      <c r="HC61">
        <v>35673.199999999997</v>
      </c>
      <c r="HD61">
        <v>46819.4</v>
      </c>
      <c r="HE61">
        <v>43590.8</v>
      </c>
      <c r="HF61">
        <v>1.8423</v>
      </c>
      <c r="HG61">
        <v>1.87127</v>
      </c>
      <c r="HH61">
        <v>6.7599099999999995E-2</v>
      </c>
      <c r="HI61">
        <v>0</v>
      </c>
      <c r="HJ61">
        <v>22.898499999999999</v>
      </c>
      <c r="HK61">
        <v>999.9</v>
      </c>
      <c r="HL61">
        <v>37</v>
      </c>
      <c r="HM61">
        <v>30.3</v>
      </c>
      <c r="HN61">
        <v>17.5992</v>
      </c>
      <c r="HO61">
        <v>63.813400000000001</v>
      </c>
      <c r="HP61">
        <v>18.317299999999999</v>
      </c>
      <c r="HQ61">
        <v>1</v>
      </c>
      <c r="HR61">
        <v>8.15168E-2</v>
      </c>
      <c r="HS61">
        <v>3.2036199999999999</v>
      </c>
      <c r="HT61">
        <v>20.1816</v>
      </c>
      <c r="HU61">
        <v>5.2382600000000004</v>
      </c>
      <c r="HV61">
        <v>11.974</v>
      </c>
      <c r="HW61">
        <v>4.9718</v>
      </c>
      <c r="HX61">
        <v>3.2909999999999999</v>
      </c>
      <c r="HY61">
        <v>9999</v>
      </c>
      <c r="HZ61">
        <v>9999</v>
      </c>
      <c r="IA61">
        <v>9999</v>
      </c>
      <c r="IB61">
        <v>999.9</v>
      </c>
      <c r="IC61">
        <v>4.9729299999999999</v>
      </c>
      <c r="ID61">
        <v>1.8771599999999999</v>
      </c>
      <c r="IE61">
        <v>1.8752899999999999</v>
      </c>
      <c r="IF61">
        <v>1.87805</v>
      </c>
      <c r="IG61">
        <v>1.8748199999999999</v>
      </c>
      <c r="IH61">
        <v>1.8783799999999999</v>
      </c>
      <c r="II61">
        <v>1.87547</v>
      </c>
      <c r="IJ61">
        <v>1.8766799999999999</v>
      </c>
      <c r="IK61">
        <v>0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0.82099999999999995</v>
      </c>
      <c r="IY61">
        <v>0.17499999999999999</v>
      </c>
      <c r="IZ61">
        <v>6.1933660764125778E-2</v>
      </c>
      <c r="JA61">
        <v>2.058711587971173E-3</v>
      </c>
      <c r="JB61">
        <v>-6.1309262243104059E-7</v>
      </c>
      <c r="JC61">
        <v>2.6183910446277612E-10</v>
      </c>
      <c r="JD61">
        <v>3.5078820932035488E-4</v>
      </c>
      <c r="JE61">
        <v>-4.3284922736758413E-3</v>
      </c>
      <c r="JF61">
        <v>1.4186339569364E-3</v>
      </c>
      <c r="JG61">
        <v>-2.7770646863349432E-5</v>
      </c>
      <c r="JH61">
        <v>2</v>
      </c>
      <c r="JI61">
        <v>2136</v>
      </c>
      <c r="JJ61">
        <v>1</v>
      </c>
      <c r="JK61">
        <v>19</v>
      </c>
      <c r="JL61">
        <v>29361430.100000001</v>
      </c>
      <c r="JM61">
        <v>29361430.100000001</v>
      </c>
      <c r="JN61">
        <v>1.1071800000000001</v>
      </c>
      <c r="JO61">
        <v>2.5402800000000001</v>
      </c>
      <c r="JP61">
        <v>1.39893</v>
      </c>
      <c r="JQ61">
        <v>2.32422</v>
      </c>
      <c r="JR61">
        <v>1.4489700000000001</v>
      </c>
      <c r="JS61">
        <v>2.6086399999999998</v>
      </c>
      <c r="JT61">
        <v>36.104999999999997</v>
      </c>
      <c r="JU61">
        <v>23.877400000000002</v>
      </c>
      <c r="JV61">
        <v>18</v>
      </c>
      <c r="JW61">
        <v>479.23</v>
      </c>
      <c r="JX61">
        <v>466.78199999999998</v>
      </c>
      <c r="JY61">
        <v>19.302700000000002</v>
      </c>
      <c r="JZ61">
        <v>28.064900000000002</v>
      </c>
      <c r="KA61">
        <v>30.000800000000002</v>
      </c>
      <c r="KB61">
        <v>27.382400000000001</v>
      </c>
      <c r="KC61">
        <v>27.392800000000001</v>
      </c>
      <c r="KD61">
        <v>22.1921</v>
      </c>
      <c r="KE61">
        <v>22.781199999999998</v>
      </c>
      <c r="KF61">
        <v>59.149299999999997</v>
      </c>
      <c r="KG61">
        <v>19.293299999999999</v>
      </c>
      <c r="KH61">
        <v>420</v>
      </c>
      <c r="KI61">
        <v>14.4747</v>
      </c>
      <c r="KJ61">
        <v>101.206</v>
      </c>
      <c r="KK61">
        <v>100.253</v>
      </c>
    </row>
    <row r="62" spans="1:297" x14ac:dyDescent="0.3">
      <c r="A62">
        <v>46</v>
      </c>
      <c r="B62">
        <v>1761685936.0999999</v>
      </c>
      <c r="C62">
        <v>8486.0999999046326</v>
      </c>
      <c r="D62" t="s">
        <v>626</v>
      </c>
      <c r="E62" t="s">
        <v>627</v>
      </c>
      <c r="F62">
        <v>5</v>
      </c>
      <c r="G62" t="s">
        <v>615</v>
      </c>
      <c r="H62" t="s">
        <v>436</v>
      </c>
      <c r="I62">
        <v>1761685928.241935</v>
      </c>
      <c r="J62">
        <f t="shared" si="50"/>
        <v>1.2521612638781523E-3</v>
      </c>
      <c r="K62">
        <f t="shared" si="51"/>
        <v>1.2521612638781523</v>
      </c>
      <c r="L62">
        <f t="shared" si="52"/>
        <v>7.0306496311202782</v>
      </c>
      <c r="M62">
        <f t="shared" si="53"/>
        <v>410.93041935483859</v>
      </c>
      <c r="N62">
        <f t="shared" si="54"/>
        <v>210.85071054862999</v>
      </c>
      <c r="O62">
        <f t="shared" si="55"/>
        <v>19.222605826479899</v>
      </c>
      <c r="P62">
        <f t="shared" si="56"/>
        <v>37.463252804862186</v>
      </c>
      <c r="Q62">
        <f t="shared" si="57"/>
        <v>5.9946443905453284E-2</v>
      </c>
      <c r="R62">
        <f t="shared" si="58"/>
        <v>2.768769792868004</v>
      </c>
      <c r="S62">
        <f t="shared" si="59"/>
        <v>5.9234631353660631E-2</v>
      </c>
      <c r="T62">
        <f t="shared" si="60"/>
        <v>3.7084893806221847E-2</v>
      </c>
      <c r="U62">
        <f t="shared" si="61"/>
        <v>404.37322612937373</v>
      </c>
      <c r="V62">
        <f t="shared" si="62"/>
        <v>25.871126264283888</v>
      </c>
      <c r="W62">
        <f t="shared" si="63"/>
        <v>25.871126264283888</v>
      </c>
      <c r="X62">
        <f t="shared" si="64"/>
        <v>3.3486122694803435</v>
      </c>
      <c r="Y62">
        <f t="shared" si="65"/>
        <v>50.068929182561838</v>
      </c>
      <c r="Z62">
        <f t="shared" si="66"/>
        <v>1.4723901502041348</v>
      </c>
      <c r="AA62">
        <f t="shared" si="67"/>
        <v>2.9407262632589783</v>
      </c>
      <c r="AB62">
        <f t="shared" si="68"/>
        <v>1.8762221192762087</v>
      </c>
      <c r="AC62">
        <f t="shared" si="69"/>
        <v>-55.220311737026513</v>
      </c>
      <c r="AD62">
        <f t="shared" si="70"/>
        <v>-324.67321283939236</v>
      </c>
      <c r="AE62">
        <f t="shared" si="71"/>
        <v>-24.750210115859954</v>
      </c>
      <c r="AF62">
        <f t="shared" si="72"/>
        <v>-0.27050856290509273</v>
      </c>
      <c r="AG62">
        <f t="shared" si="73"/>
        <v>7.0430335166398752</v>
      </c>
      <c r="AH62">
        <f t="shared" si="74"/>
        <v>1.2240711011438241</v>
      </c>
      <c r="AI62">
        <f t="shared" si="75"/>
        <v>7.0306496311202782</v>
      </c>
      <c r="AJ62">
        <v>426.21060054777422</v>
      </c>
      <c r="AK62">
        <v>417.65255757575761</v>
      </c>
      <c r="AL62">
        <v>-1.0587310273624769E-3</v>
      </c>
      <c r="AM62">
        <v>65.071113291080977</v>
      </c>
      <c r="AN62">
        <f t="shared" si="76"/>
        <v>1.2521612638781523</v>
      </c>
      <c r="AO62">
        <v>14.703928745861029</v>
      </c>
      <c r="AP62">
        <v>16.176502797202801</v>
      </c>
      <c r="AQ62">
        <v>8.0979329175094421E-4</v>
      </c>
      <c r="AR62">
        <v>96.775966201886661</v>
      </c>
      <c r="AS62">
        <v>0</v>
      </c>
      <c r="AT62">
        <v>0</v>
      </c>
      <c r="AU62">
        <f t="shared" si="77"/>
        <v>1</v>
      </c>
      <c r="AV62">
        <f t="shared" si="78"/>
        <v>0</v>
      </c>
      <c r="AW62">
        <f t="shared" si="79"/>
        <v>48710.338152589713</v>
      </c>
      <c r="AX62" t="s">
        <v>612</v>
      </c>
      <c r="AY62">
        <v>5006.08</v>
      </c>
      <c r="AZ62">
        <v>691.77599999999995</v>
      </c>
      <c r="BA62">
        <v>1803.42745997682</v>
      </c>
      <c r="BB62">
        <f t="shared" si="80"/>
        <v>0.61641040998184005</v>
      </c>
      <c r="BC62">
        <v>-0.98055102247034764</v>
      </c>
      <c r="BD62" t="s">
        <v>628</v>
      </c>
      <c r="BE62">
        <v>5039.38</v>
      </c>
      <c r="BF62">
        <v>1359.5568000000001</v>
      </c>
      <c r="BG62">
        <v>1564.5813599388559</v>
      </c>
      <c r="BH62">
        <f t="shared" si="81"/>
        <v>0.13104116231249763</v>
      </c>
      <c r="BI62">
        <v>0.5</v>
      </c>
      <c r="BJ62">
        <f t="shared" si="82"/>
        <v>1881.9205913005287</v>
      </c>
      <c r="BK62">
        <f t="shared" si="83"/>
        <v>7.0306496311202782</v>
      </c>
      <c r="BL62">
        <f t="shared" si="84"/>
        <v>123.30453083192205</v>
      </c>
      <c r="BM62">
        <f t="shared" si="85"/>
        <v>4.2569281034617774E-3</v>
      </c>
      <c r="BN62">
        <f t="shared" si="86"/>
        <v>0.15265815262384197</v>
      </c>
      <c r="BO62">
        <f t="shared" si="87"/>
        <v>653.50783699157125</v>
      </c>
      <c r="BP62" t="s">
        <v>629</v>
      </c>
      <c r="BQ62">
        <v>742.33</v>
      </c>
      <c r="BR62">
        <f t="shared" si="88"/>
        <v>742.33</v>
      </c>
      <c r="BS62">
        <f t="shared" si="89"/>
        <v>0.52554081302041689</v>
      </c>
      <c r="BT62">
        <f t="shared" si="90"/>
        <v>0.24934535827840026</v>
      </c>
      <c r="BU62">
        <f t="shared" si="91"/>
        <v>0.2250934612954231</v>
      </c>
      <c r="BV62">
        <f t="shared" si="92"/>
        <v>0.23490295700431857</v>
      </c>
      <c r="BW62">
        <f t="shared" si="93"/>
        <v>0.21485700207054506</v>
      </c>
      <c r="BX62">
        <f t="shared" si="94"/>
        <v>0.13614476409577361</v>
      </c>
      <c r="BY62">
        <f t="shared" si="95"/>
        <v>0.86385523590422642</v>
      </c>
      <c r="BZ62">
        <v>453</v>
      </c>
      <c r="CA62">
        <v>290.00000000000011</v>
      </c>
      <c r="CB62">
        <v>1506.91</v>
      </c>
      <c r="CC62">
        <v>95</v>
      </c>
      <c r="CD62">
        <v>5039.38</v>
      </c>
      <c r="CE62">
        <v>1506.62</v>
      </c>
      <c r="CF62">
        <v>0.28999999999999998</v>
      </c>
      <c r="CG62">
        <v>300.00000000000011</v>
      </c>
      <c r="CH62">
        <v>23.9</v>
      </c>
      <c r="CI62">
        <v>1564.5813599388559</v>
      </c>
      <c r="CJ62">
        <v>2.3357525089147941</v>
      </c>
      <c r="CK62">
        <v>-29.206549167090181</v>
      </c>
      <c r="CL62">
        <v>1.058778294063625</v>
      </c>
      <c r="CM62">
        <v>0.96450934332515237</v>
      </c>
      <c r="CN62">
        <v>-3.1815655172413781E-3</v>
      </c>
      <c r="CO62">
        <v>289.99999999999989</v>
      </c>
      <c r="CP62">
        <v>1504.53</v>
      </c>
      <c r="CQ62">
        <v>715</v>
      </c>
      <c r="CR62">
        <v>5037.22</v>
      </c>
      <c r="CS62">
        <v>1506.6</v>
      </c>
      <c r="CT62">
        <v>-2.0699999999999998</v>
      </c>
      <c r="DH62">
        <f t="shared" si="96"/>
        <v>2293.6461290322591</v>
      </c>
      <c r="DI62">
        <f t="shared" si="97"/>
        <v>1881.9205913005287</v>
      </c>
      <c r="DJ62">
        <f t="shared" si="98"/>
        <v>0.82049299910730056</v>
      </c>
      <c r="DK62">
        <f t="shared" si="99"/>
        <v>0.17630148827709002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1761685928.241935</v>
      </c>
      <c r="DR62">
        <v>410.93041935483859</v>
      </c>
      <c r="DS62">
        <v>419.98612903225808</v>
      </c>
      <c r="DT62">
        <v>16.150490322580641</v>
      </c>
      <c r="DU62">
        <v>14.70525483870968</v>
      </c>
      <c r="DV62">
        <v>410.1092580645161</v>
      </c>
      <c r="DW62">
        <v>15.970564516129031</v>
      </c>
      <c r="DX62">
        <v>499.97461290322582</v>
      </c>
      <c r="DY62">
        <v>91.130248387096771</v>
      </c>
      <c r="DZ62">
        <v>3.665248064516128E-2</v>
      </c>
      <c r="EA62">
        <v>23.696051612903229</v>
      </c>
      <c r="EB62">
        <v>23.93347096774194</v>
      </c>
      <c r="EC62">
        <v>999.90000000000032</v>
      </c>
      <c r="ED62">
        <v>0</v>
      </c>
      <c r="EE62">
        <v>0</v>
      </c>
      <c r="EF62">
        <v>9997.140967741936</v>
      </c>
      <c r="EG62">
        <v>0</v>
      </c>
      <c r="EH62">
        <v>1093.644516129033</v>
      </c>
      <c r="EI62">
        <v>-9.055674193548386</v>
      </c>
      <c r="EJ62">
        <v>417.67612903225807</v>
      </c>
      <c r="EK62">
        <v>426.25429032258057</v>
      </c>
      <c r="EL62">
        <v>1.445243870967742</v>
      </c>
      <c r="EM62">
        <v>419.98612903225808</v>
      </c>
      <c r="EN62">
        <v>14.70525483870968</v>
      </c>
      <c r="EO62">
        <v>1.4717996774193549</v>
      </c>
      <c r="EP62">
        <v>1.3400938709677419</v>
      </c>
      <c r="EQ62">
        <v>12.67828709677419</v>
      </c>
      <c r="ER62">
        <v>11.2562129032258</v>
      </c>
      <c r="ES62">
        <v>1200.001612903226</v>
      </c>
      <c r="ET62">
        <v>0.96699299999999966</v>
      </c>
      <c r="EU62">
        <v>3.3006899999999978E-2</v>
      </c>
      <c r="EV62">
        <v>0</v>
      </c>
      <c r="EW62">
        <v>1359.5848387096769</v>
      </c>
      <c r="EX62">
        <v>5.0005600000000019</v>
      </c>
      <c r="EY62">
        <v>16292.816129032261</v>
      </c>
      <c r="EZ62">
        <v>10316.80967741936</v>
      </c>
      <c r="FA62">
        <v>38.756000000000007</v>
      </c>
      <c r="FB62">
        <v>40.606709677419353</v>
      </c>
      <c r="FC62">
        <v>39.418999999999997</v>
      </c>
      <c r="FD62">
        <v>39.543999999999997</v>
      </c>
      <c r="FE62">
        <v>39.572161290322562</v>
      </c>
      <c r="FF62">
        <v>1155.561612903226</v>
      </c>
      <c r="FG62">
        <v>39.440000000000012</v>
      </c>
      <c r="FH62">
        <v>0</v>
      </c>
      <c r="FI62">
        <v>127.4000000953674</v>
      </c>
      <c r="FJ62">
        <v>0</v>
      </c>
      <c r="FK62">
        <v>1359.5568000000001</v>
      </c>
      <c r="FL62">
        <v>-1.357692291447574</v>
      </c>
      <c r="FM62">
        <v>-21.515384580887801</v>
      </c>
      <c r="FN62">
        <v>16292.6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-9.051067317073171</v>
      </c>
      <c r="GD62">
        <v>3.6386938387021561E-2</v>
      </c>
      <c r="GE62">
        <v>3.4014166204068497E-2</v>
      </c>
      <c r="GF62">
        <v>1</v>
      </c>
      <c r="GG62">
        <v>1359.5902941176471</v>
      </c>
      <c r="GH62">
        <v>-0.83223833846102657</v>
      </c>
      <c r="GI62">
        <v>0.25907624694307768</v>
      </c>
      <c r="GJ62">
        <v>1</v>
      </c>
      <c r="GK62">
        <v>1.4288095121951221</v>
      </c>
      <c r="GL62">
        <v>0.31922546533271517</v>
      </c>
      <c r="GM62">
        <v>3.0866288339539739E-2</v>
      </c>
      <c r="GN62">
        <v>0</v>
      </c>
      <c r="GO62">
        <v>2</v>
      </c>
      <c r="GP62">
        <v>3</v>
      </c>
      <c r="GQ62" t="s">
        <v>479</v>
      </c>
      <c r="GR62">
        <v>3.1293500000000001</v>
      </c>
      <c r="GS62">
        <v>2.71461</v>
      </c>
      <c r="GT62">
        <v>8.4994899999999998E-2</v>
      </c>
      <c r="GU62">
        <v>8.6998500000000006E-2</v>
      </c>
      <c r="GV62">
        <v>8.1559199999999998E-2</v>
      </c>
      <c r="GW62">
        <v>7.6815400000000006E-2</v>
      </c>
      <c r="GX62">
        <v>27518</v>
      </c>
      <c r="GY62">
        <v>26537.200000000001</v>
      </c>
      <c r="GZ62">
        <v>30613</v>
      </c>
      <c r="HA62">
        <v>29316.2</v>
      </c>
      <c r="HB62">
        <v>38786.800000000003</v>
      </c>
      <c r="HC62">
        <v>35627</v>
      </c>
      <c r="HD62">
        <v>46802.9</v>
      </c>
      <c r="HE62">
        <v>43577</v>
      </c>
      <c r="HF62">
        <v>1.8398300000000001</v>
      </c>
      <c r="HG62">
        <v>1.8698699999999999</v>
      </c>
      <c r="HH62">
        <v>5.3383399999999998E-2</v>
      </c>
      <c r="HI62">
        <v>0</v>
      </c>
      <c r="HJ62">
        <v>23.056899999999999</v>
      </c>
      <c r="HK62">
        <v>999.9</v>
      </c>
      <c r="HL62">
        <v>37</v>
      </c>
      <c r="HM62">
        <v>30.3</v>
      </c>
      <c r="HN62">
        <v>17.596499999999999</v>
      </c>
      <c r="HO62">
        <v>63.407899999999998</v>
      </c>
      <c r="HP62">
        <v>18.177099999999999</v>
      </c>
      <c r="HQ62">
        <v>1</v>
      </c>
      <c r="HR62">
        <v>9.1882599999999995E-2</v>
      </c>
      <c r="HS62">
        <v>2.4322900000000001</v>
      </c>
      <c r="HT62">
        <v>20.196300000000001</v>
      </c>
      <c r="HU62">
        <v>5.2386999999999997</v>
      </c>
      <c r="HV62">
        <v>11.974</v>
      </c>
      <c r="HW62">
        <v>4.9733000000000001</v>
      </c>
      <c r="HX62">
        <v>3.2909999999999999</v>
      </c>
      <c r="HY62">
        <v>9999</v>
      </c>
      <c r="HZ62">
        <v>9999</v>
      </c>
      <c r="IA62">
        <v>9999</v>
      </c>
      <c r="IB62">
        <v>999.9</v>
      </c>
      <c r="IC62">
        <v>4.9729299999999999</v>
      </c>
      <c r="ID62">
        <v>1.8772200000000001</v>
      </c>
      <c r="IE62">
        <v>1.87531</v>
      </c>
      <c r="IF62">
        <v>1.87808</v>
      </c>
      <c r="IG62">
        <v>1.8748199999999999</v>
      </c>
      <c r="IH62">
        <v>1.87839</v>
      </c>
      <c r="II62">
        <v>1.8755200000000001</v>
      </c>
      <c r="IJ62">
        <v>1.8766799999999999</v>
      </c>
      <c r="IK62">
        <v>0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0.82099999999999995</v>
      </c>
      <c r="IY62">
        <v>0.18049999999999999</v>
      </c>
      <c r="IZ62">
        <v>6.1933660764125778E-2</v>
      </c>
      <c r="JA62">
        <v>2.058711587971173E-3</v>
      </c>
      <c r="JB62">
        <v>-6.1309262243104059E-7</v>
      </c>
      <c r="JC62">
        <v>2.6183910446277612E-10</v>
      </c>
      <c r="JD62">
        <v>3.5078820932035488E-4</v>
      </c>
      <c r="JE62">
        <v>-4.3284922736758413E-3</v>
      </c>
      <c r="JF62">
        <v>1.4186339569364E-3</v>
      </c>
      <c r="JG62">
        <v>-2.7770646863349432E-5</v>
      </c>
      <c r="JH62">
        <v>2</v>
      </c>
      <c r="JI62">
        <v>2136</v>
      </c>
      <c r="JJ62">
        <v>1</v>
      </c>
      <c r="JK62">
        <v>19</v>
      </c>
      <c r="JL62">
        <v>29361432.300000001</v>
      </c>
      <c r="JM62">
        <v>29361432.300000001</v>
      </c>
      <c r="JN62">
        <v>1.1071800000000001</v>
      </c>
      <c r="JO62">
        <v>2.5402800000000001</v>
      </c>
      <c r="JP62">
        <v>1.39893</v>
      </c>
      <c r="JQ62">
        <v>2.32544</v>
      </c>
      <c r="JR62">
        <v>1.4489700000000001</v>
      </c>
      <c r="JS62">
        <v>2.6110799999999998</v>
      </c>
      <c r="JT62">
        <v>36.128500000000003</v>
      </c>
      <c r="JU62">
        <v>23.886099999999999</v>
      </c>
      <c r="JV62">
        <v>18</v>
      </c>
      <c r="JW62">
        <v>479.709</v>
      </c>
      <c r="JX62">
        <v>468.21</v>
      </c>
      <c r="JY62">
        <v>20.1435</v>
      </c>
      <c r="JZ62">
        <v>28.257100000000001</v>
      </c>
      <c r="KA62">
        <v>30.000499999999999</v>
      </c>
      <c r="KB62">
        <v>27.657699999999998</v>
      </c>
      <c r="KC62">
        <v>27.680900000000001</v>
      </c>
      <c r="KD62">
        <v>22.195</v>
      </c>
      <c r="KE62">
        <v>21.0837</v>
      </c>
      <c r="KF62">
        <v>59.149299999999997</v>
      </c>
      <c r="KG62">
        <v>20.168500000000002</v>
      </c>
      <c r="KH62">
        <v>420</v>
      </c>
      <c r="KI62">
        <v>14.7296</v>
      </c>
      <c r="KJ62">
        <v>101.169</v>
      </c>
      <c r="KK62">
        <v>100.221</v>
      </c>
    </row>
    <row r="63" spans="1:297" x14ac:dyDescent="0.3">
      <c r="A63">
        <v>47</v>
      </c>
      <c r="B63">
        <v>1761686042.5999999</v>
      </c>
      <c r="C63">
        <v>8592.5999999046326</v>
      </c>
      <c r="D63" t="s">
        <v>630</v>
      </c>
      <c r="E63" t="s">
        <v>631</v>
      </c>
      <c r="F63">
        <v>5</v>
      </c>
      <c r="G63" t="s">
        <v>615</v>
      </c>
      <c r="H63" t="s">
        <v>436</v>
      </c>
      <c r="I63">
        <v>1761686034.849999</v>
      </c>
      <c r="J63">
        <f t="shared" si="50"/>
        <v>1.2710539531718497E-3</v>
      </c>
      <c r="K63">
        <f t="shared" si="51"/>
        <v>1.2710539531718497</v>
      </c>
      <c r="L63">
        <f t="shared" si="52"/>
        <v>6.8743798842280679</v>
      </c>
      <c r="M63">
        <f t="shared" si="53"/>
        <v>411.18923333333339</v>
      </c>
      <c r="N63">
        <f t="shared" si="54"/>
        <v>220.0882778519987</v>
      </c>
      <c r="O63">
        <f t="shared" si="55"/>
        <v>20.063281369343102</v>
      </c>
      <c r="P63">
        <f t="shared" si="56"/>
        <v>37.484073958536008</v>
      </c>
      <c r="Q63">
        <f t="shared" si="57"/>
        <v>6.1558678840317911E-2</v>
      </c>
      <c r="R63">
        <f t="shared" si="58"/>
        <v>2.7689797390666904</v>
      </c>
      <c r="S63">
        <f t="shared" si="59"/>
        <v>6.0808378219110809E-2</v>
      </c>
      <c r="T63">
        <f t="shared" si="60"/>
        <v>3.8071885899120972E-2</v>
      </c>
      <c r="U63">
        <f t="shared" si="61"/>
        <v>352.08105547200006</v>
      </c>
      <c r="V63">
        <f t="shared" si="62"/>
        <v>25.811427501326548</v>
      </c>
      <c r="W63">
        <f t="shared" si="63"/>
        <v>25.811427501326548</v>
      </c>
      <c r="X63">
        <f t="shared" si="64"/>
        <v>3.3367898947385917</v>
      </c>
      <c r="Y63">
        <f t="shared" si="65"/>
        <v>49.567497169190958</v>
      </c>
      <c r="Z63">
        <f t="shared" si="66"/>
        <v>1.4816636674225216</v>
      </c>
      <c r="AA63">
        <f t="shared" si="67"/>
        <v>2.989183945207265</v>
      </c>
      <c r="AB63">
        <f t="shared" si="68"/>
        <v>1.85512622731607</v>
      </c>
      <c r="AC63">
        <f t="shared" si="69"/>
        <v>-56.053479334878574</v>
      </c>
      <c r="AD63">
        <f t="shared" si="70"/>
        <v>-275.22098197129583</v>
      </c>
      <c r="AE63">
        <f t="shared" si="71"/>
        <v>-21.001155154291617</v>
      </c>
      <c r="AF63">
        <f t="shared" si="72"/>
        <v>-0.1945609884659234</v>
      </c>
      <c r="AG63">
        <f t="shared" si="73"/>
        <v>6.8442381201119344</v>
      </c>
      <c r="AH63">
        <f t="shared" si="74"/>
        <v>1.1933795951392896</v>
      </c>
      <c r="AI63">
        <f t="shared" si="75"/>
        <v>6.8743798842280679</v>
      </c>
      <c r="AJ63">
        <v>426.33171898075273</v>
      </c>
      <c r="AK63">
        <v>417.95859393939412</v>
      </c>
      <c r="AL63">
        <v>-5.7614135475598012E-5</v>
      </c>
      <c r="AM63">
        <v>65.071113291080977</v>
      </c>
      <c r="AN63">
        <f t="shared" si="76"/>
        <v>1.2710539531718497</v>
      </c>
      <c r="AO63">
        <v>14.863426279495741</v>
      </c>
      <c r="AP63">
        <v>16.306030069930081</v>
      </c>
      <c r="AQ63">
        <v>8.0902017310102974E-3</v>
      </c>
      <c r="AR63">
        <v>96.775966201886661</v>
      </c>
      <c r="AS63">
        <v>0</v>
      </c>
      <c r="AT63">
        <v>0</v>
      </c>
      <c r="AU63">
        <f t="shared" si="77"/>
        <v>1</v>
      </c>
      <c r="AV63">
        <f t="shared" si="78"/>
        <v>0</v>
      </c>
      <c r="AW63">
        <f t="shared" si="79"/>
        <v>48671.403816720915</v>
      </c>
      <c r="AX63" t="s">
        <v>612</v>
      </c>
      <c r="AY63">
        <v>5006.08</v>
      </c>
      <c r="AZ63">
        <v>691.77599999999995</v>
      </c>
      <c r="BA63">
        <v>1803.42745997682</v>
      </c>
      <c r="BB63">
        <f t="shared" si="80"/>
        <v>0.61641040998184005</v>
      </c>
      <c r="BC63">
        <v>-0.98055102247034764</v>
      </c>
      <c r="BD63" t="s">
        <v>632</v>
      </c>
      <c r="BE63">
        <v>5039.17</v>
      </c>
      <c r="BF63">
        <v>1304.341923076923</v>
      </c>
      <c r="BG63">
        <v>1570.1899306341729</v>
      </c>
      <c r="BH63">
        <f t="shared" si="81"/>
        <v>0.16930945891996552</v>
      </c>
      <c r="BI63">
        <v>0.5</v>
      </c>
      <c r="BJ63">
        <f t="shared" si="82"/>
        <v>1635.9579740658032</v>
      </c>
      <c r="BK63">
        <f t="shared" si="83"/>
        <v>6.8743798842280679</v>
      </c>
      <c r="BL63">
        <f t="shared" si="84"/>
        <v>138.49157970244207</v>
      </c>
      <c r="BM63">
        <f t="shared" si="85"/>
        <v>4.8014258503088336E-3</v>
      </c>
      <c r="BN63">
        <f t="shared" si="86"/>
        <v>0.14854096615461446</v>
      </c>
      <c r="BO63">
        <f t="shared" si="87"/>
        <v>654.48429120983121</v>
      </c>
      <c r="BP63" t="s">
        <v>633</v>
      </c>
      <c r="BQ63">
        <v>742.4</v>
      </c>
      <c r="BR63">
        <f t="shared" si="88"/>
        <v>742.4</v>
      </c>
      <c r="BS63">
        <f t="shared" si="89"/>
        <v>0.52719095600099963</v>
      </c>
      <c r="BT63">
        <f t="shared" si="90"/>
        <v>0.32115395188919826</v>
      </c>
      <c r="BU63">
        <f t="shared" si="91"/>
        <v>0.21982233084499303</v>
      </c>
      <c r="BV63">
        <f t="shared" si="92"/>
        <v>0.30264548214225195</v>
      </c>
      <c r="BW63">
        <f t="shared" si="93"/>
        <v>0.20981174202524819</v>
      </c>
      <c r="BX63">
        <f t="shared" si="94"/>
        <v>0.18279309256586687</v>
      </c>
      <c r="BY63">
        <f t="shared" si="95"/>
        <v>0.81720690743413316</v>
      </c>
      <c r="BZ63">
        <v>455</v>
      </c>
      <c r="CA63">
        <v>290.00000000000011</v>
      </c>
      <c r="CB63">
        <v>1513.88</v>
      </c>
      <c r="CC63">
        <v>245</v>
      </c>
      <c r="CD63">
        <v>5039.17</v>
      </c>
      <c r="CE63">
        <v>1513.56</v>
      </c>
      <c r="CF63">
        <v>0.32</v>
      </c>
      <c r="CG63">
        <v>300.00000000000011</v>
      </c>
      <c r="CH63">
        <v>23.9</v>
      </c>
      <c r="CI63">
        <v>1570.1899306341729</v>
      </c>
      <c r="CJ63">
        <v>1.942822247785396</v>
      </c>
      <c r="CK63">
        <v>-28.53727131607317</v>
      </c>
      <c r="CL63">
        <v>0.87280630128086578</v>
      </c>
      <c r="CM63">
        <v>0.97447649823393223</v>
      </c>
      <c r="CN63">
        <v>-3.430485873192439E-3</v>
      </c>
      <c r="CO63">
        <v>289.99999999999989</v>
      </c>
      <c r="CP63">
        <v>1511.2</v>
      </c>
      <c r="CQ63">
        <v>805</v>
      </c>
      <c r="CR63">
        <v>5038.29</v>
      </c>
      <c r="CS63">
        <v>1513.55</v>
      </c>
      <c r="CT63">
        <v>-2.35</v>
      </c>
      <c r="DH63">
        <f t="shared" si="96"/>
        <v>1993.4750999999999</v>
      </c>
      <c r="DI63">
        <f t="shared" si="97"/>
        <v>1635.9579740658032</v>
      </c>
      <c r="DJ63">
        <f t="shared" si="98"/>
        <v>0.82065633730052778</v>
      </c>
      <c r="DK63">
        <f t="shared" si="99"/>
        <v>0.17661673099001843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1761686034.849999</v>
      </c>
      <c r="DR63">
        <v>411.18923333333339</v>
      </c>
      <c r="DS63">
        <v>419.99099999999999</v>
      </c>
      <c r="DT63">
        <v>16.253413333333331</v>
      </c>
      <c r="DU63">
        <v>14.844659999999999</v>
      </c>
      <c r="DV63">
        <v>410.36783333333341</v>
      </c>
      <c r="DW63">
        <v>16.0715</v>
      </c>
      <c r="DX63">
        <v>500.00936666666672</v>
      </c>
      <c r="DY63">
        <v>91.123609999999999</v>
      </c>
      <c r="DZ63">
        <v>3.6544303333333333E-2</v>
      </c>
      <c r="EA63">
        <v>23.967786666666669</v>
      </c>
      <c r="EB63">
        <v>24.029016666666671</v>
      </c>
      <c r="EC63">
        <v>999.9000000000002</v>
      </c>
      <c r="ED63">
        <v>0</v>
      </c>
      <c r="EE63">
        <v>0</v>
      </c>
      <c r="EF63">
        <v>9999.1076666666668</v>
      </c>
      <c r="EG63">
        <v>0</v>
      </c>
      <c r="EH63">
        <v>1093.4839999999999</v>
      </c>
      <c r="EI63">
        <v>-8.8016159999999992</v>
      </c>
      <c r="EJ63">
        <v>417.98309999999998</v>
      </c>
      <c r="EK63">
        <v>426.31950000000001</v>
      </c>
      <c r="EL63">
        <v>1.408754333333333</v>
      </c>
      <c r="EM63">
        <v>419.99099999999999</v>
      </c>
      <c r="EN63">
        <v>14.844659999999999</v>
      </c>
      <c r="EO63">
        <v>1.481070333333333</v>
      </c>
      <c r="EP63">
        <v>1.3527003333333341</v>
      </c>
      <c r="EQ63">
        <v>12.77409333333333</v>
      </c>
      <c r="ER63">
        <v>11.39750666666666</v>
      </c>
      <c r="ES63">
        <v>899.99109999999996</v>
      </c>
      <c r="ET63">
        <v>0.95600349999999978</v>
      </c>
      <c r="EU63">
        <v>4.3996596666666672E-2</v>
      </c>
      <c r="EV63">
        <v>0</v>
      </c>
      <c r="EW63">
        <v>1304.3253333333339</v>
      </c>
      <c r="EX63">
        <v>5.0005600000000019</v>
      </c>
      <c r="EY63">
        <v>11701.66666666667</v>
      </c>
      <c r="EZ63">
        <v>7699.6473333333352</v>
      </c>
      <c r="FA63">
        <v>38.147733333333328</v>
      </c>
      <c r="FB63">
        <v>40.381200000000007</v>
      </c>
      <c r="FC63">
        <v>39.055799999999998</v>
      </c>
      <c r="FD63">
        <v>39.3645</v>
      </c>
      <c r="FE63">
        <v>39.172533333333327</v>
      </c>
      <c r="FF63">
        <v>855.61399999999992</v>
      </c>
      <c r="FG63">
        <v>39.380000000000017</v>
      </c>
      <c r="FH63">
        <v>0</v>
      </c>
      <c r="FI63">
        <v>104.3999998569489</v>
      </c>
      <c r="FJ63">
        <v>0</v>
      </c>
      <c r="FK63">
        <v>1304.341923076923</v>
      </c>
      <c r="FL63">
        <v>6.9401703007200152E-2</v>
      </c>
      <c r="FM63">
        <v>-14.570940254540551</v>
      </c>
      <c r="FN63">
        <v>11701.76153846154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-8.7879482926829251</v>
      </c>
      <c r="GD63">
        <v>-0.3067923344947755</v>
      </c>
      <c r="GE63">
        <v>3.8189198632689388E-2</v>
      </c>
      <c r="GF63">
        <v>1</v>
      </c>
      <c r="GG63">
        <v>1304.313823529412</v>
      </c>
      <c r="GH63">
        <v>0.20611153483292119</v>
      </c>
      <c r="GI63">
        <v>0.2291418094938909</v>
      </c>
      <c r="GJ63">
        <v>1</v>
      </c>
      <c r="GK63">
        <v>1.4162675609756099</v>
      </c>
      <c r="GL63">
        <v>-7.2049965156792378E-2</v>
      </c>
      <c r="GM63">
        <v>2.2213870944611219E-2</v>
      </c>
      <c r="GN63">
        <v>1</v>
      </c>
      <c r="GO63">
        <v>3</v>
      </c>
      <c r="GP63">
        <v>3</v>
      </c>
      <c r="GQ63" t="s">
        <v>470</v>
      </c>
      <c r="GR63">
        <v>3.12907</v>
      </c>
      <c r="GS63">
        <v>2.7145700000000001</v>
      </c>
      <c r="GT63">
        <v>8.4991800000000006E-2</v>
      </c>
      <c r="GU63">
        <v>8.6954799999999999E-2</v>
      </c>
      <c r="GV63">
        <v>8.1989000000000006E-2</v>
      </c>
      <c r="GW63">
        <v>7.7379000000000003E-2</v>
      </c>
      <c r="GX63">
        <v>27509.9</v>
      </c>
      <c r="GY63">
        <v>26533.9</v>
      </c>
      <c r="GZ63">
        <v>30604.5</v>
      </c>
      <c r="HA63">
        <v>29311.8</v>
      </c>
      <c r="HB63">
        <v>38758.400000000001</v>
      </c>
      <c r="HC63">
        <v>35599.9</v>
      </c>
      <c r="HD63">
        <v>46790.6</v>
      </c>
      <c r="HE63">
        <v>43570.7</v>
      </c>
      <c r="HF63">
        <v>1.8382700000000001</v>
      </c>
      <c r="HG63">
        <v>1.8687800000000001</v>
      </c>
      <c r="HH63">
        <v>4.99263E-2</v>
      </c>
      <c r="HI63">
        <v>0</v>
      </c>
      <c r="HJ63">
        <v>23.241800000000001</v>
      </c>
      <c r="HK63">
        <v>999.9</v>
      </c>
      <c r="HL63">
        <v>37</v>
      </c>
      <c r="HM63">
        <v>30.3</v>
      </c>
      <c r="HN63">
        <v>17.600300000000001</v>
      </c>
      <c r="HO63">
        <v>63.487900000000003</v>
      </c>
      <c r="HP63">
        <v>18.337299999999999</v>
      </c>
      <c r="HQ63">
        <v>1</v>
      </c>
      <c r="HR63">
        <v>0.100554</v>
      </c>
      <c r="HS63">
        <v>2.39297</v>
      </c>
      <c r="HT63">
        <v>20.198399999999999</v>
      </c>
      <c r="HU63">
        <v>5.2352600000000002</v>
      </c>
      <c r="HV63">
        <v>11.974</v>
      </c>
      <c r="HW63">
        <v>4.9720000000000004</v>
      </c>
      <c r="HX63">
        <v>3.2909999999999999</v>
      </c>
      <c r="HY63">
        <v>9999</v>
      </c>
      <c r="HZ63">
        <v>9999</v>
      </c>
      <c r="IA63">
        <v>9999</v>
      </c>
      <c r="IB63">
        <v>999.9</v>
      </c>
      <c r="IC63">
        <v>4.9729099999999997</v>
      </c>
      <c r="ID63">
        <v>1.8772599999999999</v>
      </c>
      <c r="IE63">
        <v>1.87531</v>
      </c>
      <c r="IF63">
        <v>1.87809</v>
      </c>
      <c r="IG63">
        <v>1.8748499999999999</v>
      </c>
      <c r="IH63">
        <v>1.87846</v>
      </c>
      <c r="II63">
        <v>1.8755500000000001</v>
      </c>
      <c r="IJ63">
        <v>1.8766799999999999</v>
      </c>
      <c r="IK63">
        <v>0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0.82199999999999995</v>
      </c>
      <c r="IY63">
        <v>0.183</v>
      </c>
      <c r="IZ63">
        <v>6.1933660764125778E-2</v>
      </c>
      <c r="JA63">
        <v>2.058711587971173E-3</v>
      </c>
      <c r="JB63">
        <v>-6.1309262243104059E-7</v>
      </c>
      <c r="JC63">
        <v>2.6183910446277612E-10</v>
      </c>
      <c r="JD63">
        <v>3.5078820932035488E-4</v>
      </c>
      <c r="JE63">
        <v>-4.3284922736758413E-3</v>
      </c>
      <c r="JF63">
        <v>1.4186339569364E-3</v>
      </c>
      <c r="JG63">
        <v>-2.7770646863349432E-5</v>
      </c>
      <c r="JH63">
        <v>2</v>
      </c>
      <c r="JI63">
        <v>2136</v>
      </c>
      <c r="JJ63">
        <v>1</v>
      </c>
      <c r="JK63">
        <v>19</v>
      </c>
      <c r="JL63">
        <v>29361434</v>
      </c>
      <c r="JM63">
        <v>29361434</v>
      </c>
      <c r="JN63">
        <v>1.1071800000000001</v>
      </c>
      <c r="JO63">
        <v>2.5561500000000001</v>
      </c>
      <c r="JP63">
        <v>1.39893</v>
      </c>
      <c r="JQ63">
        <v>2.32544</v>
      </c>
      <c r="JR63">
        <v>1.4489700000000001</v>
      </c>
      <c r="JS63">
        <v>2.4511699999999998</v>
      </c>
      <c r="JT63">
        <v>36.152000000000001</v>
      </c>
      <c r="JU63">
        <v>23.877400000000002</v>
      </c>
      <c r="JV63">
        <v>18</v>
      </c>
      <c r="JW63">
        <v>480.08199999999999</v>
      </c>
      <c r="JX63">
        <v>469.06200000000001</v>
      </c>
      <c r="JY63">
        <v>20.8248</v>
      </c>
      <c r="JZ63">
        <v>28.3827</v>
      </c>
      <c r="KA63">
        <v>29.9998</v>
      </c>
      <c r="KB63">
        <v>27.841899999999999</v>
      </c>
      <c r="KC63">
        <v>27.874500000000001</v>
      </c>
      <c r="KD63">
        <v>22.189399999999999</v>
      </c>
      <c r="KE63">
        <v>19.9343</v>
      </c>
      <c r="KF63">
        <v>59.149299999999997</v>
      </c>
      <c r="KG63">
        <v>20.839200000000002</v>
      </c>
      <c r="KH63">
        <v>420</v>
      </c>
      <c r="KI63">
        <v>14.879099999999999</v>
      </c>
      <c r="KJ63">
        <v>101.14100000000001</v>
      </c>
      <c r="KK63">
        <v>100.206</v>
      </c>
    </row>
    <row r="64" spans="1:297" x14ac:dyDescent="0.3">
      <c r="A64">
        <v>48</v>
      </c>
      <c r="B64">
        <v>1761686172.0999999</v>
      </c>
      <c r="C64">
        <v>8722.0999999046326</v>
      </c>
      <c r="D64" t="s">
        <v>634</v>
      </c>
      <c r="E64" t="s">
        <v>635</v>
      </c>
      <c r="F64">
        <v>5</v>
      </c>
      <c r="G64" t="s">
        <v>615</v>
      </c>
      <c r="H64" t="s">
        <v>436</v>
      </c>
      <c r="I64">
        <v>1761686164.349999</v>
      </c>
      <c r="J64">
        <f t="shared" si="50"/>
        <v>1.2408144626889607E-3</v>
      </c>
      <c r="K64">
        <f t="shared" si="51"/>
        <v>1.2408144626889608</v>
      </c>
      <c r="L64">
        <f t="shared" si="52"/>
        <v>6.3200387763165216</v>
      </c>
      <c r="M64">
        <f t="shared" si="53"/>
        <v>411.75650000000007</v>
      </c>
      <c r="N64">
        <f t="shared" si="54"/>
        <v>236.55260253595301</v>
      </c>
      <c r="O64">
        <f t="shared" si="55"/>
        <v>21.565044622404862</v>
      </c>
      <c r="P64">
        <f t="shared" si="56"/>
        <v>37.537305448650343</v>
      </c>
      <c r="Q64">
        <f t="shared" si="57"/>
        <v>6.2042733024131887E-2</v>
      </c>
      <c r="R64">
        <f t="shared" si="58"/>
        <v>2.7694878098451001</v>
      </c>
      <c r="S64">
        <f t="shared" si="59"/>
        <v>6.1280803066374005E-2</v>
      </c>
      <c r="T64">
        <f t="shared" si="60"/>
        <v>3.8368178613467918E-2</v>
      </c>
      <c r="U64">
        <f t="shared" si="61"/>
        <v>300.197650517623</v>
      </c>
      <c r="V64">
        <f t="shared" si="62"/>
        <v>25.645243732298653</v>
      </c>
      <c r="W64">
        <f t="shared" si="63"/>
        <v>25.645243732298653</v>
      </c>
      <c r="X64">
        <f t="shared" si="64"/>
        <v>3.3040716790555491</v>
      </c>
      <c r="Y64">
        <f t="shared" si="65"/>
        <v>49.962231324881962</v>
      </c>
      <c r="Z64">
        <f t="shared" si="66"/>
        <v>1.506891244683954</v>
      </c>
      <c r="AA64">
        <f t="shared" si="67"/>
        <v>3.0160607417337242</v>
      </c>
      <c r="AB64">
        <f t="shared" si="68"/>
        <v>1.7971804343715951</v>
      </c>
      <c r="AC64">
        <f t="shared" si="69"/>
        <v>-54.719917804583169</v>
      </c>
      <c r="AD64">
        <f t="shared" si="70"/>
        <v>-228.20286708133827</v>
      </c>
      <c r="AE64">
        <f t="shared" si="71"/>
        <v>-17.408618647702536</v>
      </c>
      <c r="AF64">
        <f t="shared" si="72"/>
        <v>-0.13375301600098055</v>
      </c>
      <c r="AG64">
        <f t="shared" si="73"/>
        <v>6.3660165132475868</v>
      </c>
      <c r="AH64">
        <f t="shared" si="74"/>
        <v>1.2270318379075014</v>
      </c>
      <c r="AI64">
        <f t="shared" si="75"/>
        <v>6.3200387763165216</v>
      </c>
      <c r="AJ64">
        <v>426.45891265046629</v>
      </c>
      <c r="AK64">
        <v>418.75791515151531</v>
      </c>
      <c r="AL64">
        <v>2.3714882468462681E-4</v>
      </c>
      <c r="AM64">
        <v>65.071113291080977</v>
      </c>
      <c r="AN64">
        <f t="shared" si="76"/>
        <v>1.2408144626889608</v>
      </c>
      <c r="AO64">
        <v>15.081180177944409</v>
      </c>
      <c r="AP64">
        <v>16.543697202797219</v>
      </c>
      <c r="AQ64">
        <v>2.4759723935624859E-4</v>
      </c>
      <c r="AR64">
        <v>96.775966201886661</v>
      </c>
      <c r="AS64">
        <v>0</v>
      </c>
      <c r="AT64">
        <v>0</v>
      </c>
      <c r="AU64">
        <f t="shared" si="77"/>
        <v>1</v>
      </c>
      <c r="AV64">
        <f t="shared" si="78"/>
        <v>0</v>
      </c>
      <c r="AW64">
        <f t="shared" si="79"/>
        <v>48661.037589324078</v>
      </c>
      <c r="AX64" t="s">
        <v>612</v>
      </c>
      <c r="AY64">
        <v>5006.08</v>
      </c>
      <c r="AZ64">
        <v>691.77599999999995</v>
      </c>
      <c r="BA64">
        <v>1803.42745997682</v>
      </c>
      <c r="BB64">
        <f t="shared" si="80"/>
        <v>0.61641040998184005</v>
      </c>
      <c r="BC64">
        <v>-0.98055102247034764</v>
      </c>
      <c r="BD64" t="s">
        <v>636</v>
      </c>
      <c r="BE64">
        <v>5041.28</v>
      </c>
      <c r="BF64">
        <v>1201.097307692308</v>
      </c>
      <c r="BG64">
        <v>1584.851553234352</v>
      </c>
      <c r="BH64">
        <f t="shared" si="81"/>
        <v>0.2421389213134072</v>
      </c>
      <c r="BI64">
        <v>0.5</v>
      </c>
      <c r="BJ64">
        <f t="shared" si="82"/>
        <v>1390.2869178675076</v>
      </c>
      <c r="BK64">
        <f t="shared" si="83"/>
        <v>6.3200387763165216</v>
      </c>
      <c r="BL64">
        <f t="shared" si="84"/>
        <v>168.32128730428991</v>
      </c>
      <c r="BM64">
        <f t="shared" si="85"/>
        <v>5.2511389591328988E-3</v>
      </c>
      <c r="BN64">
        <f t="shared" si="86"/>
        <v>0.13791569708620355</v>
      </c>
      <c r="BO64">
        <f t="shared" si="87"/>
        <v>657.01777192494376</v>
      </c>
      <c r="BP64" t="s">
        <v>637</v>
      </c>
      <c r="BQ64">
        <v>723.6</v>
      </c>
      <c r="BR64">
        <f t="shared" si="88"/>
        <v>723.6</v>
      </c>
      <c r="BS64">
        <f t="shared" si="89"/>
        <v>0.54342727019241455</v>
      </c>
      <c r="BT64">
        <f t="shared" si="90"/>
        <v>0.44557742055836036</v>
      </c>
      <c r="BU64">
        <f t="shared" si="91"/>
        <v>0.20241743689974331</v>
      </c>
      <c r="BV64">
        <f t="shared" si="92"/>
        <v>0.42969964204287536</v>
      </c>
      <c r="BW64">
        <f t="shared" si="93"/>
        <v>0.19662269570268523</v>
      </c>
      <c r="BX64">
        <f t="shared" si="94"/>
        <v>0.26843771895176516</v>
      </c>
      <c r="BY64">
        <f t="shared" si="95"/>
        <v>0.73156228104823484</v>
      </c>
      <c r="BZ64">
        <v>457</v>
      </c>
      <c r="CA64">
        <v>290.00000000000011</v>
      </c>
      <c r="CB64">
        <v>1525.99</v>
      </c>
      <c r="CC64">
        <v>265</v>
      </c>
      <c r="CD64">
        <v>5041.28</v>
      </c>
      <c r="CE64">
        <v>1526.28</v>
      </c>
      <c r="CF64">
        <v>-0.28999999999999998</v>
      </c>
      <c r="CG64">
        <v>300.00000000000011</v>
      </c>
      <c r="CH64">
        <v>23.9</v>
      </c>
      <c r="CI64">
        <v>1584.851553234352</v>
      </c>
      <c r="CJ64">
        <v>1.513430567303274</v>
      </c>
      <c r="CK64">
        <v>-29.526477239704381</v>
      </c>
      <c r="CL64">
        <v>0.67381799348118687</v>
      </c>
      <c r="CM64">
        <v>0.98562748485204177</v>
      </c>
      <c r="CN64">
        <v>-3.6806580645161319E-3</v>
      </c>
      <c r="CO64">
        <v>289.99999999999989</v>
      </c>
      <c r="CP64">
        <v>1524.15</v>
      </c>
      <c r="CQ64">
        <v>635</v>
      </c>
      <c r="CR64">
        <v>5041.2700000000004</v>
      </c>
      <c r="CS64">
        <v>1526.28</v>
      </c>
      <c r="CT64">
        <v>-2.13</v>
      </c>
      <c r="DH64">
        <f t="shared" si="96"/>
        <v>1693.4134666666664</v>
      </c>
      <c r="DI64">
        <f t="shared" si="97"/>
        <v>1390.2869178675076</v>
      </c>
      <c r="DJ64">
        <f t="shared" si="98"/>
        <v>0.82099672952534353</v>
      </c>
      <c r="DK64">
        <f t="shared" si="99"/>
        <v>0.17727368798391296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1761686164.349999</v>
      </c>
      <c r="DR64">
        <v>411.75650000000007</v>
      </c>
      <c r="DS64">
        <v>420.00166666666672</v>
      </c>
      <c r="DT64">
        <v>16.529483333333339</v>
      </c>
      <c r="DU64">
        <v>15.081443333333331</v>
      </c>
      <c r="DV64">
        <v>410.93416666666673</v>
      </c>
      <c r="DW64">
        <v>16.342199999999998</v>
      </c>
      <c r="DX64">
        <v>500.02056666666658</v>
      </c>
      <c r="DY64">
        <v>91.126613333333339</v>
      </c>
      <c r="DZ64">
        <v>3.7230949999999999E-2</v>
      </c>
      <c r="EA64">
        <v>24.116846666666671</v>
      </c>
      <c r="EB64">
        <v>23.957526666666659</v>
      </c>
      <c r="EC64">
        <v>999.9000000000002</v>
      </c>
      <c r="ED64">
        <v>0</v>
      </c>
      <c r="EE64">
        <v>0</v>
      </c>
      <c r="EF64">
        <v>10001.775333333329</v>
      </c>
      <c r="EG64">
        <v>0</v>
      </c>
      <c r="EH64">
        <v>1093.429333333333</v>
      </c>
      <c r="EI64">
        <v>-8.2450366666666675</v>
      </c>
      <c r="EJ64">
        <v>418.67710000000011</v>
      </c>
      <c r="EK64">
        <v>426.43293333333332</v>
      </c>
      <c r="EL64">
        <v>1.448032</v>
      </c>
      <c r="EM64">
        <v>420.00166666666672</v>
      </c>
      <c r="EN64">
        <v>15.081443333333331</v>
      </c>
      <c r="EO64">
        <v>1.506274666666666</v>
      </c>
      <c r="EP64">
        <v>1.374320666666667</v>
      </c>
      <c r="EQ64">
        <v>13.032013333333341</v>
      </c>
      <c r="ER64">
        <v>11.637223333333329</v>
      </c>
      <c r="ES64">
        <v>599.98413333333338</v>
      </c>
      <c r="ET64">
        <v>0.93299063333333321</v>
      </c>
      <c r="EU64">
        <v>6.7009686666666679E-2</v>
      </c>
      <c r="EV64">
        <v>0</v>
      </c>
      <c r="EW64">
        <v>1201.086333333333</v>
      </c>
      <c r="EX64">
        <v>5.0005600000000019</v>
      </c>
      <c r="EY64">
        <v>7169.1980000000003</v>
      </c>
      <c r="EZ64">
        <v>5080.972999999999</v>
      </c>
      <c r="FA64">
        <v>36.93719999999999</v>
      </c>
      <c r="FB64">
        <v>39.978999999999992</v>
      </c>
      <c r="FC64">
        <v>38.362266666666663</v>
      </c>
      <c r="FD64">
        <v>38.978866666666661</v>
      </c>
      <c r="FE64">
        <v>38.528866666666651</v>
      </c>
      <c r="FF64">
        <v>555.11366666666663</v>
      </c>
      <c r="FG64">
        <v>39.867999999999981</v>
      </c>
      <c r="FH64">
        <v>0</v>
      </c>
      <c r="FI64">
        <v>127.3999998569489</v>
      </c>
      <c r="FJ64">
        <v>0</v>
      </c>
      <c r="FK64">
        <v>1201.097307692308</v>
      </c>
      <c r="FL64">
        <v>1.435555545473987</v>
      </c>
      <c r="FM64">
        <v>-0.58085468280653507</v>
      </c>
      <c r="FN64">
        <v>7169.3073076923074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-8.2573895121951217</v>
      </c>
      <c r="GD64">
        <v>9.511463414635149E-2</v>
      </c>
      <c r="GE64">
        <v>2.9379990366036279E-2</v>
      </c>
      <c r="GF64">
        <v>1</v>
      </c>
      <c r="GG64">
        <v>1200.985882352941</v>
      </c>
      <c r="GH64">
        <v>1.6932009113763611</v>
      </c>
      <c r="GI64">
        <v>0.2539467017617032</v>
      </c>
      <c r="GJ64">
        <v>0</v>
      </c>
      <c r="GK64">
        <v>1.435598048780488</v>
      </c>
      <c r="GL64">
        <v>0.195097839721254</v>
      </c>
      <c r="GM64">
        <v>1.9583319335412529E-2</v>
      </c>
      <c r="GN64">
        <v>0</v>
      </c>
      <c r="GO64">
        <v>1</v>
      </c>
      <c r="GP64">
        <v>3</v>
      </c>
      <c r="GQ64" t="s">
        <v>442</v>
      </c>
      <c r="GR64">
        <v>3.12914</v>
      </c>
      <c r="GS64">
        <v>2.7152599999999998</v>
      </c>
      <c r="GT64">
        <v>8.5060300000000005E-2</v>
      </c>
      <c r="GU64">
        <v>8.6914500000000006E-2</v>
      </c>
      <c r="GV64">
        <v>8.2801E-2</v>
      </c>
      <c r="GW64">
        <v>7.8157400000000002E-2</v>
      </c>
      <c r="GX64">
        <v>27500.3</v>
      </c>
      <c r="GY64">
        <v>26529.5</v>
      </c>
      <c r="GZ64">
        <v>30596.799999999999</v>
      </c>
      <c r="HA64">
        <v>29306.2</v>
      </c>
      <c r="HB64">
        <v>38715</v>
      </c>
      <c r="HC64">
        <v>35563</v>
      </c>
      <c r="HD64">
        <v>46779.8</v>
      </c>
      <c r="HE64">
        <v>43562.3</v>
      </c>
      <c r="HF64">
        <v>1.8371</v>
      </c>
      <c r="HG64">
        <v>1.86747</v>
      </c>
      <c r="HH64">
        <v>3.2879400000000003E-2</v>
      </c>
      <c r="HI64">
        <v>0</v>
      </c>
      <c r="HJ64">
        <v>23.424700000000001</v>
      </c>
      <c r="HK64">
        <v>999.9</v>
      </c>
      <c r="HL64">
        <v>37.1</v>
      </c>
      <c r="HM64">
        <v>30.3</v>
      </c>
      <c r="HN64">
        <v>17.6464</v>
      </c>
      <c r="HO64">
        <v>63.507899999999999</v>
      </c>
      <c r="HP64">
        <v>18.149000000000001</v>
      </c>
      <c r="HQ64">
        <v>1</v>
      </c>
      <c r="HR64">
        <v>0.10759100000000001</v>
      </c>
      <c r="HS64">
        <v>1.8404199999999999</v>
      </c>
      <c r="HT64">
        <v>20.207899999999999</v>
      </c>
      <c r="HU64">
        <v>5.23691</v>
      </c>
      <c r="HV64">
        <v>11.974500000000001</v>
      </c>
      <c r="HW64">
        <v>4.9725000000000001</v>
      </c>
      <c r="HX64">
        <v>3.2909999999999999</v>
      </c>
      <c r="HY64">
        <v>9999</v>
      </c>
      <c r="HZ64">
        <v>9999</v>
      </c>
      <c r="IA64">
        <v>9999</v>
      </c>
      <c r="IB64">
        <v>999.9</v>
      </c>
      <c r="IC64">
        <v>4.9729200000000002</v>
      </c>
      <c r="ID64">
        <v>1.87721</v>
      </c>
      <c r="IE64">
        <v>1.8752899999999999</v>
      </c>
      <c r="IF64">
        <v>1.8780699999999999</v>
      </c>
      <c r="IG64">
        <v>1.8748199999999999</v>
      </c>
      <c r="IH64">
        <v>1.87842</v>
      </c>
      <c r="II64">
        <v>1.8754999999999999</v>
      </c>
      <c r="IJ64">
        <v>1.8767</v>
      </c>
      <c r="IK64">
        <v>0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0.82299999999999995</v>
      </c>
      <c r="IY64">
        <v>0.1875</v>
      </c>
      <c r="IZ64">
        <v>6.1933660764125778E-2</v>
      </c>
      <c r="JA64">
        <v>2.058711587971173E-3</v>
      </c>
      <c r="JB64">
        <v>-6.1309262243104059E-7</v>
      </c>
      <c r="JC64">
        <v>2.6183910446277612E-10</v>
      </c>
      <c r="JD64">
        <v>3.5078820932035488E-4</v>
      </c>
      <c r="JE64">
        <v>-4.3284922736758413E-3</v>
      </c>
      <c r="JF64">
        <v>1.4186339569364E-3</v>
      </c>
      <c r="JG64">
        <v>-2.7770646863349432E-5</v>
      </c>
      <c r="JH64">
        <v>2</v>
      </c>
      <c r="JI64">
        <v>2136</v>
      </c>
      <c r="JJ64">
        <v>1</v>
      </c>
      <c r="JK64">
        <v>19</v>
      </c>
      <c r="JL64">
        <v>29361436.199999999</v>
      </c>
      <c r="JM64">
        <v>29361436.199999999</v>
      </c>
      <c r="JN64">
        <v>1.1071800000000001</v>
      </c>
      <c r="JO64">
        <v>2.5390600000000001</v>
      </c>
      <c r="JP64">
        <v>1.39893</v>
      </c>
      <c r="JQ64">
        <v>2.32544</v>
      </c>
      <c r="JR64">
        <v>1.4489700000000001</v>
      </c>
      <c r="JS64">
        <v>2.5805699999999998</v>
      </c>
      <c r="JT64">
        <v>36.152000000000001</v>
      </c>
      <c r="JU64">
        <v>23.912400000000002</v>
      </c>
      <c r="JV64">
        <v>18</v>
      </c>
      <c r="JW64">
        <v>480.66800000000001</v>
      </c>
      <c r="JX64">
        <v>469.79700000000003</v>
      </c>
      <c r="JY64">
        <v>21.530799999999999</v>
      </c>
      <c r="JZ64">
        <v>28.5107</v>
      </c>
      <c r="KA64">
        <v>30.000399999999999</v>
      </c>
      <c r="KB64">
        <v>28.028099999999998</v>
      </c>
      <c r="KC64">
        <v>28.0702</v>
      </c>
      <c r="KD64">
        <v>22.194600000000001</v>
      </c>
      <c r="KE64">
        <v>19.079599999999999</v>
      </c>
      <c r="KF64">
        <v>59.902900000000002</v>
      </c>
      <c r="KG64">
        <v>21.545999999999999</v>
      </c>
      <c r="KH64">
        <v>420</v>
      </c>
      <c r="KI64">
        <v>15.0717</v>
      </c>
      <c r="KJ64">
        <v>101.117</v>
      </c>
      <c r="KK64">
        <v>100.187</v>
      </c>
    </row>
    <row r="65" spans="1:297" x14ac:dyDescent="0.3">
      <c r="A65">
        <v>49</v>
      </c>
      <c r="B65">
        <v>1761686248.0999999</v>
      </c>
      <c r="C65">
        <v>8798.0999999046326</v>
      </c>
      <c r="D65" t="s">
        <v>638</v>
      </c>
      <c r="E65" t="s">
        <v>639</v>
      </c>
      <c r="F65">
        <v>5</v>
      </c>
      <c r="G65" t="s">
        <v>615</v>
      </c>
      <c r="H65" t="s">
        <v>436</v>
      </c>
      <c r="I65">
        <v>1761686240.099999</v>
      </c>
      <c r="J65">
        <f t="shared" si="50"/>
        <v>1.2592197371505435E-3</v>
      </c>
      <c r="K65">
        <f t="shared" si="51"/>
        <v>1.2592197371505436</v>
      </c>
      <c r="L65">
        <f t="shared" si="52"/>
        <v>5.0309988792262477</v>
      </c>
      <c r="M65">
        <f t="shared" si="53"/>
        <v>413.30103225806448</v>
      </c>
      <c r="N65">
        <f t="shared" si="54"/>
        <v>276.23068802467481</v>
      </c>
      <c r="O65">
        <f t="shared" si="55"/>
        <v>25.182705820970195</v>
      </c>
      <c r="P65">
        <f t="shared" si="56"/>
        <v>37.678790815336328</v>
      </c>
      <c r="Q65">
        <f t="shared" si="57"/>
        <v>6.4499693665017482E-2</v>
      </c>
      <c r="R65">
        <f t="shared" si="58"/>
        <v>2.7697578791053328</v>
      </c>
      <c r="S65">
        <f t="shared" si="59"/>
        <v>6.3676733140399525E-2</v>
      </c>
      <c r="T65">
        <f t="shared" si="60"/>
        <v>3.9871023054457777E-2</v>
      </c>
      <c r="U65">
        <f t="shared" si="61"/>
        <v>248.29510978329452</v>
      </c>
      <c r="V65">
        <f t="shared" si="62"/>
        <v>25.475755569537338</v>
      </c>
      <c r="W65">
        <f t="shared" si="63"/>
        <v>25.475755569537338</v>
      </c>
      <c r="X65">
        <f t="shared" si="64"/>
        <v>3.2709919043423703</v>
      </c>
      <c r="Y65">
        <f t="shared" si="65"/>
        <v>49.770948364383855</v>
      </c>
      <c r="Z65">
        <f t="shared" si="66"/>
        <v>1.5155036265745347</v>
      </c>
      <c r="AA65">
        <f t="shared" si="67"/>
        <v>3.0449562975557662</v>
      </c>
      <c r="AB65">
        <f t="shared" si="68"/>
        <v>1.7554882777678356</v>
      </c>
      <c r="AC65">
        <f t="shared" si="69"/>
        <v>-55.531590408338971</v>
      </c>
      <c r="AD65">
        <f t="shared" si="70"/>
        <v>-179.17926288492134</v>
      </c>
      <c r="AE65">
        <f t="shared" si="71"/>
        <v>-13.666726554621805</v>
      </c>
      <c r="AF65">
        <f t="shared" si="72"/>
        <v>-8.2470064587596426E-2</v>
      </c>
      <c r="AG65">
        <f t="shared" si="73"/>
        <v>5.0758385825421923</v>
      </c>
      <c r="AH65">
        <f t="shared" si="74"/>
        <v>1.2505865007623016</v>
      </c>
      <c r="AI65">
        <f t="shared" si="75"/>
        <v>5.0309988792262477</v>
      </c>
      <c r="AJ65">
        <v>426.43994784469612</v>
      </c>
      <c r="AK65">
        <v>420.31690909090901</v>
      </c>
      <c r="AL65">
        <v>-1.3975313913806859E-3</v>
      </c>
      <c r="AM65">
        <v>65.071113291080977</v>
      </c>
      <c r="AN65">
        <f t="shared" si="76"/>
        <v>1.2592197371505436</v>
      </c>
      <c r="AO65">
        <v>15.14202183610038</v>
      </c>
      <c r="AP65">
        <v>16.6270104895105</v>
      </c>
      <c r="AQ65">
        <v>1.2254713308751459E-4</v>
      </c>
      <c r="AR65">
        <v>96.775966201886661</v>
      </c>
      <c r="AS65">
        <v>0</v>
      </c>
      <c r="AT65">
        <v>0</v>
      </c>
      <c r="AU65">
        <f t="shared" si="77"/>
        <v>1</v>
      </c>
      <c r="AV65">
        <f t="shared" si="78"/>
        <v>0</v>
      </c>
      <c r="AW65">
        <f t="shared" si="79"/>
        <v>48642.480044568299</v>
      </c>
      <c r="AX65" t="s">
        <v>612</v>
      </c>
      <c r="AY65">
        <v>5006.08</v>
      </c>
      <c r="AZ65">
        <v>691.77599999999995</v>
      </c>
      <c r="BA65">
        <v>1803.42745997682</v>
      </c>
      <c r="BB65">
        <f t="shared" si="80"/>
        <v>0.61641040998184005</v>
      </c>
      <c r="BC65">
        <v>-0.98055102247034764</v>
      </c>
      <c r="BD65" t="s">
        <v>640</v>
      </c>
      <c r="BE65">
        <v>5032.26</v>
      </c>
      <c r="BF65">
        <v>952.25439999999992</v>
      </c>
      <c r="BG65">
        <v>1602.2941169452249</v>
      </c>
      <c r="BH65">
        <f t="shared" si="81"/>
        <v>0.40569313091189918</v>
      </c>
      <c r="BI65">
        <v>0.5</v>
      </c>
      <c r="BJ65">
        <f t="shared" si="82"/>
        <v>1144.624038179544</v>
      </c>
      <c r="BK65">
        <f t="shared" si="83"/>
        <v>5.0309988792262477</v>
      </c>
      <c r="BL65">
        <f t="shared" si="84"/>
        <v>232.1830548830402</v>
      </c>
      <c r="BM65">
        <f t="shared" si="85"/>
        <v>5.2519864175293801E-3</v>
      </c>
      <c r="BN65">
        <f t="shared" si="86"/>
        <v>0.12552835394231868</v>
      </c>
      <c r="BO65">
        <f t="shared" si="87"/>
        <v>659.99627526690438</v>
      </c>
      <c r="BP65" t="s">
        <v>641</v>
      </c>
      <c r="BQ65">
        <v>693.73</v>
      </c>
      <c r="BR65">
        <f t="shared" si="88"/>
        <v>693.73</v>
      </c>
      <c r="BS65">
        <f t="shared" si="89"/>
        <v>0.56703953870679069</v>
      </c>
      <c r="BT65">
        <f t="shared" si="90"/>
        <v>0.7154582762202728</v>
      </c>
      <c r="BU65">
        <f t="shared" si="91"/>
        <v>0.18125061134752576</v>
      </c>
      <c r="BV65">
        <f t="shared" si="92"/>
        <v>0.71392288066282394</v>
      </c>
      <c r="BW65">
        <f t="shared" si="93"/>
        <v>0.18093201895834249</v>
      </c>
      <c r="BX65">
        <f t="shared" si="94"/>
        <v>0.52122087329004718</v>
      </c>
      <c r="BY65">
        <f t="shared" si="95"/>
        <v>0.47877912670995282</v>
      </c>
      <c r="BZ65">
        <v>459</v>
      </c>
      <c r="CA65">
        <v>290.00000000000011</v>
      </c>
      <c r="CB65">
        <v>1540.15</v>
      </c>
      <c r="CC65">
        <v>245</v>
      </c>
      <c r="CD65">
        <v>5032.26</v>
      </c>
      <c r="CE65">
        <v>1540.54</v>
      </c>
      <c r="CF65">
        <v>-0.39</v>
      </c>
      <c r="CG65">
        <v>300.00000000000011</v>
      </c>
      <c r="CH65">
        <v>23.9</v>
      </c>
      <c r="CI65">
        <v>1602.2941169452249</v>
      </c>
      <c r="CJ65">
        <v>1.3433858788274571</v>
      </c>
      <c r="CK65">
        <v>-31.077404886891092</v>
      </c>
      <c r="CL65">
        <v>0.59135402358832123</v>
      </c>
      <c r="CM65">
        <v>0.98996348752841912</v>
      </c>
      <c r="CN65">
        <v>-3.9205701890989977E-3</v>
      </c>
      <c r="CO65">
        <v>289.99999999999989</v>
      </c>
      <c r="CP65">
        <v>1538.4</v>
      </c>
      <c r="CQ65">
        <v>675</v>
      </c>
      <c r="CR65">
        <v>5031.88</v>
      </c>
      <c r="CS65">
        <v>1540.53</v>
      </c>
      <c r="CT65">
        <v>-2.13</v>
      </c>
      <c r="DH65">
        <f t="shared" si="96"/>
        <v>1393.3766451612901</v>
      </c>
      <c r="DI65">
        <f t="shared" si="97"/>
        <v>1144.624038179544</v>
      </c>
      <c r="DJ65">
        <f t="shared" si="98"/>
        <v>0.82147497028489969</v>
      </c>
      <c r="DK65">
        <f t="shared" si="99"/>
        <v>0.17819669264985646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1761686240.099999</v>
      </c>
      <c r="DR65">
        <v>413.30103225806448</v>
      </c>
      <c r="DS65">
        <v>420.01193548387101</v>
      </c>
      <c r="DT65">
        <v>16.62365483870968</v>
      </c>
      <c r="DU65">
        <v>15.147974193548389</v>
      </c>
      <c r="DV65">
        <v>412.47590322580652</v>
      </c>
      <c r="DW65">
        <v>16.434538709677419</v>
      </c>
      <c r="DX65">
        <v>500.02574193548389</v>
      </c>
      <c r="DY65">
        <v>91.128106451612894</v>
      </c>
      <c r="DZ65">
        <v>3.7382803225806463E-2</v>
      </c>
      <c r="EA65">
        <v>24.275812903225798</v>
      </c>
      <c r="EB65">
        <v>23.933264516129029</v>
      </c>
      <c r="EC65">
        <v>999.90000000000032</v>
      </c>
      <c r="ED65">
        <v>0</v>
      </c>
      <c r="EE65">
        <v>0</v>
      </c>
      <c r="EF65">
        <v>10003.20483870968</v>
      </c>
      <c r="EG65">
        <v>0</v>
      </c>
      <c r="EH65">
        <v>1093.3683870967741</v>
      </c>
      <c r="EI65">
        <v>-6.7108745161290324</v>
      </c>
      <c r="EJ65">
        <v>420.28777419354839</v>
      </c>
      <c r="EK65">
        <v>426.47212903225812</v>
      </c>
      <c r="EL65">
        <v>1.4756764516129039</v>
      </c>
      <c r="EM65">
        <v>420.01193548387101</v>
      </c>
      <c r="EN65">
        <v>15.147974193548389</v>
      </c>
      <c r="EO65">
        <v>1.514881290322581</v>
      </c>
      <c r="EP65">
        <v>1.380406129032258</v>
      </c>
      <c r="EQ65">
        <v>13.119196774193551</v>
      </c>
      <c r="ER65">
        <v>11.704070967741931</v>
      </c>
      <c r="ES65">
        <v>300.0082580645161</v>
      </c>
      <c r="ET65">
        <v>0.89999309677419348</v>
      </c>
      <c r="EU65">
        <v>0.1000069677419355</v>
      </c>
      <c r="EV65">
        <v>0</v>
      </c>
      <c r="EW65">
        <v>952.27387096774191</v>
      </c>
      <c r="EX65">
        <v>5.0005600000000019</v>
      </c>
      <c r="EY65">
        <v>2905.4141935483872</v>
      </c>
      <c r="EZ65">
        <v>2492.4741935483871</v>
      </c>
      <c r="FA65">
        <v>36.777999999999999</v>
      </c>
      <c r="FB65">
        <v>39.731709677419339</v>
      </c>
      <c r="FC65">
        <v>38.156999999999996</v>
      </c>
      <c r="FD65">
        <v>38.816064516129018</v>
      </c>
      <c r="FE65">
        <v>38.197193548387077</v>
      </c>
      <c r="FF65">
        <v>265.50548387096779</v>
      </c>
      <c r="FG65">
        <v>29.5</v>
      </c>
      <c r="FH65">
        <v>0</v>
      </c>
      <c r="FI65">
        <v>74</v>
      </c>
      <c r="FJ65">
        <v>0</v>
      </c>
      <c r="FK65">
        <v>952.25439999999992</v>
      </c>
      <c r="FL65">
        <v>-1.7204615211195871</v>
      </c>
      <c r="FM65">
        <v>-13.124615455892179</v>
      </c>
      <c r="FN65">
        <v>2905.2336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-6.7207715000000006</v>
      </c>
      <c r="GD65">
        <v>0.44875272045030562</v>
      </c>
      <c r="GE65">
        <v>6.0020796210563512E-2</v>
      </c>
      <c r="GF65">
        <v>1</v>
      </c>
      <c r="GG65">
        <v>952.25326470588243</v>
      </c>
      <c r="GH65">
        <v>-0.77434682210558026</v>
      </c>
      <c r="GI65">
        <v>0.24375739009292469</v>
      </c>
      <c r="GJ65">
        <v>1</v>
      </c>
      <c r="GK65">
        <v>1.47627825</v>
      </c>
      <c r="GL65">
        <v>8.4767166979356309E-2</v>
      </c>
      <c r="GM65">
        <v>1.9269272675363242E-2</v>
      </c>
      <c r="GN65">
        <v>1</v>
      </c>
      <c r="GO65">
        <v>3</v>
      </c>
      <c r="GP65">
        <v>3</v>
      </c>
      <c r="GQ65" t="s">
        <v>470</v>
      </c>
      <c r="GR65">
        <v>3.1291099999999998</v>
      </c>
      <c r="GS65">
        <v>2.7152599999999998</v>
      </c>
      <c r="GT65">
        <v>8.52802E-2</v>
      </c>
      <c r="GU65">
        <v>8.6893499999999999E-2</v>
      </c>
      <c r="GV65">
        <v>8.3079600000000003E-2</v>
      </c>
      <c r="GW65">
        <v>7.82167E-2</v>
      </c>
      <c r="GX65">
        <v>27489.4</v>
      </c>
      <c r="GY65">
        <v>26526.799999999999</v>
      </c>
      <c r="GZ65">
        <v>30592.400000000001</v>
      </c>
      <c r="HA65">
        <v>29302.9</v>
      </c>
      <c r="HB65">
        <v>38698.400000000001</v>
      </c>
      <c r="HC65">
        <v>35556.699999999997</v>
      </c>
      <c r="HD65">
        <v>46774</v>
      </c>
      <c r="HE65">
        <v>43557.4</v>
      </c>
      <c r="HF65">
        <v>1.83643</v>
      </c>
      <c r="HG65">
        <v>1.86683</v>
      </c>
      <c r="HH65">
        <v>2.8386700000000001E-2</v>
      </c>
      <c r="HI65">
        <v>0</v>
      </c>
      <c r="HJ65">
        <v>23.529299999999999</v>
      </c>
      <c r="HK65">
        <v>999.9</v>
      </c>
      <c r="HL65">
        <v>37.299999999999997</v>
      </c>
      <c r="HM65">
        <v>30.3</v>
      </c>
      <c r="HN65">
        <v>17.741599999999998</v>
      </c>
      <c r="HO65">
        <v>62.987900000000003</v>
      </c>
      <c r="HP65">
        <v>18.2652</v>
      </c>
      <c r="HQ65">
        <v>1</v>
      </c>
      <c r="HR65">
        <v>0.11042200000000001</v>
      </c>
      <c r="HS65">
        <v>0.93008199999999996</v>
      </c>
      <c r="HT65">
        <v>20.217600000000001</v>
      </c>
      <c r="HU65">
        <v>5.2355600000000004</v>
      </c>
      <c r="HV65">
        <v>11.974</v>
      </c>
      <c r="HW65">
        <v>4.9725000000000001</v>
      </c>
      <c r="HX65">
        <v>3.2909999999999999</v>
      </c>
      <c r="HY65">
        <v>9999</v>
      </c>
      <c r="HZ65">
        <v>9999</v>
      </c>
      <c r="IA65">
        <v>9999</v>
      </c>
      <c r="IB65">
        <v>999.9</v>
      </c>
      <c r="IC65">
        <v>4.9729099999999997</v>
      </c>
      <c r="ID65">
        <v>1.87727</v>
      </c>
      <c r="IE65">
        <v>1.87531</v>
      </c>
      <c r="IF65">
        <v>1.8781000000000001</v>
      </c>
      <c r="IG65">
        <v>1.8748499999999999</v>
      </c>
      <c r="IH65">
        <v>1.8784000000000001</v>
      </c>
      <c r="II65">
        <v>1.87558</v>
      </c>
      <c r="IJ65">
        <v>1.8767</v>
      </c>
      <c r="IK65">
        <v>0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0.82499999999999996</v>
      </c>
      <c r="IY65">
        <v>0.18920000000000001</v>
      </c>
      <c r="IZ65">
        <v>6.1933660764125778E-2</v>
      </c>
      <c r="JA65">
        <v>2.058711587971173E-3</v>
      </c>
      <c r="JB65">
        <v>-6.1309262243104059E-7</v>
      </c>
      <c r="JC65">
        <v>2.6183910446277612E-10</v>
      </c>
      <c r="JD65">
        <v>3.5078820932035488E-4</v>
      </c>
      <c r="JE65">
        <v>-4.3284922736758413E-3</v>
      </c>
      <c r="JF65">
        <v>1.4186339569364E-3</v>
      </c>
      <c r="JG65">
        <v>-2.7770646863349432E-5</v>
      </c>
      <c r="JH65">
        <v>2</v>
      </c>
      <c r="JI65">
        <v>2136</v>
      </c>
      <c r="JJ65">
        <v>1</v>
      </c>
      <c r="JK65">
        <v>19</v>
      </c>
      <c r="JL65">
        <v>29361437.5</v>
      </c>
      <c r="JM65">
        <v>29361437.5</v>
      </c>
      <c r="JN65">
        <v>1.1071800000000001</v>
      </c>
      <c r="JO65">
        <v>2.5488300000000002</v>
      </c>
      <c r="JP65">
        <v>1.39893</v>
      </c>
      <c r="JQ65">
        <v>2.32544</v>
      </c>
      <c r="JR65">
        <v>1.4489700000000001</v>
      </c>
      <c r="JS65">
        <v>2.5524900000000001</v>
      </c>
      <c r="JT65">
        <v>36.152000000000001</v>
      </c>
      <c r="JU65">
        <v>23.912400000000002</v>
      </c>
      <c r="JV65">
        <v>18</v>
      </c>
      <c r="JW65">
        <v>480.91500000000002</v>
      </c>
      <c r="JX65">
        <v>470.16399999999999</v>
      </c>
      <c r="JY65">
        <v>22.903500000000001</v>
      </c>
      <c r="JZ65">
        <v>28.577200000000001</v>
      </c>
      <c r="KA65">
        <v>30.000599999999999</v>
      </c>
      <c r="KB65">
        <v>28.121600000000001</v>
      </c>
      <c r="KC65">
        <v>28.168299999999999</v>
      </c>
      <c r="KD65">
        <v>22.192399999999999</v>
      </c>
      <c r="KE65">
        <v>19.9422</v>
      </c>
      <c r="KF65">
        <v>60.6447</v>
      </c>
      <c r="KG65">
        <v>22.895299999999999</v>
      </c>
      <c r="KH65">
        <v>420</v>
      </c>
      <c r="KI65">
        <v>15.07</v>
      </c>
      <c r="KJ65">
        <v>101.104</v>
      </c>
      <c r="KK65">
        <v>100.176</v>
      </c>
    </row>
    <row r="66" spans="1:297" x14ac:dyDescent="0.3">
      <c r="A66">
        <v>50</v>
      </c>
      <c r="B66">
        <v>1761686344.5999999</v>
      </c>
      <c r="C66">
        <v>8894.5999999046326</v>
      </c>
      <c r="D66" t="s">
        <v>642</v>
      </c>
      <c r="E66" t="s">
        <v>643</v>
      </c>
      <c r="F66">
        <v>5</v>
      </c>
      <c r="G66" t="s">
        <v>615</v>
      </c>
      <c r="H66" t="s">
        <v>436</v>
      </c>
      <c r="I66">
        <v>1761686336.849999</v>
      </c>
      <c r="J66">
        <f t="shared" si="50"/>
        <v>1.126345311074898E-3</v>
      </c>
      <c r="K66">
        <f t="shared" si="51"/>
        <v>1.126345311074898</v>
      </c>
      <c r="L66">
        <f t="shared" si="52"/>
        <v>2.8813776502187634</v>
      </c>
      <c r="M66">
        <f t="shared" si="53"/>
        <v>415.95949999999988</v>
      </c>
      <c r="N66">
        <f t="shared" si="54"/>
        <v>323.72936788654192</v>
      </c>
      <c r="O66">
        <f t="shared" si="55"/>
        <v>29.513351216070106</v>
      </c>
      <c r="P66">
        <f t="shared" si="56"/>
        <v>37.92167172013702</v>
      </c>
      <c r="Q66">
        <f t="shared" si="57"/>
        <v>5.7780096937161421E-2</v>
      </c>
      <c r="R66">
        <f t="shared" si="58"/>
        <v>2.7685180844182611</v>
      </c>
      <c r="S66">
        <f t="shared" si="59"/>
        <v>5.7118436171034681E-2</v>
      </c>
      <c r="T66">
        <f t="shared" si="60"/>
        <v>3.5757838774001807E-2</v>
      </c>
      <c r="U66">
        <f t="shared" si="61"/>
        <v>221.48967301728237</v>
      </c>
      <c r="V66">
        <f t="shared" si="62"/>
        <v>25.548977292866766</v>
      </c>
      <c r="W66">
        <f t="shared" si="63"/>
        <v>25.548977292866766</v>
      </c>
      <c r="X66">
        <f t="shared" si="64"/>
        <v>3.2852472504429837</v>
      </c>
      <c r="Y66">
        <f t="shared" si="65"/>
        <v>49.801472703094582</v>
      </c>
      <c r="Z66">
        <f t="shared" si="66"/>
        <v>1.5350139123553113</v>
      </c>
      <c r="AA66">
        <f t="shared" si="67"/>
        <v>3.0822661038695105</v>
      </c>
      <c r="AB66">
        <f t="shared" si="68"/>
        <v>1.7502333380876725</v>
      </c>
      <c r="AC66">
        <f t="shared" si="69"/>
        <v>-49.671828218403</v>
      </c>
      <c r="AD66">
        <f t="shared" si="70"/>
        <v>-159.68149874599581</v>
      </c>
      <c r="AE66">
        <f t="shared" si="71"/>
        <v>-12.201973490139137</v>
      </c>
      <c r="AF66">
        <f t="shared" si="72"/>
        <v>-6.5627437255557197E-2</v>
      </c>
      <c r="AG66">
        <f t="shared" si="73"/>
        <v>2.8930226466915498</v>
      </c>
      <c r="AH66">
        <f t="shared" si="74"/>
        <v>1.135911519237351</v>
      </c>
      <c r="AI66">
        <f t="shared" si="75"/>
        <v>2.8813776502187634</v>
      </c>
      <c r="AJ66">
        <v>426.61731673693822</v>
      </c>
      <c r="AK66">
        <v>423.09863636363622</v>
      </c>
      <c r="AL66">
        <v>1.398549551842419E-3</v>
      </c>
      <c r="AM66">
        <v>65.071113291080977</v>
      </c>
      <c r="AN66">
        <f t="shared" si="76"/>
        <v>1.126345311074898</v>
      </c>
      <c r="AO66">
        <v>15.52088103819356</v>
      </c>
      <c r="AP66">
        <v>16.847923776223791</v>
      </c>
      <c r="AQ66">
        <v>2.4700118666375542E-4</v>
      </c>
      <c r="AR66">
        <v>96.775966201886661</v>
      </c>
      <c r="AS66">
        <v>0</v>
      </c>
      <c r="AT66">
        <v>0</v>
      </c>
      <c r="AU66">
        <f t="shared" si="77"/>
        <v>1</v>
      </c>
      <c r="AV66">
        <f t="shared" si="78"/>
        <v>0</v>
      </c>
      <c r="AW66">
        <f t="shared" si="79"/>
        <v>48575.175234942515</v>
      </c>
      <c r="AX66" t="s">
        <v>612</v>
      </c>
      <c r="AY66">
        <v>5006.08</v>
      </c>
      <c r="AZ66">
        <v>691.77599999999995</v>
      </c>
      <c r="BA66">
        <v>1803.42745997682</v>
      </c>
      <c r="BB66">
        <f t="shared" si="80"/>
        <v>0.61641040998184005</v>
      </c>
      <c r="BC66">
        <v>-0.98055102247034764</v>
      </c>
      <c r="BD66" t="s">
        <v>644</v>
      </c>
      <c r="BE66">
        <v>5018.1000000000004</v>
      </c>
      <c r="BF66">
        <v>741.71915384615374</v>
      </c>
      <c r="BG66">
        <v>1625.1976135808829</v>
      </c>
      <c r="BH66">
        <f t="shared" si="81"/>
        <v>0.54361294426719886</v>
      </c>
      <c r="BI66">
        <v>0.5</v>
      </c>
      <c r="BJ66">
        <f t="shared" si="82"/>
        <v>1021.2893837222538</v>
      </c>
      <c r="BK66">
        <f t="shared" si="83"/>
        <v>2.8813776502187634</v>
      </c>
      <c r="BL66">
        <f t="shared" si="84"/>
        <v>277.59306441704371</v>
      </c>
      <c r="BM66">
        <f t="shared" si="85"/>
        <v>3.7814244760027657E-3</v>
      </c>
      <c r="BN66">
        <f t="shared" si="86"/>
        <v>0.10966656910308523</v>
      </c>
      <c r="BO66">
        <f t="shared" si="87"/>
        <v>663.84985835899647</v>
      </c>
      <c r="BP66" t="s">
        <v>645</v>
      </c>
      <c r="BQ66">
        <v>644.53</v>
      </c>
      <c r="BR66">
        <f t="shared" si="88"/>
        <v>644.53</v>
      </c>
      <c r="BS66">
        <f t="shared" si="89"/>
        <v>0.60341438197175701</v>
      </c>
      <c r="BT66">
        <f t="shared" si="90"/>
        <v>0.90089490822352125</v>
      </c>
      <c r="BU66">
        <f t="shared" si="91"/>
        <v>0.15379259386719341</v>
      </c>
      <c r="BV66">
        <f t="shared" si="92"/>
        <v>0.94649453888842683</v>
      </c>
      <c r="BW66">
        <f t="shared" si="93"/>
        <v>0.16032889157511068</v>
      </c>
      <c r="BX66">
        <f t="shared" si="94"/>
        <v>0.78284859193179812</v>
      </c>
      <c r="BY66">
        <f t="shared" si="95"/>
        <v>0.21715140806820188</v>
      </c>
      <c r="BZ66">
        <v>461</v>
      </c>
      <c r="CA66">
        <v>290.00000000000011</v>
      </c>
      <c r="CB66">
        <v>1563.08</v>
      </c>
      <c r="CC66">
        <v>265</v>
      </c>
      <c r="CD66">
        <v>5018.1000000000004</v>
      </c>
      <c r="CE66">
        <v>1563.64</v>
      </c>
      <c r="CF66">
        <v>-0.56000000000000005</v>
      </c>
      <c r="CG66">
        <v>300.00000000000011</v>
      </c>
      <c r="CH66">
        <v>23.9</v>
      </c>
      <c r="CI66">
        <v>1625.1976135808829</v>
      </c>
      <c r="CJ66">
        <v>1.880947197091942</v>
      </c>
      <c r="CK66">
        <v>-30.89016282363831</v>
      </c>
      <c r="CL66">
        <v>0.82166533367540084</v>
      </c>
      <c r="CM66">
        <v>0.98057380024160956</v>
      </c>
      <c r="CN66">
        <v>-4.0332378197997778E-3</v>
      </c>
      <c r="CO66">
        <v>289.99999999999989</v>
      </c>
      <c r="CP66">
        <v>1561.81</v>
      </c>
      <c r="CQ66">
        <v>645</v>
      </c>
      <c r="CR66">
        <v>5018.08</v>
      </c>
      <c r="CS66">
        <v>1563.64</v>
      </c>
      <c r="CT66">
        <v>-1.83</v>
      </c>
      <c r="DH66">
        <f t="shared" si="96"/>
        <v>1243.275066666667</v>
      </c>
      <c r="DI66">
        <f t="shared" si="97"/>
        <v>1021.2893837222538</v>
      </c>
      <c r="DJ66">
        <f t="shared" si="98"/>
        <v>0.82145086884145679</v>
      </c>
      <c r="DK66">
        <f t="shared" si="99"/>
        <v>0.17815017686401147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1761686336.849999</v>
      </c>
      <c r="DR66">
        <v>415.95949999999988</v>
      </c>
      <c r="DS66">
        <v>419.99799999999988</v>
      </c>
      <c r="DT66">
        <v>16.83743333333333</v>
      </c>
      <c r="DU66">
        <v>15.49733</v>
      </c>
      <c r="DV66">
        <v>415.12979999999988</v>
      </c>
      <c r="DW66">
        <v>16.644173333333331</v>
      </c>
      <c r="DX66">
        <v>500.01473333333331</v>
      </c>
      <c r="DY66">
        <v>91.129383333333308</v>
      </c>
      <c r="DZ66">
        <v>3.7356986666666661E-2</v>
      </c>
      <c r="EA66">
        <v>24.479130000000001</v>
      </c>
      <c r="EB66">
        <v>24.056676666666661</v>
      </c>
      <c r="EC66">
        <v>999.9000000000002</v>
      </c>
      <c r="ED66">
        <v>0</v>
      </c>
      <c r="EE66">
        <v>0</v>
      </c>
      <c r="EF66">
        <v>9995.7513333333354</v>
      </c>
      <c r="EG66">
        <v>0</v>
      </c>
      <c r="EH66">
        <v>1093.262666666667</v>
      </c>
      <c r="EI66">
        <v>-4.0385979999999986</v>
      </c>
      <c r="EJ66">
        <v>423.08313333333331</v>
      </c>
      <c r="EK66">
        <v>426.60930000000002</v>
      </c>
      <c r="EL66">
        <v>1.3401046666666661</v>
      </c>
      <c r="EM66">
        <v>419.99799999999988</v>
      </c>
      <c r="EN66">
        <v>15.49733</v>
      </c>
      <c r="EO66">
        <v>1.534386666666667</v>
      </c>
      <c r="EP66">
        <v>1.412263</v>
      </c>
      <c r="EQ66">
        <v>13.31517666666667</v>
      </c>
      <c r="ER66">
        <v>12.04993</v>
      </c>
      <c r="ES66">
        <v>150.01240000000001</v>
      </c>
      <c r="ET66">
        <v>0.89994486666666684</v>
      </c>
      <c r="EU66">
        <v>0.1000550866666667</v>
      </c>
      <c r="EV66">
        <v>0</v>
      </c>
      <c r="EW66">
        <v>741.72046666666677</v>
      </c>
      <c r="EX66">
        <v>5.0005600000000019</v>
      </c>
      <c r="EY66">
        <v>1223.1073333333329</v>
      </c>
      <c r="EZ66">
        <v>1225.1643333333329</v>
      </c>
      <c r="FA66">
        <v>36.095599999999997</v>
      </c>
      <c r="FB66">
        <v>39.362399999999987</v>
      </c>
      <c r="FC66">
        <v>37.653933333333327</v>
      </c>
      <c r="FD66">
        <v>38.508266666666671</v>
      </c>
      <c r="FE66">
        <v>37.67046666666667</v>
      </c>
      <c r="FF66">
        <v>130.50299999999999</v>
      </c>
      <c r="FG66">
        <v>14.51</v>
      </c>
      <c r="FH66">
        <v>0</v>
      </c>
      <c r="FI66">
        <v>94.399999856948853</v>
      </c>
      <c r="FJ66">
        <v>0</v>
      </c>
      <c r="FK66">
        <v>741.71915384615374</v>
      </c>
      <c r="FL66">
        <v>0.53524786314382189</v>
      </c>
      <c r="FM66">
        <v>-3.1558974916495459</v>
      </c>
      <c r="FN66">
        <v>1223.120384615384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-4.0673621951219507</v>
      </c>
      <c r="GD66">
        <v>0.49294850174216648</v>
      </c>
      <c r="GE66">
        <v>5.4867494775926527E-2</v>
      </c>
      <c r="GF66">
        <v>1</v>
      </c>
      <c r="GG66">
        <v>741.75823529411775</v>
      </c>
      <c r="GH66">
        <v>-0.53952635905719393</v>
      </c>
      <c r="GI66">
        <v>0.19779595232037439</v>
      </c>
      <c r="GJ66">
        <v>1</v>
      </c>
      <c r="GK66">
        <v>1.33718</v>
      </c>
      <c r="GL66">
        <v>-1.095595818815461E-2</v>
      </c>
      <c r="GM66">
        <v>1.7461043468945101E-2</v>
      </c>
      <c r="GN66">
        <v>1</v>
      </c>
      <c r="GO66">
        <v>3</v>
      </c>
      <c r="GP66">
        <v>3</v>
      </c>
      <c r="GQ66" t="s">
        <v>470</v>
      </c>
      <c r="GR66">
        <v>3.1288299999999998</v>
      </c>
      <c r="GS66">
        <v>2.71516</v>
      </c>
      <c r="GT66">
        <v>8.5669200000000001E-2</v>
      </c>
      <c r="GU66">
        <v>8.6867899999999998E-2</v>
      </c>
      <c r="GV66">
        <v>8.3841799999999994E-2</v>
      </c>
      <c r="GW66">
        <v>7.9563200000000001E-2</v>
      </c>
      <c r="GX66">
        <v>27473.3</v>
      </c>
      <c r="GY66">
        <v>26524.799999999999</v>
      </c>
      <c r="GZ66">
        <v>30587.8</v>
      </c>
      <c r="HA66">
        <v>29300.2</v>
      </c>
      <c r="HB66">
        <v>38660.9</v>
      </c>
      <c r="HC66">
        <v>35501.1</v>
      </c>
      <c r="HD66">
        <v>46767.9</v>
      </c>
      <c r="HE66">
        <v>43553.4</v>
      </c>
      <c r="HF66">
        <v>1.8351500000000001</v>
      </c>
      <c r="HG66">
        <v>1.8677699999999999</v>
      </c>
      <c r="HH66">
        <v>2.00719E-2</v>
      </c>
      <c r="HI66">
        <v>0</v>
      </c>
      <c r="HJ66">
        <v>23.735900000000001</v>
      </c>
      <c r="HK66">
        <v>999.9</v>
      </c>
      <c r="HL66">
        <v>37.5</v>
      </c>
      <c r="HM66">
        <v>30.3</v>
      </c>
      <c r="HN66">
        <v>17.8367</v>
      </c>
      <c r="HO66">
        <v>63.377899999999997</v>
      </c>
      <c r="HP66">
        <v>18.052900000000001</v>
      </c>
      <c r="HQ66">
        <v>1</v>
      </c>
      <c r="HR66">
        <v>0.117312</v>
      </c>
      <c r="HS66">
        <v>1.84385</v>
      </c>
      <c r="HT66">
        <v>20.210999999999999</v>
      </c>
      <c r="HU66">
        <v>5.23691</v>
      </c>
      <c r="HV66">
        <v>11.974</v>
      </c>
      <c r="HW66">
        <v>4.9720000000000004</v>
      </c>
      <c r="HX66">
        <v>3.2909999999999999</v>
      </c>
      <c r="HY66">
        <v>9999</v>
      </c>
      <c r="HZ66">
        <v>9999</v>
      </c>
      <c r="IA66">
        <v>9999</v>
      </c>
      <c r="IB66">
        <v>999.9</v>
      </c>
      <c r="IC66">
        <v>4.9729299999999999</v>
      </c>
      <c r="ID66">
        <v>1.8772200000000001</v>
      </c>
      <c r="IE66">
        <v>1.87531</v>
      </c>
      <c r="IF66">
        <v>1.87808</v>
      </c>
      <c r="IG66">
        <v>1.8748499999999999</v>
      </c>
      <c r="IH66">
        <v>1.87843</v>
      </c>
      <c r="II66">
        <v>1.8755200000000001</v>
      </c>
      <c r="IJ66">
        <v>1.8766799999999999</v>
      </c>
      <c r="IK66">
        <v>0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0.83</v>
      </c>
      <c r="IY66">
        <v>0.19339999999999999</v>
      </c>
      <c r="IZ66">
        <v>6.1933660764125778E-2</v>
      </c>
      <c r="JA66">
        <v>2.058711587971173E-3</v>
      </c>
      <c r="JB66">
        <v>-6.1309262243104059E-7</v>
      </c>
      <c r="JC66">
        <v>2.6183910446277612E-10</v>
      </c>
      <c r="JD66">
        <v>3.5078820932035488E-4</v>
      </c>
      <c r="JE66">
        <v>-4.3284922736758413E-3</v>
      </c>
      <c r="JF66">
        <v>1.4186339569364E-3</v>
      </c>
      <c r="JG66">
        <v>-2.7770646863349432E-5</v>
      </c>
      <c r="JH66">
        <v>2</v>
      </c>
      <c r="JI66">
        <v>2136</v>
      </c>
      <c r="JJ66">
        <v>1</v>
      </c>
      <c r="JK66">
        <v>19</v>
      </c>
      <c r="JL66">
        <v>29361439.100000001</v>
      </c>
      <c r="JM66">
        <v>29361439.100000001</v>
      </c>
      <c r="JN66">
        <v>1.1071800000000001</v>
      </c>
      <c r="JO66">
        <v>2.5378400000000001</v>
      </c>
      <c r="JP66">
        <v>1.39893</v>
      </c>
      <c r="JQ66">
        <v>2.32544</v>
      </c>
      <c r="JR66">
        <v>1.4489700000000001</v>
      </c>
      <c r="JS66">
        <v>2.5659200000000002</v>
      </c>
      <c r="JT66">
        <v>36.152000000000001</v>
      </c>
      <c r="JU66">
        <v>23.9299</v>
      </c>
      <c r="JV66">
        <v>18</v>
      </c>
      <c r="JW66">
        <v>480.89600000000002</v>
      </c>
      <c r="JX66">
        <v>471.66300000000001</v>
      </c>
      <c r="JY66">
        <v>22.4617</v>
      </c>
      <c r="JZ66">
        <v>28.6478</v>
      </c>
      <c r="KA66">
        <v>30.000299999999999</v>
      </c>
      <c r="KB66">
        <v>28.224799999999998</v>
      </c>
      <c r="KC66">
        <v>28.277200000000001</v>
      </c>
      <c r="KD66">
        <v>22.199100000000001</v>
      </c>
      <c r="KE66">
        <v>19.9604</v>
      </c>
      <c r="KF66">
        <v>62.5077</v>
      </c>
      <c r="KG66">
        <v>22.410499999999999</v>
      </c>
      <c r="KH66">
        <v>420</v>
      </c>
      <c r="KI66">
        <v>15.4071</v>
      </c>
      <c r="KJ66">
        <v>101.09</v>
      </c>
      <c r="KK66">
        <v>100.166</v>
      </c>
    </row>
    <row r="67" spans="1:297" x14ac:dyDescent="0.3">
      <c r="A67">
        <v>51</v>
      </c>
      <c r="B67">
        <v>1761686451.5999999</v>
      </c>
      <c r="C67">
        <v>9001.5999999046326</v>
      </c>
      <c r="D67" t="s">
        <v>646</v>
      </c>
      <c r="E67" t="s">
        <v>647</v>
      </c>
      <c r="F67">
        <v>5</v>
      </c>
      <c r="G67" t="s">
        <v>615</v>
      </c>
      <c r="H67" t="s">
        <v>436</v>
      </c>
      <c r="I67">
        <v>1761686443.599999</v>
      </c>
      <c r="J67">
        <f t="shared" si="50"/>
        <v>1.0369000767077212E-3</v>
      </c>
      <c r="K67">
        <f t="shared" si="51"/>
        <v>1.0369000767077212</v>
      </c>
      <c r="L67">
        <f t="shared" si="52"/>
        <v>-0.29266652585695252</v>
      </c>
      <c r="M67">
        <f t="shared" si="53"/>
        <v>419.79854838709667</v>
      </c>
      <c r="N67">
        <f t="shared" si="54"/>
        <v>415.59314672824678</v>
      </c>
      <c r="O67">
        <f t="shared" si="55"/>
        <v>37.888844306250675</v>
      </c>
      <c r="P67">
        <f t="shared" si="56"/>
        <v>38.272242853488038</v>
      </c>
      <c r="Q67">
        <f t="shared" si="57"/>
        <v>5.3927718139039738E-2</v>
      </c>
      <c r="R67">
        <f t="shared" si="58"/>
        <v>2.7693511772250963</v>
      </c>
      <c r="S67">
        <f t="shared" si="59"/>
        <v>5.3351042488185736E-2</v>
      </c>
      <c r="T67">
        <f t="shared" si="60"/>
        <v>3.3395699604708069E-2</v>
      </c>
      <c r="U67">
        <f t="shared" si="61"/>
        <v>203.45302078489939</v>
      </c>
      <c r="V67">
        <f t="shared" si="62"/>
        <v>25.448979759901192</v>
      </c>
      <c r="W67">
        <f t="shared" si="63"/>
        <v>25.448979759901192</v>
      </c>
      <c r="X67">
        <f t="shared" si="64"/>
        <v>3.2657925025939352</v>
      </c>
      <c r="Y67">
        <f t="shared" si="65"/>
        <v>50.018860995471393</v>
      </c>
      <c r="Z67">
        <f t="shared" si="66"/>
        <v>1.5406088235112751</v>
      </c>
      <c r="AA67">
        <f t="shared" si="67"/>
        <v>3.0800557886569204</v>
      </c>
      <c r="AB67">
        <f t="shared" si="68"/>
        <v>1.72518367908266</v>
      </c>
      <c r="AC67">
        <f t="shared" si="69"/>
        <v>-45.727293382810508</v>
      </c>
      <c r="AD67">
        <f t="shared" si="70"/>
        <v>-146.5891433386472</v>
      </c>
      <c r="AE67">
        <f t="shared" si="71"/>
        <v>-11.191842419176632</v>
      </c>
      <c r="AF67">
        <f t="shared" si="72"/>
        <v>-5.5258355734935094E-2</v>
      </c>
      <c r="AG67">
        <f t="shared" si="73"/>
        <v>-0.26542100953686865</v>
      </c>
      <c r="AH67">
        <f t="shared" si="74"/>
        <v>1.0272932756387791</v>
      </c>
      <c r="AI67">
        <f t="shared" si="75"/>
        <v>-0.29266652585695252</v>
      </c>
      <c r="AJ67">
        <v>426.73673690825541</v>
      </c>
      <c r="AK67">
        <v>427.08571515151499</v>
      </c>
      <c r="AL67">
        <v>1.6303954769477059E-3</v>
      </c>
      <c r="AM67">
        <v>65.071113291080977</v>
      </c>
      <c r="AN67">
        <f t="shared" si="76"/>
        <v>1.0369000767077212</v>
      </c>
      <c r="AO67">
        <v>15.675529238680831</v>
      </c>
      <c r="AP67">
        <v>16.897685314685329</v>
      </c>
      <c r="AQ67">
        <v>1.5216417225412201E-4</v>
      </c>
      <c r="AR67">
        <v>96.775966201886661</v>
      </c>
      <c r="AS67">
        <v>0</v>
      </c>
      <c r="AT67">
        <v>0</v>
      </c>
      <c r="AU67">
        <f t="shared" si="77"/>
        <v>1</v>
      </c>
      <c r="AV67">
        <f t="shared" si="78"/>
        <v>0</v>
      </c>
      <c r="AW67">
        <f t="shared" si="79"/>
        <v>48600.052935567175</v>
      </c>
      <c r="AX67" t="s">
        <v>612</v>
      </c>
      <c r="AY67">
        <v>5006.08</v>
      </c>
      <c r="AZ67">
        <v>691.77599999999995</v>
      </c>
      <c r="BA67">
        <v>1803.42745997682</v>
      </c>
      <c r="BB67">
        <f t="shared" si="80"/>
        <v>0.61641040998184005</v>
      </c>
      <c r="BC67">
        <v>-0.98055102247034764</v>
      </c>
      <c r="BD67" t="s">
        <v>648</v>
      </c>
      <c r="BE67">
        <v>5008.99</v>
      </c>
      <c r="BF67">
        <v>685.68295999999987</v>
      </c>
      <c r="BG67">
        <v>1665.252263348877</v>
      </c>
      <c r="BH67">
        <f t="shared" si="81"/>
        <v>0.58824078784251643</v>
      </c>
      <c r="BI67">
        <v>0.5</v>
      </c>
      <c r="BJ67">
        <f t="shared" si="82"/>
        <v>939.04996180690125</v>
      </c>
      <c r="BK67">
        <f t="shared" si="83"/>
        <v>-0.29266652585695252</v>
      </c>
      <c r="BL67">
        <f t="shared" si="84"/>
        <v>276.19374467838827</v>
      </c>
      <c r="BM67">
        <f t="shared" si="85"/>
        <v>7.3253237270760484E-4</v>
      </c>
      <c r="BN67">
        <f t="shared" si="86"/>
        <v>8.2975534499540732E-2</v>
      </c>
      <c r="BO67">
        <f t="shared" si="87"/>
        <v>670.4369627639245</v>
      </c>
      <c r="BP67" t="s">
        <v>649</v>
      </c>
      <c r="BQ67">
        <v>638.87</v>
      </c>
      <c r="BR67">
        <f t="shared" si="88"/>
        <v>638.87</v>
      </c>
      <c r="BS67">
        <f t="shared" si="89"/>
        <v>0.61635242055446215</v>
      </c>
      <c r="BT67">
        <f t="shared" si="90"/>
        <v>0.95439032641965305</v>
      </c>
      <c r="BU67">
        <f t="shared" si="91"/>
        <v>0.11865038984911343</v>
      </c>
      <c r="BV67">
        <f t="shared" si="92"/>
        <v>1.0062590534863576</v>
      </c>
      <c r="BW67">
        <f t="shared" si="93"/>
        <v>0.12429722948488207</v>
      </c>
      <c r="BX67">
        <f t="shared" si="94"/>
        <v>0.88923217202265592</v>
      </c>
      <c r="BY67">
        <f t="shared" si="95"/>
        <v>0.11076782797734408</v>
      </c>
      <c r="BZ67">
        <v>463</v>
      </c>
      <c r="CA67">
        <v>290.00000000000011</v>
      </c>
      <c r="CB67">
        <v>1600.92</v>
      </c>
      <c r="CC67">
        <v>285</v>
      </c>
      <c r="CD67">
        <v>5008.99</v>
      </c>
      <c r="CE67">
        <v>1601.44</v>
      </c>
      <c r="CF67">
        <v>-0.52</v>
      </c>
      <c r="CG67">
        <v>300.00000000000011</v>
      </c>
      <c r="CH67">
        <v>23.9</v>
      </c>
      <c r="CI67">
        <v>1665.252263348877</v>
      </c>
      <c r="CJ67">
        <v>1.628368980551069</v>
      </c>
      <c r="CK67">
        <v>-31.961941227287141</v>
      </c>
      <c r="CL67">
        <v>0.70771055633691182</v>
      </c>
      <c r="CM67">
        <v>0.98645803471819593</v>
      </c>
      <c r="CN67">
        <v>-4.1089223581757496E-3</v>
      </c>
      <c r="CO67">
        <v>289.99999999999989</v>
      </c>
      <c r="CP67">
        <v>1599.42</v>
      </c>
      <c r="CQ67">
        <v>645</v>
      </c>
      <c r="CR67">
        <v>5009.1000000000004</v>
      </c>
      <c r="CS67">
        <v>1601.44</v>
      </c>
      <c r="CT67">
        <v>-2.02</v>
      </c>
      <c r="DH67">
        <f t="shared" si="96"/>
        <v>1143.3031838709683</v>
      </c>
      <c r="DI67">
        <f t="shared" si="97"/>
        <v>939.04996180690125</v>
      </c>
      <c r="DJ67">
        <f t="shared" si="98"/>
        <v>0.82134815598736344</v>
      </c>
      <c r="DK67">
        <f t="shared" si="99"/>
        <v>0.17795194105561141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1761686443.599999</v>
      </c>
      <c r="DR67">
        <v>419.79854838709667</v>
      </c>
      <c r="DS67">
        <v>419.99754838709669</v>
      </c>
      <c r="DT67">
        <v>16.898548387096771</v>
      </c>
      <c r="DU67">
        <v>15.68664193548387</v>
      </c>
      <c r="DV67">
        <v>418.96248387096767</v>
      </c>
      <c r="DW67">
        <v>16.704106451612901</v>
      </c>
      <c r="DX67">
        <v>500.00567741935481</v>
      </c>
      <c r="DY67">
        <v>91.130083870967738</v>
      </c>
      <c r="DZ67">
        <v>3.8032361290322579E-2</v>
      </c>
      <c r="EA67">
        <v>24.467145161290329</v>
      </c>
      <c r="EB67">
        <v>23.990916129032261</v>
      </c>
      <c r="EC67">
        <v>999.90000000000032</v>
      </c>
      <c r="ED67">
        <v>0</v>
      </c>
      <c r="EE67">
        <v>0</v>
      </c>
      <c r="EF67">
        <v>10000.58838709677</v>
      </c>
      <c r="EG67">
        <v>0</v>
      </c>
      <c r="EH67">
        <v>1093.29870967742</v>
      </c>
      <c r="EI67">
        <v>-0.1988791290322581</v>
      </c>
      <c r="EJ67">
        <v>427.01454838709668</v>
      </c>
      <c r="EK67">
        <v>426.69083870967728</v>
      </c>
      <c r="EL67">
        <v>1.2119045161290321</v>
      </c>
      <c r="EM67">
        <v>419.99754838709669</v>
      </c>
      <c r="EN67">
        <v>15.68664193548387</v>
      </c>
      <c r="EO67">
        <v>1.5399661290322579</v>
      </c>
      <c r="EP67">
        <v>1.429525161290323</v>
      </c>
      <c r="EQ67">
        <v>13.370854838709681</v>
      </c>
      <c r="ER67">
        <v>12.234477419354841</v>
      </c>
      <c r="ES67">
        <v>50.004474193548383</v>
      </c>
      <c r="ET67">
        <v>0.90011906451612922</v>
      </c>
      <c r="EU67">
        <v>9.9880877419354822E-2</v>
      </c>
      <c r="EV67">
        <v>0</v>
      </c>
      <c r="EW67">
        <v>685.66935483870975</v>
      </c>
      <c r="EX67">
        <v>5.0005600000000019</v>
      </c>
      <c r="EY67">
        <v>466.83016129032262</v>
      </c>
      <c r="EZ67">
        <v>380.24677419354839</v>
      </c>
      <c r="FA67">
        <v>35.423064516129031</v>
      </c>
      <c r="FB67">
        <v>38.926999999999992</v>
      </c>
      <c r="FC67">
        <v>37.102645161290319</v>
      </c>
      <c r="FD67">
        <v>38.145000000000003</v>
      </c>
      <c r="FE67">
        <v>37.154967741935479</v>
      </c>
      <c r="FF67">
        <v>40.509032258064508</v>
      </c>
      <c r="FG67">
        <v>4.4941935483870967</v>
      </c>
      <c r="FH67">
        <v>0</v>
      </c>
      <c r="FI67">
        <v>105.2000000476837</v>
      </c>
      <c r="FJ67">
        <v>0</v>
      </c>
      <c r="FK67">
        <v>685.68295999999987</v>
      </c>
      <c r="FL67">
        <v>-0.86530769502744598</v>
      </c>
      <c r="FM67">
        <v>0.2855385465589671</v>
      </c>
      <c r="FN67">
        <v>466.67516000000001</v>
      </c>
      <c r="FO67">
        <v>15</v>
      </c>
      <c r="FP67">
        <v>0</v>
      </c>
      <c r="FQ67" t="s">
        <v>441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-0.2324159512195122</v>
      </c>
      <c r="GD67">
        <v>0.44702663414634142</v>
      </c>
      <c r="GE67">
        <v>6.2945747008329681E-2</v>
      </c>
      <c r="GF67">
        <v>1</v>
      </c>
      <c r="GG67">
        <v>685.62355882352949</v>
      </c>
      <c r="GH67">
        <v>0.36139036949564157</v>
      </c>
      <c r="GI67">
        <v>0.21191371595622471</v>
      </c>
      <c r="GJ67">
        <v>1</v>
      </c>
      <c r="GK67">
        <v>1.217106585365854</v>
      </c>
      <c r="GL67">
        <v>6.0689895470376239E-3</v>
      </c>
      <c r="GM67">
        <v>2.6589930847721571E-2</v>
      </c>
      <c r="GN67">
        <v>1</v>
      </c>
      <c r="GO67">
        <v>3</v>
      </c>
      <c r="GP67">
        <v>3</v>
      </c>
      <c r="GQ67" t="s">
        <v>470</v>
      </c>
      <c r="GR67">
        <v>3.1288</v>
      </c>
      <c r="GS67">
        <v>2.71591</v>
      </c>
      <c r="GT67">
        <v>8.6256600000000003E-2</v>
      </c>
      <c r="GU67">
        <v>8.6856900000000001E-2</v>
      </c>
      <c r="GV67">
        <v>8.3995899999999998E-2</v>
      </c>
      <c r="GW67">
        <v>8.0145800000000003E-2</v>
      </c>
      <c r="GX67">
        <v>27451.9</v>
      </c>
      <c r="GY67">
        <v>26521.4</v>
      </c>
      <c r="GZ67">
        <v>30583.9</v>
      </c>
      <c r="HA67">
        <v>29296.5</v>
      </c>
      <c r="HB67">
        <v>38649.699999999997</v>
      </c>
      <c r="HC67">
        <v>35474.1</v>
      </c>
      <c r="HD67">
        <v>46762</v>
      </c>
      <c r="HE67">
        <v>43547.9</v>
      </c>
      <c r="HF67">
        <v>1.8341700000000001</v>
      </c>
      <c r="HG67">
        <v>1.8678999999999999</v>
      </c>
      <c r="HH67">
        <v>1.0289299999999999E-2</v>
      </c>
      <c r="HI67">
        <v>0</v>
      </c>
      <c r="HJ67">
        <v>23.8246</v>
      </c>
      <c r="HK67">
        <v>999.9</v>
      </c>
      <c r="HL67">
        <v>37.799999999999997</v>
      </c>
      <c r="HM67">
        <v>30.3</v>
      </c>
      <c r="HN67">
        <v>17.9801</v>
      </c>
      <c r="HO67">
        <v>63.5379</v>
      </c>
      <c r="HP67">
        <v>18.0288</v>
      </c>
      <c r="HQ67">
        <v>1</v>
      </c>
      <c r="HR67">
        <v>0.12095</v>
      </c>
      <c r="HS67">
        <v>1.5107699999999999</v>
      </c>
      <c r="HT67">
        <v>20.215800000000002</v>
      </c>
      <c r="HU67">
        <v>5.2384000000000004</v>
      </c>
      <c r="HV67">
        <v>11.974</v>
      </c>
      <c r="HW67">
        <v>4.9729999999999999</v>
      </c>
      <c r="HX67">
        <v>3.2909999999999999</v>
      </c>
      <c r="HY67">
        <v>9999</v>
      </c>
      <c r="HZ67">
        <v>9999</v>
      </c>
      <c r="IA67">
        <v>9999</v>
      </c>
      <c r="IB67">
        <v>999.9</v>
      </c>
      <c r="IC67">
        <v>4.9729099999999997</v>
      </c>
      <c r="ID67">
        <v>1.8771800000000001</v>
      </c>
      <c r="IE67">
        <v>1.8753</v>
      </c>
      <c r="IF67">
        <v>1.87808</v>
      </c>
      <c r="IG67">
        <v>1.8748400000000001</v>
      </c>
      <c r="IH67">
        <v>1.87836</v>
      </c>
      <c r="II67">
        <v>1.87551</v>
      </c>
      <c r="IJ67">
        <v>1.8766799999999999</v>
      </c>
      <c r="IK67">
        <v>0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0.83599999999999997</v>
      </c>
      <c r="IY67">
        <v>0.19439999999999999</v>
      </c>
      <c r="IZ67">
        <v>6.1933660764125778E-2</v>
      </c>
      <c r="JA67">
        <v>2.058711587971173E-3</v>
      </c>
      <c r="JB67">
        <v>-6.1309262243104059E-7</v>
      </c>
      <c r="JC67">
        <v>2.6183910446277612E-10</v>
      </c>
      <c r="JD67">
        <v>3.5078820932035488E-4</v>
      </c>
      <c r="JE67">
        <v>-4.3284922736758413E-3</v>
      </c>
      <c r="JF67">
        <v>1.4186339569364E-3</v>
      </c>
      <c r="JG67">
        <v>-2.7770646863349432E-5</v>
      </c>
      <c r="JH67">
        <v>2</v>
      </c>
      <c r="JI67">
        <v>2136</v>
      </c>
      <c r="JJ67">
        <v>1</v>
      </c>
      <c r="JK67">
        <v>19</v>
      </c>
      <c r="JL67">
        <v>29361440.899999999</v>
      </c>
      <c r="JM67">
        <v>29361440.899999999</v>
      </c>
      <c r="JN67">
        <v>1.1071800000000001</v>
      </c>
      <c r="JO67">
        <v>2.5476100000000002</v>
      </c>
      <c r="JP67">
        <v>1.39893</v>
      </c>
      <c r="JQ67">
        <v>2.3278799999999999</v>
      </c>
      <c r="JR67">
        <v>1.4489700000000001</v>
      </c>
      <c r="JS67">
        <v>2.5756800000000002</v>
      </c>
      <c r="JT67">
        <v>36.128500000000003</v>
      </c>
      <c r="JU67">
        <v>23.9299</v>
      </c>
      <c r="JV67">
        <v>18</v>
      </c>
      <c r="JW67">
        <v>480.99799999999999</v>
      </c>
      <c r="JX67">
        <v>472.56099999999998</v>
      </c>
      <c r="JY67">
        <v>22.604500000000002</v>
      </c>
      <c r="JZ67">
        <v>28.720199999999998</v>
      </c>
      <c r="KA67">
        <v>30.0002</v>
      </c>
      <c r="KB67">
        <v>28.3215</v>
      </c>
      <c r="KC67">
        <v>28.378499999999999</v>
      </c>
      <c r="KD67">
        <v>22.2057</v>
      </c>
      <c r="KE67">
        <v>21.993400000000001</v>
      </c>
      <c r="KF67">
        <v>65.129199999999997</v>
      </c>
      <c r="KG67">
        <v>22.604299999999999</v>
      </c>
      <c r="KH67">
        <v>420</v>
      </c>
      <c r="KI67">
        <v>15.6197</v>
      </c>
      <c r="KJ67">
        <v>101.077</v>
      </c>
      <c r="KK67">
        <v>100.154</v>
      </c>
    </row>
    <row r="68" spans="1:297" x14ac:dyDescent="0.3">
      <c r="A68">
        <v>52</v>
      </c>
      <c r="B68">
        <v>1761686581.0999999</v>
      </c>
      <c r="C68">
        <v>9131.0999999046326</v>
      </c>
      <c r="D68" t="s">
        <v>650</v>
      </c>
      <c r="E68" t="s">
        <v>651</v>
      </c>
      <c r="F68">
        <v>5</v>
      </c>
      <c r="G68" t="s">
        <v>615</v>
      </c>
      <c r="H68" t="s">
        <v>436</v>
      </c>
      <c r="I68">
        <v>1761686573.349999</v>
      </c>
      <c r="J68">
        <f t="shared" si="50"/>
        <v>8.6097808856042688E-4</v>
      </c>
      <c r="K68">
        <f t="shared" si="51"/>
        <v>0.8609780885604269</v>
      </c>
      <c r="L68">
        <f t="shared" si="52"/>
        <v>-2.7018521291296791</v>
      </c>
      <c r="M68">
        <f t="shared" si="53"/>
        <v>422.7979666666667</v>
      </c>
      <c r="N68">
        <f t="shared" si="54"/>
        <v>500.75945514947017</v>
      </c>
      <c r="O68">
        <f t="shared" si="55"/>
        <v>45.651004332794834</v>
      </c>
      <c r="P68">
        <f t="shared" si="56"/>
        <v>38.543759103731162</v>
      </c>
      <c r="Q68">
        <f t="shared" si="57"/>
        <v>4.7677583553031165E-2</v>
      </c>
      <c r="R68">
        <f t="shared" si="58"/>
        <v>2.768617544554552</v>
      </c>
      <c r="S68">
        <f t="shared" si="59"/>
        <v>4.7226111411554042E-2</v>
      </c>
      <c r="T68">
        <f t="shared" si="60"/>
        <v>2.9556526204376158E-2</v>
      </c>
      <c r="U68">
        <f t="shared" si="61"/>
        <v>108.45797695038122</v>
      </c>
      <c r="V68">
        <f t="shared" si="62"/>
        <v>24.895824037795649</v>
      </c>
      <c r="W68">
        <f t="shared" si="63"/>
        <v>24.895824037795649</v>
      </c>
      <c r="X68">
        <f t="shared" si="64"/>
        <v>3.1599825171222418</v>
      </c>
      <c r="Y68">
        <f t="shared" si="65"/>
        <v>50.056741870822144</v>
      </c>
      <c r="Z68">
        <f t="shared" si="66"/>
        <v>1.5408324688586057</v>
      </c>
      <c r="AA68">
        <f t="shared" si="67"/>
        <v>3.0781717132827424</v>
      </c>
      <c r="AB68">
        <f t="shared" si="68"/>
        <v>1.6191500482636361</v>
      </c>
      <c r="AC68">
        <f t="shared" si="69"/>
        <v>-37.969133705514828</v>
      </c>
      <c r="AD68">
        <f t="shared" si="70"/>
        <v>-65.51106925657102</v>
      </c>
      <c r="AE68">
        <f t="shared" si="71"/>
        <v>-4.9888019634929881</v>
      </c>
      <c r="AF68">
        <f t="shared" si="72"/>
        <v>-1.1027975197620776E-2</v>
      </c>
      <c r="AG68">
        <f t="shared" si="73"/>
        <v>-2.677119837201579</v>
      </c>
      <c r="AH68">
        <f t="shared" si="74"/>
        <v>0.85506486585065511</v>
      </c>
      <c r="AI68">
        <f t="shared" si="75"/>
        <v>-2.7018521291296791</v>
      </c>
      <c r="AJ68">
        <v>426.82381434345513</v>
      </c>
      <c r="AK68">
        <v>430.11578181818169</v>
      </c>
      <c r="AL68">
        <v>5.4910479126303645E-4</v>
      </c>
      <c r="AM68">
        <v>65.071113291080977</v>
      </c>
      <c r="AN68">
        <f t="shared" si="76"/>
        <v>0.8609780885604269</v>
      </c>
      <c r="AO68">
        <v>15.88220561136645</v>
      </c>
      <c r="AP68">
        <v>16.896667132867151</v>
      </c>
      <c r="AQ68">
        <v>1.7673211611360509E-4</v>
      </c>
      <c r="AR68">
        <v>96.775966201886661</v>
      </c>
      <c r="AS68">
        <v>0</v>
      </c>
      <c r="AT68">
        <v>0</v>
      </c>
      <c r="AU68">
        <f t="shared" si="77"/>
        <v>1</v>
      </c>
      <c r="AV68">
        <f t="shared" si="78"/>
        <v>0</v>
      </c>
      <c r="AW68">
        <f t="shared" si="79"/>
        <v>48581.450742784546</v>
      </c>
      <c r="AX68" t="s">
        <v>652</v>
      </c>
      <c r="AY68">
        <v>5006.1899999999996</v>
      </c>
      <c r="AZ68">
        <v>628</v>
      </c>
      <c r="BA68">
        <v>1707.645840355314</v>
      </c>
      <c r="BB68">
        <f t="shared" si="80"/>
        <v>0.63224224534208417</v>
      </c>
      <c r="BC68">
        <v>-2.7018521291296791</v>
      </c>
      <c r="BD68" t="s">
        <v>491</v>
      </c>
      <c r="BE68" t="s">
        <v>491</v>
      </c>
      <c r="BF68">
        <v>0</v>
      </c>
      <c r="BG68">
        <v>0</v>
      </c>
      <c r="BH68" t="e">
        <f t="shared" si="81"/>
        <v>#DIV/0!</v>
      </c>
      <c r="BI68">
        <v>0.5</v>
      </c>
      <c r="BJ68">
        <f t="shared" si="82"/>
        <v>458.7186899443854</v>
      </c>
      <c r="BK68">
        <f t="shared" si="83"/>
        <v>-2.7018521291296791</v>
      </c>
      <c r="BL68" t="e">
        <f t="shared" si="84"/>
        <v>#DIV/0!</v>
      </c>
      <c r="BM68">
        <f t="shared" si="85"/>
        <v>0</v>
      </c>
      <c r="BN68" t="e">
        <f t="shared" si="86"/>
        <v>#DIV/0!</v>
      </c>
      <c r="BO68" t="e">
        <f t="shared" si="87"/>
        <v>#DIV/0!</v>
      </c>
      <c r="BP68" t="s">
        <v>491</v>
      </c>
      <c r="BQ68">
        <v>0</v>
      </c>
      <c r="BR68" t="e">
        <f t="shared" si="88"/>
        <v>#DIV/0!</v>
      </c>
      <c r="BS68" t="e">
        <f t="shared" si="89"/>
        <v>#DIV/0!</v>
      </c>
      <c r="BT68" t="e">
        <f t="shared" si="90"/>
        <v>#DIV/0!</v>
      </c>
      <c r="BU68" t="e">
        <f t="shared" si="91"/>
        <v>#DIV/0!</v>
      </c>
      <c r="BV68">
        <f t="shared" si="92"/>
        <v>0</v>
      </c>
      <c r="BW68">
        <f t="shared" si="93"/>
        <v>1.5816722266936385</v>
      </c>
      <c r="BX68" t="e">
        <f t="shared" si="94"/>
        <v>#DIV/0!</v>
      </c>
      <c r="BY68" t="e">
        <f t="shared" si="95"/>
        <v>#DIV/0!</v>
      </c>
      <c r="BZ68">
        <v>465</v>
      </c>
      <c r="CA68">
        <v>290.00000000000011</v>
      </c>
      <c r="CB68">
        <v>1637.46</v>
      </c>
      <c r="CC68">
        <v>265</v>
      </c>
      <c r="CD68">
        <v>5006.1899999999996</v>
      </c>
      <c r="CE68">
        <v>1637.69</v>
      </c>
      <c r="CF68">
        <v>-0.23</v>
      </c>
      <c r="CG68">
        <v>300.00000000000011</v>
      </c>
      <c r="CH68">
        <v>23.9</v>
      </c>
      <c r="CI68">
        <v>1707.645840355314</v>
      </c>
      <c r="CJ68">
        <v>1.5750682139320169</v>
      </c>
      <c r="CK68">
        <v>-35.022465817413462</v>
      </c>
      <c r="CL68">
        <v>0.68312579779488714</v>
      </c>
      <c r="CM68">
        <v>0.98945943337928743</v>
      </c>
      <c r="CN68">
        <v>-4.144067853170186E-3</v>
      </c>
      <c r="CO68">
        <v>289.99999999999989</v>
      </c>
      <c r="CP68">
        <v>1635.55</v>
      </c>
      <c r="CQ68">
        <v>685</v>
      </c>
      <c r="CR68">
        <v>5005.96</v>
      </c>
      <c r="CS68">
        <v>1637.68</v>
      </c>
      <c r="CT68">
        <v>-2.13</v>
      </c>
      <c r="DH68">
        <f t="shared" si="96"/>
        <v>1089.5870005600002</v>
      </c>
      <c r="DI68">
        <f t="shared" si="97"/>
        <v>458.7186899443854</v>
      </c>
      <c r="DJ68">
        <f t="shared" si="98"/>
        <v>0.42100235200000002</v>
      </c>
      <c r="DK68">
        <f t="shared" si="99"/>
        <v>9.9540446879999994E-2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1761686573.349999</v>
      </c>
      <c r="DR68">
        <v>422.7979666666667</v>
      </c>
      <c r="DS68">
        <v>420.01923333333337</v>
      </c>
      <c r="DT68">
        <v>16.90185</v>
      </c>
      <c r="DU68">
        <v>15.89311</v>
      </c>
      <c r="DV68">
        <v>421.95690000000002</v>
      </c>
      <c r="DW68">
        <v>16.707333333333331</v>
      </c>
      <c r="DX68">
        <v>499.99763333333328</v>
      </c>
      <c r="DY68">
        <v>91.125456666666665</v>
      </c>
      <c r="DZ68">
        <v>3.8082759999999993E-2</v>
      </c>
      <c r="EA68">
        <v>24.456923333333339</v>
      </c>
      <c r="EB68">
        <v>23.988476666666671</v>
      </c>
      <c r="EC68">
        <v>999.9000000000002</v>
      </c>
      <c r="ED68">
        <v>0</v>
      </c>
      <c r="EE68">
        <v>0</v>
      </c>
      <c r="EF68">
        <v>9996.7686666666687</v>
      </c>
      <c r="EG68">
        <v>0</v>
      </c>
      <c r="EH68">
        <v>1089.5820000000001</v>
      </c>
      <c r="EI68">
        <v>2.7787810000000008</v>
      </c>
      <c r="EJ68">
        <v>430.06693333333322</v>
      </c>
      <c r="EK68">
        <v>426.80253333333337</v>
      </c>
      <c r="EL68">
        <v>1.008742533333334</v>
      </c>
      <c r="EM68">
        <v>420.01923333333337</v>
      </c>
      <c r="EN68">
        <v>15.89311</v>
      </c>
      <c r="EO68">
        <v>1.5401879999999999</v>
      </c>
      <c r="EP68">
        <v>1.448267333333334</v>
      </c>
      <c r="EQ68">
        <v>13.37307666666667</v>
      </c>
      <c r="ER68">
        <v>12.432636666666671</v>
      </c>
      <c r="ES68">
        <v>5.0005599999999976E-3</v>
      </c>
      <c r="ET68">
        <v>0</v>
      </c>
      <c r="EU68">
        <v>0</v>
      </c>
      <c r="EV68">
        <v>0</v>
      </c>
      <c r="EW68">
        <v>627.21666666666681</v>
      </c>
      <c r="EX68">
        <v>5.0005599999999976E-3</v>
      </c>
      <c r="EY68">
        <v>148.1166666666667</v>
      </c>
      <c r="EZ68">
        <v>-1.926666666666667</v>
      </c>
      <c r="FA68">
        <v>34.724800000000002</v>
      </c>
      <c r="FB68">
        <v>38.416333333333327</v>
      </c>
      <c r="FC68">
        <v>36.478999999999999</v>
      </c>
      <c r="FD68">
        <v>37.59559999999999</v>
      </c>
      <c r="FE68">
        <v>36.362399999999987</v>
      </c>
      <c r="FF68">
        <v>0</v>
      </c>
      <c r="FG68">
        <v>0</v>
      </c>
      <c r="FH68">
        <v>0</v>
      </c>
      <c r="FI68">
        <v>127.2999999523163</v>
      </c>
      <c r="FJ68">
        <v>0</v>
      </c>
      <c r="FK68">
        <v>628</v>
      </c>
      <c r="FL68">
        <v>16.261538351917451</v>
      </c>
      <c r="FM68">
        <v>4.4769231164237722</v>
      </c>
      <c r="FN68">
        <v>147.756</v>
      </c>
      <c r="FO68">
        <v>15</v>
      </c>
      <c r="FP68">
        <v>0</v>
      </c>
      <c r="FQ68" t="s">
        <v>441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2.7464457499999999</v>
      </c>
      <c r="GD68">
        <v>0.53837144465290498</v>
      </c>
      <c r="GE68">
        <v>5.8259556464476267E-2</v>
      </c>
      <c r="GF68">
        <v>0</v>
      </c>
      <c r="GG68">
        <v>628.69705882352946</v>
      </c>
      <c r="GH68">
        <v>-11.7356760089262</v>
      </c>
      <c r="GI68">
        <v>6.822561417140748</v>
      </c>
      <c r="GJ68">
        <v>0</v>
      </c>
      <c r="GK68">
        <v>1.01145565</v>
      </c>
      <c r="GL68">
        <v>4.4835647279548349E-2</v>
      </c>
      <c r="GM68">
        <v>2.3628260974466578E-2</v>
      </c>
      <c r="GN68">
        <v>1</v>
      </c>
      <c r="GO68">
        <v>1</v>
      </c>
      <c r="GP68">
        <v>3</v>
      </c>
      <c r="GQ68" t="s">
        <v>442</v>
      </c>
      <c r="GR68">
        <v>3.1289600000000002</v>
      </c>
      <c r="GS68">
        <v>2.7159200000000001</v>
      </c>
      <c r="GT68">
        <v>8.6698399999999995E-2</v>
      </c>
      <c r="GU68">
        <v>8.6828500000000003E-2</v>
      </c>
      <c r="GV68">
        <v>8.3969699999999994E-2</v>
      </c>
      <c r="GW68">
        <v>8.0875100000000005E-2</v>
      </c>
      <c r="GX68">
        <v>27434.7</v>
      </c>
      <c r="GY68">
        <v>26518.6</v>
      </c>
      <c r="GZ68">
        <v>30580</v>
      </c>
      <c r="HA68">
        <v>29292.799999999999</v>
      </c>
      <c r="HB68">
        <v>38646.6</v>
      </c>
      <c r="HC68">
        <v>35441.4</v>
      </c>
      <c r="HD68">
        <v>46756.800000000003</v>
      </c>
      <c r="HE68">
        <v>43542.400000000001</v>
      </c>
      <c r="HF68">
        <v>1.8334999999999999</v>
      </c>
      <c r="HG68">
        <v>1.8673999999999999</v>
      </c>
      <c r="HH68">
        <v>5.8077299999999997E-3</v>
      </c>
      <c r="HI68">
        <v>0</v>
      </c>
      <c r="HJ68">
        <v>23.889600000000002</v>
      </c>
      <c r="HK68">
        <v>999.9</v>
      </c>
      <c r="HL68">
        <v>38.6</v>
      </c>
      <c r="HM68">
        <v>30.3</v>
      </c>
      <c r="HN68">
        <v>18.359400000000001</v>
      </c>
      <c r="HO68">
        <v>63.527900000000002</v>
      </c>
      <c r="HP68">
        <v>18.0609</v>
      </c>
      <c r="HQ68">
        <v>1</v>
      </c>
      <c r="HR68">
        <v>0.126448</v>
      </c>
      <c r="HS68">
        <v>1.5642499999999999</v>
      </c>
      <c r="HT68">
        <v>20.216100000000001</v>
      </c>
      <c r="HU68">
        <v>5.2375100000000003</v>
      </c>
      <c r="HV68">
        <v>11.974500000000001</v>
      </c>
      <c r="HW68">
        <v>4.9718</v>
      </c>
      <c r="HX68">
        <v>3.2909999999999999</v>
      </c>
      <c r="HY68">
        <v>9999</v>
      </c>
      <c r="HZ68">
        <v>9999</v>
      </c>
      <c r="IA68">
        <v>9999</v>
      </c>
      <c r="IB68">
        <v>999.9</v>
      </c>
      <c r="IC68">
        <v>4.97295</v>
      </c>
      <c r="ID68">
        <v>1.87724</v>
      </c>
      <c r="IE68">
        <v>1.8753</v>
      </c>
      <c r="IF68">
        <v>1.8781099999999999</v>
      </c>
      <c r="IG68">
        <v>1.8748499999999999</v>
      </c>
      <c r="IH68">
        <v>1.8784000000000001</v>
      </c>
      <c r="II68">
        <v>1.8755599999999999</v>
      </c>
      <c r="IJ68">
        <v>1.8766799999999999</v>
      </c>
      <c r="IK68">
        <v>0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0.84099999999999997</v>
      </c>
      <c r="IY68">
        <v>0.1943</v>
      </c>
      <c r="IZ68">
        <v>6.1933660764125778E-2</v>
      </c>
      <c r="JA68">
        <v>2.058711587971173E-3</v>
      </c>
      <c r="JB68">
        <v>-6.1309262243104059E-7</v>
      </c>
      <c r="JC68">
        <v>2.6183910446277612E-10</v>
      </c>
      <c r="JD68">
        <v>3.5078820932035488E-4</v>
      </c>
      <c r="JE68">
        <v>-4.3284922736758413E-3</v>
      </c>
      <c r="JF68">
        <v>1.4186339569364E-3</v>
      </c>
      <c r="JG68">
        <v>-2.7770646863349432E-5</v>
      </c>
      <c r="JH68">
        <v>2</v>
      </c>
      <c r="JI68">
        <v>2136</v>
      </c>
      <c r="JJ68">
        <v>1</v>
      </c>
      <c r="JK68">
        <v>19</v>
      </c>
      <c r="JL68">
        <v>29361443</v>
      </c>
      <c r="JM68">
        <v>29361443</v>
      </c>
      <c r="JN68">
        <v>1.1071800000000001</v>
      </c>
      <c r="JO68">
        <v>2.5390600000000001</v>
      </c>
      <c r="JP68">
        <v>1.39893</v>
      </c>
      <c r="JQ68">
        <v>2.3278799999999999</v>
      </c>
      <c r="JR68">
        <v>1.4489700000000001</v>
      </c>
      <c r="JS68">
        <v>2.5720200000000002</v>
      </c>
      <c r="JT68">
        <v>36.104999999999997</v>
      </c>
      <c r="JU68">
        <v>23.9299</v>
      </c>
      <c r="JV68">
        <v>18</v>
      </c>
      <c r="JW68">
        <v>481.29</v>
      </c>
      <c r="JX68">
        <v>473.08100000000002</v>
      </c>
      <c r="JY68">
        <v>22.574999999999999</v>
      </c>
      <c r="JZ68">
        <v>28.799199999999999</v>
      </c>
      <c r="KA68">
        <v>30.0002</v>
      </c>
      <c r="KB68">
        <v>28.422599999999999</v>
      </c>
      <c r="KC68">
        <v>28.483599999999999</v>
      </c>
      <c r="KD68">
        <v>22.211099999999998</v>
      </c>
      <c r="KE68">
        <v>23.6999</v>
      </c>
      <c r="KF68">
        <v>67.373099999999994</v>
      </c>
      <c r="KG68">
        <v>22.580300000000001</v>
      </c>
      <c r="KH68">
        <v>420</v>
      </c>
      <c r="KI68">
        <v>15.8369</v>
      </c>
      <c r="KJ68">
        <v>101.065</v>
      </c>
      <c r="KK68">
        <v>100.14100000000001</v>
      </c>
    </row>
    <row r="69" spans="1:297" x14ac:dyDescent="0.3">
      <c r="A69">
        <v>53</v>
      </c>
      <c r="B69">
        <v>1761687440.5999999</v>
      </c>
      <c r="C69">
        <v>9990.5999999046326</v>
      </c>
      <c r="D69" t="s">
        <v>653</v>
      </c>
      <c r="E69" t="s">
        <v>654</v>
      </c>
      <c r="F69">
        <v>5</v>
      </c>
      <c r="G69" t="s">
        <v>655</v>
      </c>
      <c r="H69" t="s">
        <v>436</v>
      </c>
      <c r="I69">
        <v>1761687432.599999</v>
      </c>
      <c r="J69">
        <f t="shared" si="50"/>
        <v>6.7351557726842357E-4</v>
      </c>
      <c r="K69">
        <f t="shared" si="51"/>
        <v>0.67351557726842359</v>
      </c>
      <c r="L69">
        <f t="shared" si="52"/>
        <v>3.0377877909559454</v>
      </c>
      <c r="M69">
        <f t="shared" si="53"/>
        <v>415.95877419354838</v>
      </c>
      <c r="N69">
        <f t="shared" si="54"/>
        <v>242.78173358612833</v>
      </c>
      <c r="O69">
        <f t="shared" si="55"/>
        <v>22.13255808388368</v>
      </c>
      <c r="P69">
        <f t="shared" si="56"/>
        <v>37.919787433570647</v>
      </c>
      <c r="Q69">
        <f t="shared" si="57"/>
        <v>3.0272552155963639E-2</v>
      </c>
      <c r="R69">
        <f t="shared" si="58"/>
        <v>2.7689051613178139</v>
      </c>
      <c r="S69">
        <f t="shared" si="59"/>
        <v>3.0089877285894389E-2</v>
      </c>
      <c r="T69">
        <f t="shared" si="60"/>
        <v>1.882249388375298E-2</v>
      </c>
      <c r="U69">
        <f t="shared" si="61"/>
        <v>540.84584255391599</v>
      </c>
      <c r="V69">
        <f t="shared" si="62"/>
        <v>26.06911777253956</v>
      </c>
      <c r="W69">
        <f t="shared" si="63"/>
        <v>26.06911777253956</v>
      </c>
      <c r="X69">
        <f t="shared" si="64"/>
        <v>3.3880835800247513</v>
      </c>
      <c r="Y69">
        <f t="shared" si="65"/>
        <v>50.043842211613132</v>
      </c>
      <c r="Z69">
        <f t="shared" si="66"/>
        <v>1.401154149062106</v>
      </c>
      <c r="AA69">
        <f t="shared" si="67"/>
        <v>2.7998532629394219</v>
      </c>
      <c r="AB69">
        <f t="shared" si="68"/>
        <v>1.9869294309626453</v>
      </c>
      <c r="AC69">
        <f t="shared" si="69"/>
        <v>-29.70203695753748</v>
      </c>
      <c r="AD69">
        <f t="shared" si="70"/>
        <v>-475.58156170937576</v>
      </c>
      <c r="AE69">
        <f t="shared" si="71"/>
        <v>-36.140747717976247</v>
      </c>
      <c r="AF69">
        <f t="shared" si="72"/>
        <v>-0.57850383097348868</v>
      </c>
      <c r="AG69">
        <f t="shared" si="73"/>
        <v>2.9779124432878663</v>
      </c>
      <c r="AH69">
        <f t="shared" si="74"/>
        <v>0.96513090815442837</v>
      </c>
      <c r="AI69">
        <f t="shared" si="75"/>
        <v>3.0377877909559454</v>
      </c>
      <c r="AJ69">
        <v>426.03644029640247</v>
      </c>
      <c r="AK69">
        <v>422.35192727272721</v>
      </c>
      <c r="AL69">
        <v>-2.7991949779950669E-3</v>
      </c>
      <c r="AM69">
        <v>64.979418720852607</v>
      </c>
      <c r="AN69">
        <f t="shared" si="76"/>
        <v>0.67351557726842359</v>
      </c>
      <c r="AO69">
        <v>14.261281805473541</v>
      </c>
      <c r="AP69">
        <v>15.204116783216779</v>
      </c>
      <c r="AQ69">
        <v>-2.0535472056154681E-2</v>
      </c>
      <c r="AR69">
        <v>96.606904934634102</v>
      </c>
      <c r="AS69">
        <v>0</v>
      </c>
      <c r="AT69">
        <v>0</v>
      </c>
      <c r="AU69">
        <f t="shared" si="77"/>
        <v>1</v>
      </c>
      <c r="AV69">
        <f t="shared" si="78"/>
        <v>0</v>
      </c>
      <c r="AW69">
        <f t="shared" si="79"/>
        <v>48847.747476379824</v>
      </c>
      <c r="AX69" t="s">
        <v>652</v>
      </c>
      <c r="AY69">
        <v>5006.1899999999996</v>
      </c>
      <c r="AZ69">
        <v>628</v>
      </c>
      <c r="BA69">
        <v>1707.645840355314</v>
      </c>
      <c r="BB69">
        <f t="shared" si="80"/>
        <v>0.63224224534208417</v>
      </c>
      <c r="BC69">
        <v>-2.7018521291296791</v>
      </c>
      <c r="BD69" t="s">
        <v>656</v>
      </c>
      <c r="BE69">
        <v>5045.4799999999996</v>
      </c>
      <c r="BF69">
        <v>1490.1707692307691</v>
      </c>
      <c r="BG69">
        <v>1586.3146844167879</v>
      </c>
      <c r="BH69">
        <f t="shared" si="81"/>
        <v>6.0608349736966827E-2</v>
      </c>
      <c r="BI69">
        <v>0.5</v>
      </c>
      <c r="BJ69">
        <f t="shared" si="82"/>
        <v>2521.8094954315807</v>
      </c>
      <c r="BK69">
        <f t="shared" si="83"/>
        <v>3.0377877909559454</v>
      </c>
      <c r="BL69">
        <f t="shared" si="84"/>
        <v>76.421355934560538</v>
      </c>
      <c r="BM69">
        <f t="shared" si="85"/>
        <v>2.2760005981749807E-3</v>
      </c>
      <c r="BN69">
        <f t="shared" si="86"/>
        <v>7.6486183435371613E-2</v>
      </c>
      <c r="BO69">
        <f t="shared" si="87"/>
        <v>610.81865639566229</v>
      </c>
      <c r="BP69" t="s">
        <v>657</v>
      </c>
      <c r="BQ69">
        <v>812.87</v>
      </c>
      <c r="BR69">
        <f t="shared" si="88"/>
        <v>812.87</v>
      </c>
      <c r="BS69">
        <f t="shared" si="89"/>
        <v>0.48757329930482651</v>
      </c>
      <c r="BT69">
        <f t="shared" si="90"/>
        <v>0.12430612960837098</v>
      </c>
      <c r="BU69">
        <f t="shared" si="91"/>
        <v>0.13559949930068035</v>
      </c>
      <c r="BV69">
        <f t="shared" si="92"/>
        <v>0.10032603773000744</v>
      </c>
      <c r="BW69">
        <f t="shared" si="93"/>
        <v>0.11238051535362346</v>
      </c>
      <c r="BX69">
        <f t="shared" si="94"/>
        <v>6.7807479291058792E-2</v>
      </c>
      <c r="BY69">
        <f t="shared" si="95"/>
        <v>0.93219252070894121</v>
      </c>
      <c r="BZ69">
        <v>466</v>
      </c>
      <c r="CA69">
        <v>290.00000000000011</v>
      </c>
      <c r="CB69">
        <v>1539.5</v>
      </c>
      <c r="CC69">
        <v>155</v>
      </c>
      <c r="CD69">
        <v>5045.4799999999996</v>
      </c>
      <c r="CE69">
        <v>1538.49</v>
      </c>
      <c r="CF69">
        <v>1.01</v>
      </c>
      <c r="CG69">
        <v>300.00000000000011</v>
      </c>
      <c r="CH69">
        <v>23.9</v>
      </c>
      <c r="CI69">
        <v>1586.3146844167879</v>
      </c>
      <c r="CJ69">
        <v>2.7893224057637669</v>
      </c>
      <c r="CK69">
        <v>-24.13051938775979</v>
      </c>
      <c r="CL69">
        <v>1.296731859730258</v>
      </c>
      <c r="CM69">
        <v>0.92519058495893103</v>
      </c>
      <c r="CN69">
        <v>-2.5236776418242519E-3</v>
      </c>
      <c r="CO69">
        <v>289.99999999999989</v>
      </c>
      <c r="CP69">
        <v>1536.61</v>
      </c>
      <c r="CQ69">
        <v>715</v>
      </c>
      <c r="CR69">
        <v>5044.47</v>
      </c>
      <c r="CS69">
        <v>1538.48</v>
      </c>
      <c r="CT69">
        <v>-1.87</v>
      </c>
      <c r="DH69">
        <f t="shared" si="96"/>
        <v>3074.2558064516143</v>
      </c>
      <c r="DI69">
        <f t="shared" si="97"/>
        <v>2521.8094954315807</v>
      </c>
      <c r="DJ69">
        <f t="shared" si="98"/>
        <v>0.82029917293782995</v>
      </c>
      <c r="DK69">
        <f t="shared" si="99"/>
        <v>0.17592740377001168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1761687432.599999</v>
      </c>
      <c r="DR69">
        <v>415.95877419354838</v>
      </c>
      <c r="DS69">
        <v>420.0140322580645</v>
      </c>
      <c r="DT69">
        <v>15.369874193548389</v>
      </c>
      <c r="DU69">
        <v>14.2295129032258</v>
      </c>
      <c r="DV69">
        <v>415.12903225806451</v>
      </c>
      <c r="DW69">
        <v>15.204983870967739</v>
      </c>
      <c r="DX69">
        <v>499.99783870967752</v>
      </c>
      <c r="DY69">
        <v>91.123580645161269</v>
      </c>
      <c r="DZ69">
        <v>3.878876774193548E-2</v>
      </c>
      <c r="EA69">
        <v>22.88322258064515</v>
      </c>
      <c r="EB69">
        <v>23.94278709677419</v>
      </c>
      <c r="EC69">
        <v>999.90000000000032</v>
      </c>
      <c r="ED69">
        <v>0</v>
      </c>
      <c r="EE69">
        <v>0</v>
      </c>
      <c r="EF69">
        <v>9998.6709677419349</v>
      </c>
      <c r="EG69">
        <v>0</v>
      </c>
      <c r="EH69">
        <v>1074.242580645162</v>
      </c>
      <c r="EI69">
        <v>-4.0553654838709674</v>
      </c>
      <c r="EJ69">
        <v>422.45177419354849</v>
      </c>
      <c r="EK69">
        <v>426.07693548387101</v>
      </c>
      <c r="EL69">
        <v>1.140364645161291</v>
      </c>
      <c r="EM69">
        <v>420.0140322580645</v>
      </c>
      <c r="EN69">
        <v>14.2295129032258</v>
      </c>
      <c r="EO69">
        <v>1.400557741935484</v>
      </c>
      <c r="EP69">
        <v>1.296644838709677</v>
      </c>
      <c r="EQ69">
        <v>11.92323225806452</v>
      </c>
      <c r="ER69">
        <v>10.75997096774193</v>
      </c>
      <c r="ES69">
        <v>2000.0132258064521</v>
      </c>
      <c r="ET69">
        <v>0.98000325806451583</v>
      </c>
      <c r="EU69">
        <v>1.9996409677419349E-2</v>
      </c>
      <c r="EV69">
        <v>0</v>
      </c>
      <c r="EW69">
        <v>1490.2887096774191</v>
      </c>
      <c r="EX69">
        <v>5.0005600000000019</v>
      </c>
      <c r="EY69">
        <v>29783.893548387088</v>
      </c>
      <c r="EZ69">
        <v>17295.025806451609</v>
      </c>
      <c r="FA69">
        <v>37.777999999999992</v>
      </c>
      <c r="FB69">
        <v>39.106709677419353</v>
      </c>
      <c r="FC69">
        <v>37.801999999999992</v>
      </c>
      <c r="FD69">
        <v>38.152999999999977</v>
      </c>
      <c r="FE69">
        <v>38.382999999999988</v>
      </c>
      <c r="FF69">
        <v>1955.123225806452</v>
      </c>
      <c r="FG69">
        <v>39.890000000000022</v>
      </c>
      <c r="FH69">
        <v>0</v>
      </c>
      <c r="FI69">
        <v>859</v>
      </c>
      <c r="FJ69">
        <v>0</v>
      </c>
      <c r="FK69">
        <v>1490.1707692307691</v>
      </c>
      <c r="FL69">
        <v>-12.343931626356261</v>
      </c>
      <c r="FM69">
        <v>-208.8923079128345</v>
      </c>
      <c r="FN69">
        <v>29782.057692307691</v>
      </c>
      <c r="FO69">
        <v>15</v>
      </c>
      <c r="FP69">
        <v>0</v>
      </c>
      <c r="FQ69" t="s">
        <v>441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-4.0804867500000004</v>
      </c>
      <c r="GD69">
        <v>0.55893219512196191</v>
      </c>
      <c r="GE69">
        <v>6.8218183000850252E-2</v>
      </c>
      <c r="GF69">
        <v>0</v>
      </c>
      <c r="GG69">
        <v>1490.785588235294</v>
      </c>
      <c r="GH69">
        <v>-12.67639419322227</v>
      </c>
      <c r="GI69">
        <v>1.2737027799397549</v>
      </c>
      <c r="GJ69">
        <v>0</v>
      </c>
      <c r="GK69">
        <v>1.22392535</v>
      </c>
      <c r="GL69">
        <v>-2.1569673771106932</v>
      </c>
      <c r="GM69">
        <v>0.20775572816682461</v>
      </c>
      <c r="GN69">
        <v>0</v>
      </c>
      <c r="GO69">
        <v>0</v>
      </c>
      <c r="GP69">
        <v>3</v>
      </c>
      <c r="GQ69" t="s">
        <v>492</v>
      </c>
      <c r="GR69">
        <v>3.1290399999999998</v>
      </c>
      <c r="GS69">
        <v>2.7170899999999998</v>
      </c>
      <c r="GT69">
        <v>8.55239E-2</v>
      </c>
      <c r="GU69">
        <v>8.6729100000000003E-2</v>
      </c>
      <c r="GV69">
        <v>7.7751700000000007E-2</v>
      </c>
      <c r="GW69">
        <v>7.50865E-2</v>
      </c>
      <c r="GX69">
        <v>27449.5</v>
      </c>
      <c r="GY69">
        <v>26507.3</v>
      </c>
      <c r="GZ69">
        <v>30558.9</v>
      </c>
      <c r="HA69">
        <v>29279</v>
      </c>
      <c r="HB69">
        <v>38887.300000000003</v>
      </c>
      <c r="HC69">
        <v>35650.400000000001</v>
      </c>
      <c r="HD69">
        <v>46727.9</v>
      </c>
      <c r="HE69">
        <v>43522.5</v>
      </c>
      <c r="HF69">
        <v>1.8328500000000001</v>
      </c>
      <c r="HG69">
        <v>1.8583700000000001</v>
      </c>
      <c r="HH69">
        <v>6.5956299999999995E-2</v>
      </c>
      <c r="HI69">
        <v>0</v>
      </c>
      <c r="HJ69">
        <v>22.858499999999999</v>
      </c>
      <c r="HK69">
        <v>999.9</v>
      </c>
      <c r="HL69">
        <v>39.4</v>
      </c>
      <c r="HM69">
        <v>30.3</v>
      </c>
      <c r="HN69">
        <v>18.739699999999999</v>
      </c>
      <c r="HO69">
        <v>63.3979</v>
      </c>
      <c r="HP69">
        <v>18.1571</v>
      </c>
      <c r="HQ69">
        <v>1</v>
      </c>
      <c r="HR69">
        <v>0.16122</v>
      </c>
      <c r="HS69">
        <v>4.4719199999999999</v>
      </c>
      <c r="HT69">
        <v>20.151299999999999</v>
      </c>
      <c r="HU69">
        <v>5.2379600000000002</v>
      </c>
      <c r="HV69">
        <v>11.98</v>
      </c>
      <c r="HW69">
        <v>4.9718</v>
      </c>
      <c r="HX69">
        <v>3.2909999999999999</v>
      </c>
      <c r="HY69">
        <v>9999</v>
      </c>
      <c r="HZ69">
        <v>9999</v>
      </c>
      <c r="IA69">
        <v>9999</v>
      </c>
      <c r="IB69">
        <v>999.9</v>
      </c>
      <c r="IC69">
        <v>4.9729000000000001</v>
      </c>
      <c r="ID69">
        <v>1.8772800000000001</v>
      </c>
      <c r="IE69">
        <v>1.87531</v>
      </c>
      <c r="IF69">
        <v>1.8781000000000001</v>
      </c>
      <c r="IG69">
        <v>1.8748499999999999</v>
      </c>
      <c r="IH69">
        <v>1.8784400000000001</v>
      </c>
      <c r="II69">
        <v>1.8754999999999999</v>
      </c>
      <c r="IJ69">
        <v>1.87669</v>
      </c>
      <c r="IK69">
        <v>0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0.83</v>
      </c>
      <c r="IY69">
        <v>0.16170000000000001</v>
      </c>
      <c r="IZ69">
        <v>6.1933660764125778E-2</v>
      </c>
      <c r="JA69">
        <v>2.058711587971173E-3</v>
      </c>
      <c r="JB69">
        <v>-6.1309262243104059E-7</v>
      </c>
      <c r="JC69">
        <v>2.6183910446277612E-10</v>
      </c>
      <c r="JD69">
        <v>3.5078820932035488E-4</v>
      </c>
      <c r="JE69">
        <v>-4.3284922736758413E-3</v>
      </c>
      <c r="JF69">
        <v>1.4186339569364E-3</v>
      </c>
      <c r="JG69">
        <v>-2.7770646863349432E-5</v>
      </c>
      <c r="JH69">
        <v>2</v>
      </c>
      <c r="JI69">
        <v>2136</v>
      </c>
      <c r="JJ69">
        <v>1</v>
      </c>
      <c r="JK69">
        <v>19</v>
      </c>
      <c r="JL69">
        <v>29361457.300000001</v>
      </c>
      <c r="JM69">
        <v>29361457.300000001</v>
      </c>
      <c r="JN69">
        <v>1.1059600000000001</v>
      </c>
      <c r="JO69">
        <v>2.5561500000000001</v>
      </c>
      <c r="JP69">
        <v>1.39893</v>
      </c>
      <c r="JQ69">
        <v>2.3278799999999999</v>
      </c>
      <c r="JR69">
        <v>1.4489700000000001</v>
      </c>
      <c r="JS69">
        <v>2.4902299999999999</v>
      </c>
      <c r="JT69">
        <v>36.363500000000002</v>
      </c>
      <c r="JU69">
        <v>23.807300000000001</v>
      </c>
      <c r="JV69">
        <v>18</v>
      </c>
      <c r="JW69">
        <v>483.55599999999998</v>
      </c>
      <c r="JX69">
        <v>470.39699999999999</v>
      </c>
      <c r="JY69">
        <v>17.840299999999999</v>
      </c>
      <c r="JZ69">
        <v>29.174499999999998</v>
      </c>
      <c r="KA69">
        <v>30.000499999999999</v>
      </c>
      <c r="KB69">
        <v>28.822900000000001</v>
      </c>
      <c r="KC69">
        <v>28.886500000000002</v>
      </c>
      <c r="KD69">
        <v>22.173500000000001</v>
      </c>
      <c r="KE69">
        <v>31.527200000000001</v>
      </c>
      <c r="KF69">
        <v>67.9679</v>
      </c>
      <c r="KG69">
        <v>17.868500000000001</v>
      </c>
      <c r="KH69">
        <v>420</v>
      </c>
      <c r="KI69">
        <v>14.4528</v>
      </c>
      <c r="KJ69">
        <v>101</v>
      </c>
      <c r="KK69">
        <v>100.095</v>
      </c>
    </row>
    <row r="70" spans="1:297" x14ac:dyDescent="0.3">
      <c r="A70">
        <v>54</v>
      </c>
      <c r="B70">
        <v>1761687570.0999999</v>
      </c>
      <c r="C70">
        <v>10120.099999904631</v>
      </c>
      <c r="D70" t="s">
        <v>658</v>
      </c>
      <c r="E70" t="s">
        <v>659</v>
      </c>
      <c r="F70">
        <v>5</v>
      </c>
      <c r="G70" t="s">
        <v>655</v>
      </c>
      <c r="H70" t="s">
        <v>436</v>
      </c>
      <c r="I70">
        <v>1761687562.349999</v>
      </c>
      <c r="J70">
        <f t="shared" si="50"/>
        <v>5.3481982340556646E-4</v>
      </c>
      <c r="K70">
        <f t="shared" si="51"/>
        <v>0.53481982340556644</v>
      </c>
      <c r="L70">
        <f t="shared" si="52"/>
        <v>3.1244643429256089</v>
      </c>
      <c r="M70">
        <f t="shared" si="53"/>
        <v>416.05720000000002</v>
      </c>
      <c r="N70">
        <f t="shared" si="54"/>
        <v>197.40653946017781</v>
      </c>
      <c r="O70">
        <f t="shared" si="55"/>
        <v>17.997987836317339</v>
      </c>
      <c r="P70">
        <f t="shared" si="56"/>
        <v>37.932848857435239</v>
      </c>
      <c r="Q70">
        <f t="shared" si="57"/>
        <v>2.4163864381447117E-2</v>
      </c>
      <c r="R70">
        <f t="shared" si="58"/>
        <v>2.7698606990815247</v>
      </c>
      <c r="S70">
        <f t="shared" si="59"/>
        <v>2.4047361779813856E-2</v>
      </c>
      <c r="T70">
        <f t="shared" si="60"/>
        <v>1.5040021462585918E-2</v>
      </c>
      <c r="U70">
        <f t="shared" si="61"/>
        <v>505.8750846627762</v>
      </c>
      <c r="V70">
        <f t="shared" si="62"/>
        <v>26.087698226419125</v>
      </c>
      <c r="W70">
        <f t="shared" si="63"/>
        <v>26.087698226419125</v>
      </c>
      <c r="X70">
        <f t="shared" si="64"/>
        <v>3.3918085238949729</v>
      </c>
      <c r="Y70">
        <f t="shared" si="65"/>
        <v>50.022344272925714</v>
      </c>
      <c r="Z70">
        <f t="shared" si="66"/>
        <v>1.4175954582741861</v>
      </c>
      <c r="AA70">
        <f t="shared" si="67"/>
        <v>2.8339244769091141</v>
      </c>
      <c r="AB70">
        <f t="shared" si="68"/>
        <v>1.9742130656207868</v>
      </c>
      <c r="AC70">
        <f t="shared" si="69"/>
        <v>-23.585554212185482</v>
      </c>
      <c r="AD70">
        <f t="shared" si="70"/>
        <v>-448.68229482434538</v>
      </c>
      <c r="AE70">
        <f t="shared" si="71"/>
        <v>-34.122276566121521</v>
      </c>
      <c r="AF70">
        <f t="shared" si="72"/>
        <v>-0.51504093987614397</v>
      </c>
      <c r="AG70">
        <f t="shared" si="73"/>
        <v>3.0619647701290211</v>
      </c>
      <c r="AH70">
        <f t="shared" si="74"/>
        <v>0.52901842121315346</v>
      </c>
      <c r="AI70">
        <f t="shared" si="75"/>
        <v>3.1244643429256089</v>
      </c>
      <c r="AJ70">
        <v>426.39566501461132</v>
      </c>
      <c r="AK70">
        <v>422.59103030303032</v>
      </c>
      <c r="AL70">
        <v>-3.2763633890733239E-4</v>
      </c>
      <c r="AM70">
        <v>64.979418720852607</v>
      </c>
      <c r="AN70">
        <f t="shared" si="76"/>
        <v>0.53481982340556644</v>
      </c>
      <c r="AO70">
        <v>14.92416780565619</v>
      </c>
      <c r="AP70">
        <v>15.55559650349651</v>
      </c>
      <c r="AQ70">
        <v>5.3194015858134981E-5</v>
      </c>
      <c r="AR70">
        <v>96.606904934634102</v>
      </c>
      <c r="AS70">
        <v>0</v>
      </c>
      <c r="AT70">
        <v>0</v>
      </c>
      <c r="AU70">
        <f t="shared" si="77"/>
        <v>1</v>
      </c>
      <c r="AV70">
        <f t="shared" si="78"/>
        <v>0</v>
      </c>
      <c r="AW70">
        <f t="shared" si="79"/>
        <v>48841.385238518211</v>
      </c>
      <c r="AX70" t="s">
        <v>652</v>
      </c>
      <c r="AY70">
        <v>5006.1899999999996</v>
      </c>
      <c r="AZ70">
        <v>628</v>
      </c>
      <c r="BA70">
        <v>1707.645840355314</v>
      </c>
      <c r="BB70">
        <f t="shared" si="80"/>
        <v>0.63224224534208417</v>
      </c>
      <c r="BC70">
        <v>-2.7018521291296791</v>
      </c>
      <c r="BD70" t="s">
        <v>660</v>
      </c>
      <c r="BE70">
        <v>5045.6000000000004</v>
      </c>
      <c r="BF70">
        <v>1465.8692307692311</v>
      </c>
      <c r="BG70">
        <v>1563.3459565710621</v>
      </c>
      <c r="BH70">
        <f t="shared" si="81"/>
        <v>6.235134673302245E-2</v>
      </c>
      <c r="BI70">
        <v>0.5</v>
      </c>
      <c r="BJ70">
        <f t="shared" si="82"/>
        <v>2358.0649749116287</v>
      </c>
      <c r="BK70">
        <f t="shared" si="83"/>
        <v>3.1244643429256089</v>
      </c>
      <c r="BL70">
        <f t="shared" si="84"/>
        <v>73.514263434855422</v>
      </c>
      <c r="BM70">
        <f t="shared" si="85"/>
        <v>2.4708040423159399E-3</v>
      </c>
      <c r="BN70">
        <f t="shared" si="86"/>
        <v>9.230195221840061E-2</v>
      </c>
      <c r="BO70">
        <f t="shared" si="87"/>
        <v>607.38254603716018</v>
      </c>
      <c r="BP70" t="s">
        <v>661</v>
      </c>
      <c r="BQ70">
        <v>818.33</v>
      </c>
      <c r="BR70">
        <f t="shared" si="88"/>
        <v>818.33</v>
      </c>
      <c r="BS70">
        <f t="shared" si="89"/>
        <v>0.47655220102729534</v>
      </c>
      <c r="BT70">
        <f t="shared" si="90"/>
        <v>0.13083844036101974</v>
      </c>
      <c r="BU70">
        <f t="shared" si="91"/>
        <v>0.1622594327416893</v>
      </c>
      <c r="BV70">
        <f t="shared" si="92"/>
        <v>0.10421462253301063</v>
      </c>
      <c r="BW70">
        <f t="shared" si="93"/>
        <v>0.13365483234461639</v>
      </c>
      <c r="BX70">
        <f t="shared" si="94"/>
        <v>7.3041318183919887E-2</v>
      </c>
      <c r="BY70">
        <f t="shared" si="95"/>
        <v>0.9269586818160801</v>
      </c>
      <c r="BZ70">
        <v>468</v>
      </c>
      <c r="CA70">
        <v>290.00000000000011</v>
      </c>
      <c r="CB70">
        <v>1524.56</v>
      </c>
      <c r="CC70">
        <v>115</v>
      </c>
      <c r="CD70">
        <v>5045.6000000000004</v>
      </c>
      <c r="CE70">
        <v>1523.03</v>
      </c>
      <c r="CF70">
        <v>1.53</v>
      </c>
      <c r="CG70">
        <v>300.00000000000011</v>
      </c>
      <c r="CH70">
        <v>23.9</v>
      </c>
      <c r="CI70">
        <v>1563.3459565710621</v>
      </c>
      <c r="CJ70">
        <v>1.7616599962589301</v>
      </c>
      <c r="CK70">
        <v>-20.341413486230099</v>
      </c>
      <c r="CL70">
        <v>0.81413740006951651</v>
      </c>
      <c r="CM70">
        <v>0.9570724594977521</v>
      </c>
      <c r="CN70">
        <v>-2.6890320355951089E-3</v>
      </c>
      <c r="CO70">
        <v>289.99999999999989</v>
      </c>
      <c r="CP70">
        <v>1520.96</v>
      </c>
      <c r="CQ70">
        <v>665</v>
      </c>
      <c r="CR70">
        <v>5044.2700000000004</v>
      </c>
      <c r="CS70">
        <v>1523.02</v>
      </c>
      <c r="CT70">
        <v>-2.06</v>
      </c>
      <c r="DH70">
        <f t="shared" si="96"/>
        <v>2874.5356666666671</v>
      </c>
      <c r="DI70">
        <f t="shared" si="97"/>
        <v>2358.0649749116287</v>
      </c>
      <c r="DJ70">
        <f t="shared" si="98"/>
        <v>0.82032900209099102</v>
      </c>
      <c r="DK70">
        <f t="shared" si="99"/>
        <v>0.17598497403561275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1761687562.349999</v>
      </c>
      <c r="DR70">
        <v>416.05720000000002</v>
      </c>
      <c r="DS70">
        <v>419.99573333333331</v>
      </c>
      <c r="DT70">
        <v>15.548550000000001</v>
      </c>
      <c r="DU70">
        <v>14.923590000000001</v>
      </c>
      <c r="DV70">
        <v>415.22743333333329</v>
      </c>
      <c r="DW70">
        <v>15.38023666666667</v>
      </c>
      <c r="DX70">
        <v>499.99323333333331</v>
      </c>
      <c r="DY70">
        <v>91.132999999999996</v>
      </c>
      <c r="DZ70">
        <v>3.9196653333333331E-2</v>
      </c>
      <c r="EA70">
        <v>23.083036666666661</v>
      </c>
      <c r="EB70">
        <v>23.98526</v>
      </c>
      <c r="EC70">
        <v>999.9000000000002</v>
      </c>
      <c r="ED70">
        <v>0</v>
      </c>
      <c r="EE70">
        <v>0</v>
      </c>
      <c r="EF70">
        <v>10003.274333333329</v>
      </c>
      <c r="EG70">
        <v>0</v>
      </c>
      <c r="EH70">
        <v>1074.5476666666671</v>
      </c>
      <c r="EI70">
        <v>-3.9385150000000002</v>
      </c>
      <c r="EJ70">
        <v>422.62849999999997</v>
      </c>
      <c r="EK70">
        <v>426.35860000000008</v>
      </c>
      <c r="EL70">
        <v>0.6249541999999999</v>
      </c>
      <c r="EM70">
        <v>419.99573333333331</v>
      </c>
      <c r="EN70">
        <v>14.923590000000001</v>
      </c>
      <c r="EO70">
        <v>1.416987333333334</v>
      </c>
      <c r="EP70">
        <v>1.3600319999999999</v>
      </c>
      <c r="EQ70">
        <v>12.100630000000001</v>
      </c>
      <c r="ER70">
        <v>11.479193333333329</v>
      </c>
      <c r="ES70">
        <v>1799.9880000000001</v>
      </c>
      <c r="ET70">
        <v>0.97800773333333346</v>
      </c>
      <c r="EU70">
        <v>2.1992256666666671E-2</v>
      </c>
      <c r="EV70">
        <v>0</v>
      </c>
      <c r="EW70">
        <v>1465.896</v>
      </c>
      <c r="EX70">
        <v>5.0005600000000019</v>
      </c>
      <c r="EY70">
        <v>26390.39666666666</v>
      </c>
      <c r="EZ70">
        <v>15551.1</v>
      </c>
      <c r="FA70">
        <v>38.131199999999993</v>
      </c>
      <c r="FB70">
        <v>39.436999999999983</v>
      </c>
      <c r="FC70">
        <v>38.254133333333328</v>
      </c>
      <c r="FD70">
        <v>38.422533333333327</v>
      </c>
      <c r="FE70">
        <v>38.75</v>
      </c>
      <c r="FF70">
        <v>1755.508</v>
      </c>
      <c r="FG70">
        <v>39.479999999999997</v>
      </c>
      <c r="FH70">
        <v>0</v>
      </c>
      <c r="FI70">
        <v>127.3999998569489</v>
      </c>
      <c r="FJ70">
        <v>0</v>
      </c>
      <c r="FK70">
        <v>1465.8692307692311</v>
      </c>
      <c r="FL70">
        <v>-8.6345299148092973</v>
      </c>
      <c r="FM70">
        <v>-127.8735041855268</v>
      </c>
      <c r="FN70">
        <v>26390.142307692309</v>
      </c>
      <c r="FO70">
        <v>15</v>
      </c>
      <c r="FP70">
        <v>0</v>
      </c>
      <c r="FQ70" t="s">
        <v>441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-3.9380009756097558</v>
      </c>
      <c r="GD70">
        <v>-0.1255501045296096</v>
      </c>
      <c r="GE70">
        <v>2.68466159746827E-2</v>
      </c>
      <c r="GF70">
        <v>1</v>
      </c>
      <c r="GG70">
        <v>1466.3302941176471</v>
      </c>
      <c r="GH70">
        <v>-8.0001527827758974</v>
      </c>
      <c r="GI70">
        <v>0.81874180837972144</v>
      </c>
      <c r="GJ70">
        <v>0</v>
      </c>
      <c r="GK70">
        <v>0.62260446341463416</v>
      </c>
      <c r="GL70">
        <v>3.6184369337979742E-2</v>
      </c>
      <c r="GM70">
        <v>4.7575803908594923E-3</v>
      </c>
      <c r="GN70">
        <v>1</v>
      </c>
      <c r="GO70">
        <v>2</v>
      </c>
      <c r="GP70">
        <v>3</v>
      </c>
      <c r="GQ70" t="s">
        <v>479</v>
      </c>
      <c r="GR70">
        <v>3.1289600000000002</v>
      </c>
      <c r="GS70">
        <v>2.7172200000000002</v>
      </c>
      <c r="GT70">
        <v>8.5544800000000004E-2</v>
      </c>
      <c r="GU70">
        <v>8.6723400000000006E-2</v>
      </c>
      <c r="GV70">
        <v>7.9069200000000006E-2</v>
      </c>
      <c r="GW70">
        <v>7.7423099999999995E-2</v>
      </c>
      <c r="GX70">
        <v>27450</v>
      </c>
      <c r="GY70">
        <v>26507.4</v>
      </c>
      <c r="GZ70">
        <v>30560.2</v>
      </c>
      <c r="HA70">
        <v>29278.9</v>
      </c>
      <c r="HB70">
        <v>38833.300000000003</v>
      </c>
      <c r="HC70">
        <v>35560</v>
      </c>
      <c r="HD70">
        <v>46730.400000000001</v>
      </c>
      <c r="HE70">
        <v>43522.9</v>
      </c>
      <c r="HF70">
        <v>1.8322000000000001</v>
      </c>
      <c r="HG70">
        <v>1.8592299999999999</v>
      </c>
      <c r="HH70">
        <v>7.2531399999999996E-2</v>
      </c>
      <c r="HI70">
        <v>0</v>
      </c>
      <c r="HJ70">
        <v>22.785799999999998</v>
      </c>
      <c r="HK70">
        <v>999.9</v>
      </c>
      <c r="HL70">
        <v>39.1</v>
      </c>
      <c r="HM70">
        <v>30.4</v>
      </c>
      <c r="HN70">
        <v>18.704599999999999</v>
      </c>
      <c r="HO70">
        <v>63.3279</v>
      </c>
      <c r="HP70">
        <v>18.109000000000002</v>
      </c>
      <c r="HQ70">
        <v>1</v>
      </c>
      <c r="HR70">
        <v>0.15781300000000001</v>
      </c>
      <c r="HS70">
        <v>3.64175</v>
      </c>
      <c r="HT70">
        <v>20.1709</v>
      </c>
      <c r="HU70">
        <v>5.2382600000000004</v>
      </c>
      <c r="HV70">
        <v>11.98</v>
      </c>
      <c r="HW70">
        <v>4.9727499999999996</v>
      </c>
      <c r="HX70">
        <v>3.2909999999999999</v>
      </c>
      <c r="HY70">
        <v>9999</v>
      </c>
      <c r="HZ70">
        <v>9999</v>
      </c>
      <c r="IA70">
        <v>9999</v>
      </c>
      <c r="IB70">
        <v>999.9</v>
      </c>
      <c r="IC70">
        <v>4.9729099999999997</v>
      </c>
      <c r="ID70">
        <v>1.87724</v>
      </c>
      <c r="IE70">
        <v>1.87531</v>
      </c>
      <c r="IF70">
        <v>1.8780699999999999</v>
      </c>
      <c r="IG70">
        <v>1.8748499999999999</v>
      </c>
      <c r="IH70">
        <v>1.8784000000000001</v>
      </c>
      <c r="II70">
        <v>1.8754900000000001</v>
      </c>
      <c r="IJ70">
        <v>1.8767</v>
      </c>
      <c r="IK70">
        <v>0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0.82899999999999996</v>
      </c>
      <c r="IY70">
        <v>0.16839999999999999</v>
      </c>
      <c r="IZ70">
        <v>6.1933660764125778E-2</v>
      </c>
      <c r="JA70">
        <v>2.058711587971173E-3</v>
      </c>
      <c r="JB70">
        <v>-6.1309262243104059E-7</v>
      </c>
      <c r="JC70">
        <v>2.6183910446277612E-10</v>
      </c>
      <c r="JD70">
        <v>3.5078820932035488E-4</v>
      </c>
      <c r="JE70">
        <v>-4.3284922736758413E-3</v>
      </c>
      <c r="JF70">
        <v>1.4186339569364E-3</v>
      </c>
      <c r="JG70">
        <v>-2.7770646863349432E-5</v>
      </c>
      <c r="JH70">
        <v>2</v>
      </c>
      <c r="JI70">
        <v>2136</v>
      </c>
      <c r="JJ70">
        <v>1</v>
      </c>
      <c r="JK70">
        <v>19</v>
      </c>
      <c r="JL70">
        <v>29361459.5</v>
      </c>
      <c r="JM70">
        <v>29361459.5</v>
      </c>
      <c r="JN70">
        <v>1.1071800000000001</v>
      </c>
      <c r="JO70">
        <v>2.5463900000000002</v>
      </c>
      <c r="JP70">
        <v>1.39893</v>
      </c>
      <c r="JQ70">
        <v>2.3278799999999999</v>
      </c>
      <c r="JR70">
        <v>1.4489700000000001</v>
      </c>
      <c r="JS70">
        <v>2.6000999999999999</v>
      </c>
      <c r="JT70">
        <v>36.387099999999997</v>
      </c>
      <c r="JU70">
        <v>23.833600000000001</v>
      </c>
      <c r="JV70">
        <v>18</v>
      </c>
      <c r="JW70">
        <v>483.26</v>
      </c>
      <c r="JX70">
        <v>471.02600000000001</v>
      </c>
      <c r="JY70">
        <v>18.7042</v>
      </c>
      <c r="JZ70">
        <v>29.183599999999998</v>
      </c>
      <c r="KA70">
        <v>30.0002</v>
      </c>
      <c r="KB70">
        <v>28.8325</v>
      </c>
      <c r="KC70">
        <v>28.895600000000002</v>
      </c>
      <c r="KD70">
        <v>22.183800000000002</v>
      </c>
      <c r="KE70">
        <v>27.5504</v>
      </c>
      <c r="KF70">
        <v>67.223399999999998</v>
      </c>
      <c r="KG70">
        <v>18.708300000000001</v>
      </c>
      <c r="KH70">
        <v>420</v>
      </c>
      <c r="KI70">
        <v>14.9771</v>
      </c>
      <c r="KJ70">
        <v>101.005</v>
      </c>
      <c r="KK70">
        <v>100.095</v>
      </c>
    </row>
    <row r="71" spans="1:297" x14ac:dyDescent="0.3">
      <c r="A71">
        <v>55</v>
      </c>
      <c r="B71">
        <v>1761687700</v>
      </c>
      <c r="C71">
        <v>10250</v>
      </c>
      <c r="D71" t="s">
        <v>662</v>
      </c>
      <c r="E71" t="s">
        <v>663</v>
      </c>
      <c r="F71">
        <v>5</v>
      </c>
      <c r="G71" t="s">
        <v>655</v>
      </c>
      <c r="H71" t="s">
        <v>436</v>
      </c>
      <c r="I71">
        <v>1761687692.25</v>
      </c>
      <c r="J71">
        <f t="shared" si="50"/>
        <v>5.4103069555664534E-4</v>
      </c>
      <c r="K71">
        <f t="shared" si="51"/>
        <v>0.54103069555664529</v>
      </c>
      <c r="L71">
        <f t="shared" si="52"/>
        <v>3.1844185041705142</v>
      </c>
      <c r="M71">
        <f t="shared" si="53"/>
        <v>415.93786666666671</v>
      </c>
      <c r="N71">
        <f t="shared" si="54"/>
        <v>199.94509888338305</v>
      </c>
      <c r="O71">
        <f t="shared" si="55"/>
        <v>18.229968667089</v>
      </c>
      <c r="P71">
        <f t="shared" si="56"/>
        <v>37.923081481540343</v>
      </c>
      <c r="Q71">
        <f t="shared" si="57"/>
        <v>2.4929489439195582E-2</v>
      </c>
      <c r="R71">
        <f t="shared" si="58"/>
        <v>2.7694767618579985</v>
      </c>
      <c r="S71">
        <f t="shared" si="59"/>
        <v>2.4805490524503523E-2</v>
      </c>
      <c r="T71">
        <f t="shared" si="60"/>
        <v>1.551452084798173E-2</v>
      </c>
      <c r="U71">
        <f t="shared" si="61"/>
        <v>453.46009711756369</v>
      </c>
      <c r="V71">
        <f t="shared" si="62"/>
        <v>26.022181300770768</v>
      </c>
      <c r="W71">
        <f t="shared" si="63"/>
        <v>26.022181300770768</v>
      </c>
      <c r="X71">
        <f t="shared" si="64"/>
        <v>3.3786898293543555</v>
      </c>
      <c r="Y71">
        <f t="shared" si="65"/>
        <v>50.104513781933221</v>
      </c>
      <c r="Z71">
        <f t="shared" si="66"/>
        <v>1.4426605971507829</v>
      </c>
      <c r="AA71">
        <f t="shared" si="67"/>
        <v>2.8793026580989993</v>
      </c>
      <c r="AB71">
        <f t="shared" si="68"/>
        <v>1.9360292322035726</v>
      </c>
      <c r="AC71">
        <f t="shared" si="69"/>
        <v>-23.859453674048059</v>
      </c>
      <c r="AD71">
        <f t="shared" si="70"/>
        <v>-399.58680806202432</v>
      </c>
      <c r="AE71">
        <f t="shared" si="71"/>
        <v>-30.422864758565261</v>
      </c>
      <c r="AF71">
        <f t="shared" si="72"/>
        <v>-0.40902937707392084</v>
      </c>
      <c r="AG71">
        <f t="shared" si="73"/>
        <v>3.1800275744765734</v>
      </c>
      <c r="AH71">
        <f t="shared" si="74"/>
        <v>0.53186165086741877</v>
      </c>
      <c r="AI71">
        <f t="shared" si="75"/>
        <v>3.1844185041705142</v>
      </c>
      <c r="AJ71">
        <v>426.51179796651718</v>
      </c>
      <c r="AK71">
        <v>422.63161212121202</v>
      </c>
      <c r="AL71">
        <v>3.6202226216328999E-6</v>
      </c>
      <c r="AM71">
        <v>64.979418720852607</v>
      </c>
      <c r="AN71">
        <f t="shared" si="76"/>
        <v>0.54103069555664529</v>
      </c>
      <c r="AO71">
        <v>15.195292279113829</v>
      </c>
      <c r="AP71">
        <v>15.83344965034966</v>
      </c>
      <c r="AQ71">
        <v>1.09803564375583E-4</v>
      </c>
      <c r="AR71">
        <v>96.606904934634102</v>
      </c>
      <c r="AS71">
        <v>0</v>
      </c>
      <c r="AT71">
        <v>0</v>
      </c>
      <c r="AU71">
        <f t="shared" si="77"/>
        <v>1</v>
      </c>
      <c r="AV71">
        <f t="shared" si="78"/>
        <v>0</v>
      </c>
      <c r="AW71">
        <f t="shared" si="79"/>
        <v>48787.528035166171</v>
      </c>
      <c r="AX71" t="s">
        <v>652</v>
      </c>
      <c r="AY71">
        <v>5006.1899999999996</v>
      </c>
      <c r="AZ71">
        <v>628</v>
      </c>
      <c r="BA71">
        <v>1707.645840355314</v>
      </c>
      <c r="BB71">
        <f t="shared" si="80"/>
        <v>0.63224224534208417</v>
      </c>
      <c r="BC71">
        <v>-2.7018521291296791</v>
      </c>
      <c r="BD71" t="s">
        <v>664</v>
      </c>
      <c r="BE71">
        <v>5046.82</v>
      </c>
      <c r="BF71">
        <v>1440.9946153846149</v>
      </c>
      <c r="BG71">
        <v>1560.455584277086</v>
      </c>
      <c r="BH71">
        <f t="shared" si="81"/>
        <v>7.6555186892944382E-2</v>
      </c>
      <c r="BI71">
        <v>0.5</v>
      </c>
      <c r="BJ71">
        <f t="shared" si="82"/>
        <v>2112.20207164986</v>
      </c>
      <c r="BK71">
        <f t="shared" si="83"/>
        <v>3.1844185041705142</v>
      </c>
      <c r="BL71">
        <f t="shared" si="84"/>
        <v>80.850012175409674</v>
      </c>
      <c r="BM71">
        <f t="shared" si="85"/>
        <v>2.7867933245148153E-3</v>
      </c>
      <c r="BN71">
        <f t="shared" si="86"/>
        <v>9.4325181415795947E-2</v>
      </c>
      <c r="BO71">
        <f t="shared" si="87"/>
        <v>606.94576932439725</v>
      </c>
      <c r="BP71" t="s">
        <v>665</v>
      </c>
      <c r="BQ71">
        <v>805.93</v>
      </c>
      <c r="BR71">
        <f t="shared" si="88"/>
        <v>805.93</v>
      </c>
      <c r="BS71">
        <f t="shared" si="89"/>
        <v>0.48352903593000118</v>
      </c>
      <c r="BT71">
        <f t="shared" si="90"/>
        <v>0.15832593537159795</v>
      </c>
      <c r="BU71">
        <f t="shared" si="91"/>
        <v>0.16323352600773747</v>
      </c>
      <c r="BV71">
        <f t="shared" si="92"/>
        <v>0.12811437982334223</v>
      </c>
      <c r="BW71">
        <f t="shared" si="93"/>
        <v>0.1363319808927225</v>
      </c>
      <c r="BX71">
        <f t="shared" si="94"/>
        <v>8.8549686259566204E-2</v>
      </c>
      <c r="BY71">
        <f t="shared" si="95"/>
        <v>0.91145031374043384</v>
      </c>
      <c r="BZ71">
        <v>470</v>
      </c>
      <c r="CA71">
        <v>290.00000000000011</v>
      </c>
      <c r="CB71">
        <v>1519.37</v>
      </c>
      <c r="CC71">
        <v>165</v>
      </c>
      <c r="CD71">
        <v>5046.82</v>
      </c>
      <c r="CE71">
        <v>1517.46</v>
      </c>
      <c r="CF71">
        <v>1.91</v>
      </c>
      <c r="CG71">
        <v>300.00000000000011</v>
      </c>
      <c r="CH71">
        <v>23.9</v>
      </c>
      <c r="CI71">
        <v>1560.455584277086</v>
      </c>
      <c r="CJ71">
        <v>1.973377236960699</v>
      </c>
      <c r="CK71">
        <v>-21.699625312694359</v>
      </c>
      <c r="CL71">
        <v>0.90418157175582892</v>
      </c>
      <c r="CM71">
        <v>0.9536393997876339</v>
      </c>
      <c r="CN71">
        <v>-2.9389690767519521E-3</v>
      </c>
      <c r="CO71">
        <v>289.99999999999989</v>
      </c>
      <c r="CP71">
        <v>1515.96</v>
      </c>
      <c r="CQ71">
        <v>745</v>
      </c>
      <c r="CR71">
        <v>5045.6499999999996</v>
      </c>
      <c r="CS71">
        <v>1517.45</v>
      </c>
      <c r="CT71">
        <v>-1.49</v>
      </c>
      <c r="DH71">
        <f t="shared" si="96"/>
        <v>2574.5886666666661</v>
      </c>
      <c r="DI71">
        <f t="shared" si="97"/>
        <v>2112.20207164986</v>
      </c>
      <c r="DJ71">
        <f t="shared" si="98"/>
        <v>0.8204037013743789</v>
      </c>
      <c r="DK71">
        <f t="shared" si="99"/>
        <v>0.17612914365255128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1761687692.25</v>
      </c>
      <c r="DR71">
        <v>415.93786666666671</v>
      </c>
      <c r="DS71">
        <v>420.01926666666691</v>
      </c>
      <c r="DT71">
        <v>15.82300666666667</v>
      </c>
      <c r="DU71">
        <v>15.194886666666671</v>
      </c>
      <c r="DV71">
        <v>415.1083666666666</v>
      </c>
      <c r="DW71">
        <v>15.64939666666667</v>
      </c>
      <c r="DX71">
        <v>500.01209999999998</v>
      </c>
      <c r="DY71">
        <v>91.136070000000018</v>
      </c>
      <c r="DZ71">
        <v>3.880134666666666E-2</v>
      </c>
      <c r="EA71">
        <v>23.345923333333339</v>
      </c>
      <c r="EB71">
        <v>24.00976</v>
      </c>
      <c r="EC71">
        <v>999.9000000000002</v>
      </c>
      <c r="ED71">
        <v>0</v>
      </c>
      <c r="EE71">
        <v>0</v>
      </c>
      <c r="EF71">
        <v>10000.67233333333</v>
      </c>
      <c r="EG71">
        <v>0</v>
      </c>
      <c r="EH71">
        <v>1074.594333333333</v>
      </c>
      <c r="EI71">
        <v>-4.0812523333333326</v>
      </c>
      <c r="EJ71">
        <v>422.62506666666661</v>
      </c>
      <c r="EK71">
        <v>426.49976666666669</v>
      </c>
      <c r="EL71">
        <v>0.62811143333333319</v>
      </c>
      <c r="EM71">
        <v>420.01926666666691</v>
      </c>
      <c r="EN71">
        <v>15.194886666666671</v>
      </c>
      <c r="EO71">
        <v>1.4420470000000001</v>
      </c>
      <c r="EP71">
        <v>1.3848026666666671</v>
      </c>
      <c r="EQ71">
        <v>12.367139999999999</v>
      </c>
      <c r="ER71">
        <v>11.75223666666667</v>
      </c>
      <c r="ES71">
        <v>1499.9943333333331</v>
      </c>
      <c r="ET71">
        <v>0.97299769999999985</v>
      </c>
      <c r="EU71">
        <v>2.7002343333333331E-2</v>
      </c>
      <c r="EV71">
        <v>0</v>
      </c>
      <c r="EW71">
        <v>1440.997666666666</v>
      </c>
      <c r="EX71">
        <v>5.0005600000000019</v>
      </c>
      <c r="EY71">
        <v>21603.89333333333</v>
      </c>
      <c r="EZ71">
        <v>12931.453333333329</v>
      </c>
      <c r="FA71">
        <v>38.074599999999997</v>
      </c>
      <c r="FB71">
        <v>39.637399999999992</v>
      </c>
      <c r="FC71">
        <v>38.436999999999991</v>
      </c>
      <c r="FD71">
        <v>38.625</v>
      </c>
      <c r="FE71">
        <v>38.811999999999991</v>
      </c>
      <c r="FF71">
        <v>1454.624333333333</v>
      </c>
      <c r="FG71">
        <v>40.369999999999983</v>
      </c>
      <c r="FH71">
        <v>0</v>
      </c>
      <c r="FI71">
        <v>128</v>
      </c>
      <c r="FJ71">
        <v>0</v>
      </c>
      <c r="FK71">
        <v>1440.9946153846149</v>
      </c>
      <c r="FL71">
        <v>-4.5969230868323692</v>
      </c>
      <c r="FM71">
        <v>-57.702564154629712</v>
      </c>
      <c r="FN71">
        <v>21603.761538461538</v>
      </c>
      <c r="FO71">
        <v>15</v>
      </c>
      <c r="FP71">
        <v>0</v>
      </c>
      <c r="FQ71" t="s">
        <v>441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-4.0784731707317077</v>
      </c>
      <c r="GD71">
        <v>-0.1218349128919867</v>
      </c>
      <c r="GE71">
        <v>2.19326080260536E-2</v>
      </c>
      <c r="GF71">
        <v>1</v>
      </c>
      <c r="GG71">
        <v>1441.265588235294</v>
      </c>
      <c r="GH71">
        <v>-4.2400305629716923</v>
      </c>
      <c r="GI71">
        <v>0.45510949669199702</v>
      </c>
      <c r="GJ71">
        <v>0</v>
      </c>
      <c r="GK71">
        <v>0.62109534146341461</v>
      </c>
      <c r="GL71">
        <v>0.1235124041811855</v>
      </c>
      <c r="GM71">
        <v>1.2330714931125079E-2</v>
      </c>
      <c r="GN71">
        <v>0</v>
      </c>
      <c r="GO71">
        <v>1</v>
      </c>
      <c r="GP71">
        <v>3</v>
      </c>
      <c r="GQ71" t="s">
        <v>442</v>
      </c>
      <c r="GR71">
        <v>3.129</v>
      </c>
      <c r="GS71">
        <v>2.7164799999999998</v>
      </c>
      <c r="GT71">
        <v>8.5539299999999999E-2</v>
      </c>
      <c r="GU71">
        <v>8.6755600000000002E-2</v>
      </c>
      <c r="GV71">
        <v>8.0092200000000002E-2</v>
      </c>
      <c r="GW71">
        <v>7.8436800000000001E-2</v>
      </c>
      <c r="GX71">
        <v>27453.4</v>
      </c>
      <c r="GY71">
        <v>26508.9</v>
      </c>
      <c r="GZ71">
        <v>30563.599999999999</v>
      </c>
      <c r="HA71">
        <v>29281.3</v>
      </c>
      <c r="HB71">
        <v>38793.699999999997</v>
      </c>
      <c r="HC71">
        <v>35523</v>
      </c>
      <c r="HD71">
        <v>46735</v>
      </c>
      <c r="HE71">
        <v>43525.9</v>
      </c>
      <c r="HF71">
        <v>1.8323499999999999</v>
      </c>
      <c r="HG71">
        <v>1.86015</v>
      </c>
      <c r="HH71">
        <v>6.7651299999999998E-2</v>
      </c>
      <c r="HI71">
        <v>0</v>
      </c>
      <c r="HJ71">
        <v>22.896699999999999</v>
      </c>
      <c r="HK71">
        <v>999.9</v>
      </c>
      <c r="HL71">
        <v>38.9</v>
      </c>
      <c r="HM71">
        <v>30.4</v>
      </c>
      <c r="HN71">
        <v>18.607600000000001</v>
      </c>
      <c r="HO71">
        <v>63.677900000000001</v>
      </c>
      <c r="HP71">
        <v>18.117000000000001</v>
      </c>
      <c r="HQ71">
        <v>1</v>
      </c>
      <c r="HR71">
        <v>0.15204500000000001</v>
      </c>
      <c r="HS71">
        <v>3.3131699999999999</v>
      </c>
      <c r="HT71">
        <v>20.178899999999999</v>
      </c>
      <c r="HU71">
        <v>5.23766</v>
      </c>
      <c r="HV71">
        <v>11.979100000000001</v>
      </c>
      <c r="HW71">
        <v>4.9725999999999999</v>
      </c>
      <c r="HX71">
        <v>3.2909999999999999</v>
      </c>
      <c r="HY71">
        <v>9999</v>
      </c>
      <c r="HZ71">
        <v>9999</v>
      </c>
      <c r="IA71">
        <v>9999</v>
      </c>
      <c r="IB71">
        <v>999.9</v>
      </c>
      <c r="IC71">
        <v>4.9729099999999997</v>
      </c>
      <c r="ID71">
        <v>1.8772800000000001</v>
      </c>
      <c r="IE71">
        <v>1.8753200000000001</v>
      </c>
      <c r="IF71">
        <v>1.87815</v>
      </c>
      <c r="IG71">
        <v>1.8748499999999999</v>
      </c>
      <c r="IH71">
        <v>1.87845</v>
      </c>
      <c r="II71">
        <v>1.87558</v>
      </c>
      <c r="IJ71">
        <v>1.8767100000000001</v>
      </c>
      <c r="IK71">
        <v>0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0.83</v>
      </c>
      <c r="IY71">
        <v>0.17380000000000001</v>
      </c>
      <c r="IZ71">
        <v>6.1933660764125778E-2</v>
      </c>
      <c r="JA71">
        <v>2.058711587971173E-3</v>
      </c>
      <c r="JB71">
        <v>-6.1309262243104059E-7</v>
      </c>
      <c r="JC71">
        <v>2.6183910446277612E-10</v>
      </c>
      <c r="JD71">
        <v>3.5078820932035488E-4</v>
      </c>
      <c r="JE71">
        <v>-4.3284922736758413E-3</v>
      </c>
      <c r="JF71">
        <v>1.4186339569364E-3</v>
      </c>
      <c r="JG71">
        <v>-2.7770646863349432E-5</v>
      </c>
      <c r="JH71">
        <v>2</v>
      </c>
      <c r="JI71">
        <v>2136</v>
      </c>
      <c r="JJ71">
        <v>1</v>
      </c>
      <c r="JK71">
        <v>19</v>
      </c>
      <c r="JL71">
        <v>29361461.699999999</v>
      </c>
      <c r="JM71">
        <v>29361461.699999999</v>
      </c>
      <c r="JN71">
        <v>1.1059600000000001</v>
      </c>
      <c r="JO71">
        <v>2.5488300000000002</v>
      </c>
      <c r="JP71">
        <v>1.39893</v>
      </c>
      <c r="JQ71">
        <v>2.3278799999999999</v>
      </c>
      <c r="JR71">
        <v>1.4489700000000001</v>
      </c>
      <c r="JS71">
        <v>2.5732400000000002</v>
      </c>
      <c r="JT71">
        <v>36.4343</v>
      </c>
      <c r="JU71">
        <v>23.8598</v>
      </c>
      <c r="JV71">
        <v>18</v>
      </c>
      <c r="JW71">
        <v>483.18099999999998</v>
      </c>
      <c r="JX71">
        <v>471.47399999999999</v>
      </c>
      <c r="JY71">
        <v>19.308599999999998</v>
      </c>
      <c r="JZ71">
        <v>29.1204</v>
      </c>
      <c r="KA71">
        <v>29.9999</v>
      </c>
      <c r="KB71">
        <v>28.807700000000001</v>
      </c>
      <c r="KC71">
        <v>28.875800000000002</v>
      </c>
      <c r="KD71">
        <v>22.177900000000001</v>
      </c>
      <c r="KE71">
        <v>25.9055</v>
      </c>
      <c r="KF71">
        <v>66.851799999999997</v>
      </c>
      <c r="KG71">
        <v>19.3062</v>
      </c>
      <c r="KH71">
        <v>420</v>
      </c>
      <c r="KI71">
        <v>15.2056</v>
      </c>
      <c r="KJ71">
        <v>101.015</v>
      </c>
      <c r="KK71">
        <v>100.10299999999999</v>
      </c>
    </row>
    <row r="72" spans="1:297" x14ac:dyDescent="0.3">
      <c r="A72">
        <v>56</v>
      </c>
      <c r="B72">
        <v>1761687811</v>
      </c>
      <c r="C72">
        <v>10361</v>
      </c>
      <c r="D72" t="s">
        <v>666</v>
      </c>
      <c r="E72" t="s">
        <v>667</v>
      </c>
      <c r="F72">
        <v>5</v>
      </c>
      <c r="G72" t="s">
        <v>655</v>
      </c>
      <c r="H72" t="s">
        <v>436</v>
      </c>
      <c r="I72">
        <v>1761687803</v>
      </c>
      <c r="J72">
        <f t="shared" si="50"/>
        <v>5.4470732421570839E-4</v>
      </c>
      <c r="K72">
        <f t="shared" si="51"/>
        <v>0.54470732421570833</v>
      </c>
      <c r="L72">
        <f t="shared" si="52"/>
        <v>3.1929297444016509</v>
      </c>
      <c r="M72">
        <f t="shared" si="53"/>
        <v>415.95706451612898</v>
      </c>
      <c r="N72">
        <f t="shared" si="54"/>
        <v>204.04855406234199</v>
      </c>
      <c r="O72">
        <f t="shared" si="55"/>
        <v>18.602479911084629</v>
      </c>
      <c r="P72">
        <f t="shared" si="56"/>
        <v>37.921527903456344</v>
      </c>
      <c r="Q72">
        <f t="shared" si="57"/>
        <v>2.5494079051310455E-2</v>
      </c>
      <c r="R72">
        <f t="shared" si="58"/>
        <v>2.7692528043608591</v>
      </c>
      <c r="S72">
        <f t="shared" si="59"/>
        <v>2.5364405353455719E-2</v>
      </c>
      <c r="T72">
        <f t="shared" si="60"/>
        <v>1.5864348902032806E-2</v>
      </c>
      <c r="U72">
        <f t="shared" si="61"/>
        <v>401.04855590912172</v>
      </c>
      <c r="V72">
        <f t="shared" si="62"/>
        <v>25.90083775435901</v>
      </c>
      <c r="W72">
        <f t="shared" si="63"/>
        <v>25.90083775435901</v>
      </c>
      <c r="X72">
        <f t="shared" si="64"/>
        <v>3.3545097732195646</v>
      </c>
      <c r="Y72">
        <f t="shared" si="65"/>
        <v>49.67634442147952</v>
      </c>
      <c r="Z72">
        <f t="shared" si="66"/>
        <v>1.4482460626172087</v>
      </c>
      <c r="AA72">
        <f t="shared" si="67"/>
        <v>2.9153635990795705</v>
      </c>
      <c r="AB72">
        <f t="shared" si="68"/>
        <v>1.9062637106023559</v>
      </c>
      <c r="AC72">
        <f t="shared" si="69"/>
        <v>-24.021592997912741</v>
      </c>
      <c r="AD72">
        <f t="shared" si="70"/>
        <v>-350.63297122917754</v>
      </c>
      <c r="AE72">
        <f t="shared" si="71"/>
        <v>-26.709195335861533</v>
      </c>
      <c r="AF72">
        <f t="shared" si="72"/>
        <v>-0.3152036538301104</v>
      </c>
      <c r="AG72">
        <f t="shared" si="73"/>
        <v>3.1671877474301313</v>
      </c>
      <c r="AH72">
        <f t="shared" si="74"/>
        <v>0.44960518412182698</v>
      </c>
      <c r="AI72">
        <f t="shared" si="75"/>
        <v>3.1929297444016509</v>
      </c>
      <c r="AJ72">
        <v>426.57270603187777</v>
      </c>
      <c r="AK72">
        <v>422.68044242424241</v>
      </c>
      <c r="AL72">
        <v>2.0410565595071201E-4</v>
      </c>
      <c r="AM72">
        <v>64.979418720852607</v>
      </c>
      <c r="AN72">
        <f t="shared" si="76"/>
        <v>0.54470732421570833</v>
      </c>
      <c r="AO72">
        <v>15.386376016365089</v>
      </c>
      <c r="AP72">
        <v>15.95637342657343</v>
      </c>
      <c r="AQ72">
        <v>1.0258774394385E-2</v>
      </c>
      <c r="AR72">
        <v>96.606904934634102</v>
      </c>
      <c r="AS72">
        <v>0</v>
      </c>
      <c r="AT72">
        <v>0</v>
      </c>
      <c r="AU72">
        <f t="shared" si="77"/>
        <v>1</v>
      </c>
      <c r="AV72">
        <f t="shared" si="78"/>
        <v>0</v>
      </c>
      <c r="AW72">
        <f t="shared" si="79"/>
        <v>48747.230730555755</v>
      </c>
      <c r="AX72" t="s">
        <v>652</v>
      </c>
      <c r="AY72">
        <v>5006.1899999999996</v>
      </c>
      <c r="AZ72">
        <v>628</v>
      </c>
      <c r="BA72">
        <v>1707.645840355314</v>
      </c>
      <c r="BB72">
        <f t="shared" si="80"/>
        <v>0.63224224534208417</v>
      </c>
      <c r="BC72">
        <v>-2.7018521291296791</v>
      </c>
      <c r="BD72" t="s">
        <v>668</v>
      </c>
      <c r="BE72">
        <v>5048.42</v>
      </c>
      <c r="BF72">
        <v>1413.9284</v>
      </c>
      <c r="BG72">
        <v>1560.11523065549</v>
      </c>
      <c r="BH72">
        <f t="shared" si="81"/>
        <v>9.3702585413558803E-2</v>
      </c>
      <c r="BI72">
        <v>0.5</v>
      </c>
      <c r="BJ72">
        <f t="shared" si="82"/>
        <v>1866.4455824533311</v>
      </c>
      <c r="BK72">
        <f t="shared" si="83"/>
        <v>3.1929297444016509</v>
      </c>
      <c r="BL72">
        <f t="shared" si="84"/>
        <v>87.445388304796381</v>
      </c>
      <c r="BM72">
        <f t="shared" si="85"/>
        <v>3.1582929226272923E-3</v>
      </c>
      <c r="BN72">
        <f t="shared" si="86"/>
        <v>9.4563918613779788E-2</v>
      </c>
      <c r="BO72">
        <f t="shared" si="87"/>
        <v>606.89427193484914</v>
      </c>
      <c r="BP72" t="s">
        <v>669</v>
      </c>
      <c r="BQ72">
        <v>807.47</v>
      </c>
      <c r="BR72">
        <f t="shared" si="88"/>
        <v>807.47</v>
      </c>
      <c r="BS72">
        <f t="shared" si="89"/>
        <v>0.48242925642054169</v>
      </c>
      <c r="BT72">
        <f t="shared" si="90"/>
        <v>0.1942307274413653</v>
      </c>
      <c r="BU72">
        <f t="shared" si="91"/>
        <v>0.16389087896603768</v>
      </c>
      <c r="BV72">
        <f t="shared" si="92"/>
        <v>0.15683343201321498</v>
      </c>
      <c r="BW72">
        <f t="shared" si="93"/>
        <v>0.13664722651204894</v>
      </c>
      <c r="BX72">
        <f t="shared" si="94"/>
        <v>0.11092180161815778</v>
      </c>
      <c r="BY72">
        <f t="shared" si="95"/>
        <v>0.88907819838184221</v>
      </c>
      <c r="BZ72">
        <v>472</v>
      </c>
      <c r="CA72">
        <v>290.00000000000011</v>
      </c>
      <c r="CB72">
        <v>1520.07</v>
      </c>
      <c r="CC72">
        <v>75</v>
      </c>
      <c r="CD72">
        <v>5048.42</v>
      </c>
      <c r="CE72">
        <v>1518.56</v>
      </c>
      <c r="CF72">
        <v>1.51</v>
      </c>
      <c r="CG72">
        <v>300.00000000000011</v>
      </c>
      <c r="CH72">
        <v>23.9</v>
      </c>
      <c r="CI72">
        <v>1560.11523065549</v>
      </c>
      <c r="CJ72">
        <v>2.1223680108074872</v>
      </c>
      <c r="CK72">
        <v>-20.978937255545851</v>
      </c>
      <c r="CL72">
        <v>0.96371311645957192</v>
      </c>
      <c r="CM72">
        <v>0.94421014102880085</v>
      </c>
      <c r="CN72">
        <v>-3.187020689655175E-3</v>
      </c>
      <c r="CO72">
        <v>289.99999999999989</v>
      </c>
      <c r="CP72">
        <v>1517.01</v>
      </c>
      <c r="CQ72">
        <v>645</v>
      </c>
      <c r="CR72">
        <v>5046.2700000000004</v>
      </c>
      <c r="CS72">
        <v>1518.54</v>
      </c>
      <c r="CT72">
        <v>-1.53</v>
      </c>
      <c r="DH72">
        <f t="shared" si="96"/>
        <v>2274.7851612903232</v>
      </c>
      <c r="DI72">
        <f t="shared" si="97"/>
        <v>1866.4455824533311</v>
      </c>
      <c r="DJ72">
        <f t="shared" si="98"/>
        <v>0.82049312357683468</v>
      </c>
      <c r="DK72">
        <f t="shared" si="99"/>
        <v>0.17630172850329107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1761687803</v>
      </c>
      <c r="DR72">
        <v>415.95706451612898</v>
      </c>
      <c r="DS72">
        <v>419.982129032258</v>
      </c>
      <c r="DT72">
        <v>15.88565161290323</v>
      </c>
      <c r="DU72">
        <v>15.35469354838709</v>
      </c>
      <c r="DV72">
        <v>415.12741935483871</v>
      </c>
      <c r="DW72">
        <v>15.710832258064521</v>
      </c>
      <c r="DX72">
        <v>499.99758064516129</v>
      </c>
      <c r="DY72">
        <v>91.128096774193537</v>
      </c>
      <c r="DZ72">
        <v>3.8831590322580628E-2</v>
      </c>
      <c r="EA72">
        <v>23.55226129032258</v>
      </c>
      <c r="EB72">
        <v>24.018699999999999</v>
      </c>
      <c r="EC72">
        <v>999.90000000000032</v>
      </c>
      <c r="ED72">
        <v>0</v>
      </c>
      <c r="EE72">
        <v>0</v>
      </c>
      <c r="EF72">
        <v>10000.22612903226</v>
      </c>
      <c r="EG72">
        <v>0</v>
      </c>
      <c r="EH72">
        <v>1074.7822580645161</v>
      </c>
      <c r="EI72">
        <v>-4.0250861290322577</v>
      </c>
      <c r="EJ72">
        <v>422.67145161290318</v>
      </c>
      <c r="EK72">
        <v>426.53145161290331</v>
      </c>
      <c r="EL72">
        <v>0.53094503225806455</v>
      </c>
      <c r="EM72">
        <v>419.982129032258</v>
      </c>
      <c r="EN72">
        <v>15.35469354838709</v>
      </c>
      <c r="EO72">
        <v>1.447628064516129</v>
      </c>
      <c r="EP72">
        <v>1.399245483870968</v>
      </c>
      <c r="EQ72">
        <v>12.425893548387091</v>
      </c>
      <c r="ER72">
        <v>11.90942258064516</v>
      </c>
      <c r="ES72">
        <v>1200.0029032258069</v>
      </c>
      <c r="ET72">
        <v>0.96698929032258074</v>
      </c>
      <c r="EU72">
        <v>3.30106935483871E-2</v>
      </c>
      <c r="EV72">
        <v>0</v>
      </c>
      <c r="EW72">
        <v>1413.905161290322</v>
      </c>
      <c r="EX72">
        <v>5.0005600000000019</v>
      </c>
      <c r="EY72">
        <v>16941.45483870968</v>
      </c>
      <c r="EZ72">
        <v>10316.80322580645</v>
      </c>
      <c r="FA72">
        <v>37.811999999999983</v>
      </c>
      <c r="FB72">
        <v>39.75</v>
      </c>
      <c r="FC72">
        <v>38.436999999999983</v>
      </c>
      <c r="FD72">
        <v>38.686999999999983</v>
      </c>
      <c r="FE72">
        <v>38.723580645161277</v>
      </c>
      <c r="FF72">
        <v>1155.5529032258059</v>
      </c>
      <c r="FG72">
        <v>39.45000000000001</v>
      </c>
      <c r="FH72">
        <v>0</v>
      </c>
      <c r="FI72">
        <v>108.7999999523163</v>
      </c>
      <c r="FJ72">
        <v>0</v>
      </c>
      <c r="FK72">
        <v>1413.9284</v>
      </c>
      <c r="FL72">
        <v>-0.85153845234134051</v>
      </c>
      <c r="FM72">
        <v>-7.8999999710256734</v>
      </c>
      <c r="FN72">
        <v>16941.403999999999</v>
      </c>
      <c r="FO72">
        <v>15</v>
      </c>
      <c r="FP72">
        <v>0</v>
      </c>
      <c r="FQ72" t="s">
        <v>441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-4.0226073170731702</v>
      </c>
      <c r="GD72">
        <v>-0.1723264808362466</v>
      </c>
      <c r="GE72">
        <v>5.6669372982814263E-2</v>
      </c>
      <c r="GF72">
        <v>1</v>
      </c>
      <c r="GG72">
        <v>1413.9376470588229</v>
      </c>
      <c r="GH72">
        <v>-0.73674560493990449</v>
      </c>
      <c r="GI72">
        <v>0.220868057812667</v>
      </c>
      <c r="GJ72">
        <v>1</v>
      </c>
      <c r="GK72">
        <v>0.53459863414634134</v>
      </c>
      <c r="GL72">
        <v>-3.0594752613239951E-2</v>
      </c>
      <c r="GM72">
        <v>1.7816337051687191E-2</v>
      </c>
      <c r="GN72">
        <v>1</v>
      </c>
      <c r="GO72">
        <v>3</v>
      </c>
      <c r="GP72">
        <v>3</v>
      </c>
      <c r="GQ72" t="s">
        <v>470</v>
      </c>
      <c r="GR72">
        <v>3.1289199999999999</v>
      </c>
      <c r="GS72">
        <v>2.7158500000000001</v>
      </c>
      <c r="GT72">
        <v>8.55355E-2</v>
      </c>
      <c r="GU72">
        <v>8.6745199999999995E-2</v>
      </c>
      <c r="GV72">
        <v>8.0549099999999998E-2</v>
      </c>
      <c r="GW72">
        <v>7.91578E-2</v>
      </c>
      <c r="GX72">
        <v>27456</v>
      </c>
      <c r="GY72">
        <v>26510.7</v>
      </c>
      <c r="GZ72">
        <v>30566.1</v>
      </c>
      <c r="HA72">
        <v>29282.7</v>
      </c>
      <c r="HB72">
        <v>38777.300000000003</v>
      </c>
      <c r="HC72">
        <v>35497</v>
      </c>
      <c r="HD72">
        <v>46738.7</v>
      </c>
      <c r="HE72">
        <v>43528.4</v>
      </c>
      <c r="HF72">
        <v>1.8327199999999999</v>
      </c>
      <c r="HG72">
        <v>1.8612200000000001</v>
      </c>
      <c r="HH72">
        <v>5.8561599999999998E-2</v>
      </c>
      <c r="HI72">
        <v>0</v>
      </c>
      <c r="HJ72">
        <v>23.047899999999998</v>
      </c>
      <c r="HK72">
        <v>999.9</v>
      </c>
      <c r="HL72">
        <v>38.799999999999997</v>
      </c>
      <c r="HM72">
        <v>30.4</v>
      </c>
      <c r="HN72">
        <v>18.560400000000001</v>
      </c>
      <c r="HO72">
        <v>63.587899999999998</v>
      </c>
      <c r="HP72">
        <v>18.012799999999999</v>
      </c>
      <c r="HQ72">
        <v>1</v>
      </c>
      <c r="HR72">
        <v>0.14780199999999999</v>
      </c>
      <c r="HS72">
        <v>2.9910100000000002</v>
      </c>
      <c r="HT72">
        <v>20.186399999999999</v>
      </c>
      <c r="HU72">
        <v>5.2336099999999997</v>
      </c>
      <c r="HV72">
        <v>11.978199999999999</v>
      </c>
      <c r="HW72">
        <v>4.9718999999999998</v>
      </c>
      <c r="HX72">
        <v>3.2905000000000002</v>
      </c>
      <c r="HY72">
        <v>9999</v>
      </c>
      <c r="HZ72">
        <v>9999</v>
      </c>
      <c r="IA72">
        <v>9999</v>
      </c>
      <c r="IB72">
        <v>999.9</v>
      </c>
      <c r="IC72">
        <v>4.9729099999999997</v>
      </c>
      <c r="ID72">
        <v>1.8772899999999999</v>
      </c>
      <c r="IE72">
        <v>1.87534</v>
      </c>
      <c r="IF72">
        <v>1.8781600000000001</v>
      </c>
      <c r="IG72">
        <v>1.87486</v>
      </c>
      <c r="IH72">
        <v>1.8784799999999999</v>
      </c>
      <c r="II72">
        <v>1.8755599999999999</v>
      </c>
      <c r="IJ72">
        <v>1.8767499999999999</v>
      </c>
      <c r="IK72">
        <v>0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0.82899999999999996</v>
      </c>
      <c r="IY72">
        <v>0.17630000000000001</v>
      </c>
      <c r="IZ72">
        <v>6.1933660764125778E-2</v>
      </c>
      <c r="JA72">
        <v>2.058711587971173E-3</v>
      </c>
      <c r="JB72">
        <v>-6.1309262243104059E-7</v>
      </c>
      <c r="JC72">
        <v>2.6183910446277612E-10</v>
      </c>
      <c r="JD72">
        <v>3.5078820932035488E-4</v>
      </c>
      <c r="JE72">
        <v>-4.3284922736758413E-3</v>
      </c>
      <c r="JF72">
        <v>1.4186339569364E-3</v>
      </c>
      <c r="JG72">
        <v>-2.7770646863349432E-5</v>
      </c>
      <c r="JH72">
        <v>2</v>
      </c>
      <c r="JI72">
        <v>2136</v>
      </c>
      <c r="JJ72">
        <v>1</v>
      </c>
      <c r="JK72">
        <v>19</v>
      </c>
      <c r="JL72">
        <v>29361463.5</v>
      </c>
      <c r="JM72">
        <v>29361463.5</v>
      </c>
      <c r="JN72">
        <v>1.1059600000000001</v>
      </c>
      <c r="JO72">
        <v>2.5451700000000002</v>
      </c>
      <c r="JP72">
        <v>1.39893</v>
      </c>
      <c r="JQ72">
        <v>2.3278799999999999</v>
      </c>
      <c r="JR72">
        <v>1.4489700000000001</v>
      </c>
      <c r="JS72">
        <v>2.6013199999999999</v>
      </c>
      <c r="JT72">
        <v>36.481400000000001</v>
      </c>
      <c r="JU72">
        <v>23.877400000000002</v>
      </c>
      <c r="JV72">
        <v>18</v>
      </c>
      <c r="JW72">
        <v>483.22500000000002</v>
      </c>
      <c r="JX72">
        <v>472.01799999999997</v>
      </c>
      <c r="JY72">
        <v>19.849699999999999</v>
      </c>
      <c r="JZ72">
        <v>29.0687</v>
      </c>
      <c r="KA72">
        <v>29.999199999999998</v>
      </c>
      <c r="KB72">
        <v>28.783000000000001</v>
      </c>
      <c r="KC72">
        <v>28.855599999999999</v>
      </c>
      <c r="KD72">
        <v>22.1814</v>
      </c>
      <c r="KE72">
        <v>24.99</v>
      </c>
      <c r="KF72">
        <v>66.851799999999997</v>
      </c>
      <c r="KG72">
        <v>19.869900000000001</v>
      </c>
      <c r="KH72">
        <v>420</v>
      </c>
      <c r="KI72">
        <v>15.355399999999999</v>
      </c>
      <c r="KJ72">
        <v>101.023</v>
      </c>
      <c r="KK72">
        <v>100.108</v>
      </c>
    </row>
    <row r="73" spans="1:297" x14ac:dyDescent="0.3">
      <c r="A73">
        <v>57</v>
      </c>
      <c r="B73">
        <v>1761687940.5</v>
      </c>
      <c r="C73">
        <v>10490.5</v>
      </c>
      <c r="D73" t="s">
        <v>670</v>
      </c>
      <c r="E73" t="s">
        <v>671</v>
      </c>
      <c r="F73">
        <v>5</v>
      </c>
      <c r="G73" t="s">
        <v>655</v>
      </c>
      <c r="H73" t="s">
        <v>436</v>
      </c>
      <c r="I73">
        <v>1761687932.75</v>
      </c>
      <c r="J73">
        <f t="shared" si="50"/>
        <v>5.1195649951451953E-4</v>
      </c>
      <c r="K73">
        <f t="shared" si="51"/>
        <v>0.51195649951451949</v>
      </c>
      <c r="L73">
        <f t="shared" si="52"/>
        <v>2.9325664785604846</v>
      </c>
      <c r="M73">
        <f t="shared" si="53"/>
        <v>416.18779999999998</v>
      </c>
      <c r="N73">
        <f t="shared" si="54"/>
        <v>213.98387928755639</v>
      </c>
      <c r="O73">
        <f t="shared" si="55"/>
        <v>19.511739585903893</v>
      </c>
      <c r="P73">
        <f t="shared" si="56"/>
        <v>37.949344592999331</v>
      </c>
      <c r="Q73">
        <f t="shared" si="57"/>
        <v>2.4584581718818124E-2</v>
      </c>
      <c r="R73">
        <f t="shared" si="58"/>
        <v>2.7695123015563934</v>
      </c>
      <c r="S73">
        <f t="shared" si="59"/>
        <v>2.446398278143944E-2</v>
      </c>
      <c r="T73">
        <f t="shared" si="60"/>
        <v>1.5300775134182203E-2</v>
      </c>
      <c r="U73">
        <f t="shared" si="61"/>
        <v>348.7658658927383</v>
      </c>
      <c r="V73">
        <f t="shared" si="62"/>
        <v>25.770970744373482</v>
      </c>
      <c r="W73">
        <f t="shared" si="63"/>
        <v>25.770970744373482</v>
      </c>
      <c r="X73">
        <f t="shared" si="64"/>
        <v>3.3287988288051169</v>
      </c>
      <c r="Y73">
        <f t="shared" si="65"/>
        <v>49.88526459667726</v>
      </c>
      <c r="Z73">
        <f t="shared" si="66"/>
        <v>1.4708330913161867</v>
      </c>
      <c r="AA73">
        <f t="shared" si="67"/>
        <v>2.9484319732648174</v>
      </c>
      <c r="AB73">
        <f t="shared" si="68"/>
        <v>1.8579657374889302</v>
      </c>
      <c r="AC73">
        <f t="shared" si="69"/>
        <v>-22.57728162859031</v>
      </c>
      <c r="AD73">
        <f t="shared" si="70"/>
        <v>-303.3153056850457</v>
      </c>
      <c r="AE73">
        <f t="shared" si="71"/>
        <v>-23.109234470129415</v>
      </c>
      <c r="AF73">
        <f t="shared" si="72"/>
        <v>-0.23595589102711756</v>
      </c>
      <c r="AG73">
        <f t="shared" si="73"/>
        <v>2.9748517670152004</v>
      </c>
      <c r="AH73">
        <f t="shared" si="74"/>
        <v>0.49128669187064256</v>
      </c>
      <c r="AI73">
        <f t="shared" si="75"/>
        <v>2.9325664785604846</v>
      </c>
      <c r="AJ73">
        <v>426.63321923678569</v>
      </c>
      <c r="AK73">
        <v>423.05721818181809</v>
      </c>
      <c r="AL73">
        <v>3.006123842693253E-4</v>
      </c>
      <c r="AM73">
        <v>64.979418720852607</v>
      </c>
      <c r="AN73">
        <f t="shared" si="76"/>
        <v>0.51195649951451949</v>
      </c>
      <c r="AO73">
        <v>15.55114675892413</v>
      </c>
      <c r="AP73">
        <v>16.151517482517491</v>
      </c>
      <c r="AQ73">
        <v>5.657149708341618E-4</v>
      </c>
      <c r="AR73">
        <v>96.606904934634102</v>
      </c>
      <c r="AS73">
        <v>0</v>
      </c>
      <c r="AT73">
        <v>0</v>
      </c>
      <c r="AU73">
        <f t="shared" si="77"/>
        <v>1</v>
      </c>
      <c r="AV73">
        <f t="shared" si="78"/>
        <v>0</v>
      </c>
      <c r="AW73">
        <f t="shared" si="79"/>
        <v>48723.979385632294</v>
      </c>
      <c r="AX73" t="s">
        <v>652</v>
      </c>
      <c r="AY73">
        <v>5006.1899999999996</v>
      </c>
      <c r="AZ73">
        <v>628</v>
      </c>
      <c r="BA73">
        <v>1707.645840355314</v>
      </c>
      <c r="BB73">
        <f t="shared" si="80"/>
        <v>0.63224224534208417</v>
      </c>
      <c r="BC73">
        <v>-2.7018521291296791</v>
      </c>
      <c r="BD73" t="s">
        <v>672</v>
      </c>
      <c r="BE73">
        <v>5048.2299999999996</v>
      </c>
      <c r="BF73">
        <v>1373.7668000000001</v>
      </c>
      <c r="BG73">
        <v>1566.330622567782</v>
      </c>
      <c r="BH73">
        <f t="shared" si="81"/>
        <v>0.12293944828333891</v>
      </c>
      <c r="BI73">
        <v>0.5</v>
      </c>
      <c r="BJ73">
        <f t="shared" si="82"/>
        <v>1620.5538658813844</v>
      </c>
      <c r="BK73">
        <f t="shared" si="83"/>
        <v>2.9325664785604846</v>
      </c>
      <c r="BL73">
        <f t="shared" si="84"/>
        <v>99.614999092444705</v>
      </c>
      <c r="BM73">
        <f t="shared" si="85"/>
        <v>3.4768474694457157E-3</v>
      </c>
      <c r="BN73">
        <f t="shared" si="86"/>
        <v>9.0220554812281764E-2</v>
      </c>
      <c r="BO73">
        <f t="shared" si="87"/>
        <v>607.83253665177256</v>
      </c>
      <c r="BP73" t="s">
        <v>673</v>
      </c>
      <c r="BQ73">
        <v>813.2</v>
      </c>
      <c r="BR73">
        <f t="shared" si="88"/>
        <v>813.2</v>
      </c>
      <c r="BS73">
        <f t="shared" si="89"/>
        <v>0.48082480908987701</v>
      </c>
      <c r="BT73">
        <f t="shared" si="90"/>
        <v>0.2556844945585135</v>
      </c>
      <c r="BU73">
        <f t="shared" si="91"/>
        <v>0.15799192238559157</v>
      </c>
      <c r="BV73">
        <f t="shared" si="92"/>
        <v>0.20521958671755033</v>
      </c>
      <c r="BW73">
        <f t="shared" si="93"/>
        <v>0.13089034617224554</v>
      </c>
      <c r="BX73">
        <f t="shared" si="94"/>
        <v>0.15135220255357981</v>
      </c>
      <c r="BY73">
        <f t="shared" si="95"/>
        <v>0.84864779744642016</v>
      </c>
      <c r="BZ73">
        <v>474</v>
      </c>
      <c r="CA73">
        <v>290.00000000000011</v>
      </c>
      <c r="CB73">
        <v>1524.34</v>
      </c>
      <c r="CC73">
        <v>185</v>
      </c>
      <c r="CD73">
        <v>5048.2299999999996</v>
      </c>
      <c r="CE73">
        <v>1523.63</v>
      </c>
      <c r="CF73">
        <v>0.71</v>
      </c>
      <c r="CG73">
        <v>300.00000000000011</v>
      </c>
      <c r="CH73">
        <v>23.9</v>
      </c>
      <c r="CI73">
        <v>1566.330622567782</v>
      </c>
      <c r="CJ73">
        <v>1.7713215041016059</v>
      </c>
      <c r="CK73">
        <v>-21.555299743684941</v>
      </c>
      <c r="CL73">
        <v>0.79713308570069397</v>
      </c>
      <c r="CM73">
        <v>0.96311991346905257</v>
      </c>
      <c r="CN73">
        <v>-3.436341490545055E-3</v>
      </c>
      <c r="CO73">
        <v>289.99999999999989</v>
      </c>
      <c r="CP73">
        <v>1521.61</v>
      </c>
      <c r="CQ73">
        <v>675</v>
      </c>
      <c r="CR73">
        <v>5047.46</v>
      </c>
      <c r="CS73">
        <v>1523.63</v>
      </c>
      <c r="CT73">
        <v>-2.02</v>
      </c>
      <c r="DH73">
        <f t="shared" si="96"/>
        <v>1974.7046333333335</v>
      </c>
      <c r="DI73">
        <f t="shared" si="97"/>
        <v>1620.5538658813844</v>
      </c>
      <c r="DJ73">
        <f t="shared" si="98"/>
        <v>0.8206563343834683</v>
      </c>
      <c r="DK73">
        <f t="shared" si="99"/>
        <v>0.1766167253600939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1761687932.75</v>
      </c>
      <c r="DR73">
        <v>416.18779999999998</v>
      </c>
      <c r="DS73">
        <v>420.0028666666667</v>
      </c>
      <c r="DT73">
        <v>16.130523333333329</v>
      </c>
      <c r="DU73">
        <v>15.550506666666671</v>
      </c>
      <c r="DV73">
        <v>415.3578</v>
      </c>
      <c r="DW73">
        <v>15.950979999999999</v>
      </c>
      <c r="DX73">
        <v>500.01526666666649</v>
      </c>
      <c r="DY73">
        <v>91.144500000000008</v>
      </c>
      <c r="DZ73">
        <v>3.8722076666666667E-2</v>
      </c>
      <c r="EA73">
        <v>23.739523333333331</v>
      </c>
      <c r="EB73">
        <v>24.011123333333341</v>
      </c>
      <c r="EC73">
        <v>999.9000000000002</v>
      </c>
      <c r="ED73">
        <v>0</v>
      </c>
      <c r="EE73">
        <v>0</v>
      </c>
      <c r="EF73">
        <v>9999.9569999999985</v>
      </c>
      <c r="EG73">
        <v>0</v>
      </c>
      <c r="EH73">
        <v>1074.705666666667</v>
      </c>
      <c r="EI73">
        <v>-3.8151540000000002</v>
      </c>
      <c r="EJ73">
        <v>423.01106666666658</v>
      </c>
      <c r="EK73">
        <v>426.63736666666671</v>
      </c>
      <c r="EL73">
        <v>0.58000903333333342</v>
      </c>
      <c r="EM73">
        <v>420.0028666666667</v>
      </c>
      <c r="EN73">
        <v>15.550506666666671</v>
      </c>
      <c r="EO73">
        <v>1.4702086666666669</v>
      </c>
      <c r="EP73">
        <v>1.4173439999999999</v>
      </c>
      <c r="EQ73">
        <v>12.66180333333334</v>
      </c>
      <c r="ER73">
        <v>12.10446333333333</v>
      </c>
      <c r="ES73">
        <v>899.99896666666655</v>
      </c>
      <c r="ET73">
        <v>0.95599853333333362</v>
      </c>
      <c r="EU73">
        <v>4.4001533333333329E-2</v>
      </c>
      <c r="EV73">
        <v>0</v>
      </c>
      <c r="EW73">
        <v>1373.748333333333</v>
      </c>
      <c r="EX73">
        <v>5.0005600000000019</v>
      </c>
      <c r="EY73">
        <v>12323.32</v>
      </c>
      <c r="EZ73">
        <v>7699.7036666666672</v>
      </c>
      <c r="FA73">
        <v>37.362399999999987</v>
      </c>
      <c r="FB73">
        <v>39.686999999999983</v>
      </c>
      <c r="FC73">
        <v>38.25</v>
      </c>
      <c r="FD73">
        <v>38.682866666666648</v>
      </c>
      <c r="FE73">
        <v>38.436999999999991</v>
      </c>
      <c r="FF73">
        <v>855.61799999999994</v>
      </c>
      <c r="FG73">
        <v>39.380000000000017</v>
      </c>
      <c r="FH73">
        <v>0</v>
      </c>
      <c r="FI73">
        <v>127.2000000476837</v>
      </c>
      <c r="FJ73">
        <v>0</v>
      </c>
      <c r="FK73">
        <v>1373.7668000000001</v>
      </c>
      <c r="FL73">
        <v>1.395384597964874</v>
      </c>
      <c r="FM73">
        <v>2.5076922852989081</v>
      </c>
      <c r="FN73">
        <v>12323.328</v>
      </c>
      <c r="FO73">
        <v>15</v>
      </c>
      <c r="FP73">
        <v>0</v>
      </c>
      <c r="FQ73" t="s">
        <v>441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-3.800481951219512</v>
      </c>
      <c r="GD73">
        <v>-0.27103170731707249</v>
      </c>
      <c r="GE73">
        <v>4.9804050144811408E-2</v>
      </c>
      <c r="GF73">
        <v>1</v>
      </c>
      <c r="GG73">
        <v>1373.6420588235289</v>
      </c>
      <c r="GH73">
        <v>1.7969442252740251</v>
      </c>
      <c r="GI73">
        <v>0.29090911671319852</v>
      </c>
      <c r="GJ73">
        <v>0</v>
      </c>
      <c r="GK73">
        <v>0.56672219512195121</v>
      </c>
      <c r="GL73">
        <v>0.21136041114982601</v>
      </c>
      <c r="GM73">
        <v>2.1114681829059501E-2</v>
      </c>
      <c r="GN73">
        <v>0</v>
      </c>
      <c r="GO73">
        <v>1</v>
      </c>
      <c r="GP73">
        <v>3</v>
      </c>
      <c r="GQ73" t="s">
        <v>442</v>
      </c>
      <c r="GR73">
        <v>3.1288399999999998</v>
      </c>
      <c r="GS73">
        <v>2.71617</v>
      </c>
      <c r="GT73">
        <v>8.5604200000000005E-2</v>
      </c>
      <c r="GU73">
        <v>8.6769200000000005E-2</v>
      </c>
      <c r="GV73">
        <v>8.1264299999999998E-2</v>
      </c>
      <c r="GW73">
        <v>7.9787899999999995E-2</v>
      </c>
      <c r="GX73">
        <v>27456.3</v>
      </c>
      <c r="GY73">
        <v>26511.1</v>
      </c>
      <c r="GZ73">
        <v>30568.5</v>
      </c>
      <c r="HA73">
        <v>29283.7</v>
      </c>
      <c r="HB73">
        <v>38749.4</v>
      </c>
      <c r="HC73">
        <v>35473.599999999999</v>
      </c>
      <c r="HD73">
        <v>46741.9</v>
      </c>
      <c r="HE73">
        <v>43529.8</v>
      </c>
      <c r="HF73">
        <v>1.83283</v>
      </c>
      <c r="HG73">
        <v>1.8626199999999999</v>
      </c>
      <c r="HH73">
        <v>4.5094599999999999E-2</v>
      </c>
      <c r="HI73">
        <v>0</v>
      </c>
      <c r="HJ73">
        <v>23.262499999999999</v>
      </c>
      <c r="HK73">
        <v>999.9</v>
      </c>
      <c r="HL73">
        <v>38.799999999999997</v>
      </c>
      <c r="HM73">
        <v>30.4</v>
      </c>
      <c r="HN73">
        <v>18.5595</v>
      </c>
      <c r="HO73">
        <v>63.377899999999997</v>
      </c>
      <c r="HP73">
        <v>18.173100000000002</v>
      </c>
      <c r="HQ73">
        <v>1</v>
      </c>
      <c r="HR73">
        <v>0.143902</v>
      </c>
      <c r="HS73">
        <v>2.7220499999999999</v>
      </c>
      <c r="HT73">
        <v>20.1937</v>
      </c>
      <c r="HU73">
        <v>5.2367600000000003</v>
      </c>
      <c r="HV73">
        <v>11.976900000000001</v>
      </c>
      <c r="HW73">
        <v>4.9717500000000001</v>
      </c>
      <c r="HX73">
        <v>3.2910300000000001</v>
      </c>
      <c r="HY73">
        <v>9999</v>
      </c>
      <c r="HZ73">
        <v>9999</v>
      </c>
      <c r="IA73">
        <v>9999</v>
      </c>
      <c r="IB73">
        <v>999.9</v>
      </c>
      <c r="IC73">
        <v>4.9729400000000004</v>
      </c>
      <c r="ID73">
        <v>1.8772800000000001</v>
      </c>
      <c r="IE73">
        <v>1.8753200000000001</v>
      </c>
      <c r="IF73">
        <v>1.87819</v>
      </c>
      <c r="IG73">
        <v>1.87486</v>
      </c>
      <c r="IH73">
        <v>1.87849</v>
      </c>
      <c r="II73">
        <v>1.8755900000000001</v>
      </c>
      <c r="IJ73">
        <v>1.8767199999999999</v>
      </c>
      <c r="IK73">
        <v>0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0.83</v>
      </c>
      <c r="IY73">
        <v>0.18</v>
      </c>
      <c r="IZ73">
        <v>6.1933660764125778E-2</v>
      </c>
      <c r="JA73">
        <v>2.058711587971173E-3</v>
      </c>
      <c r="JB73">
        <v>-6.1309262243104059E-7</v>
      </c>
      <c r="JC73">
        <v>2.6183910446277612E-10</v>
      </c>
      <c r="JD73">
        <v>3.5078820932035488E-4</v>
      </c>
      <c r="JE73">
        <v>-4.3284922736758413E-3</v>
      </c>
      <c r="JF73">
        <v>1.4186339569364E-3</v>
      </c>
      <c r="JG73">
        <v>-2.7770646863349432E-5</v>
      </c>
      <c r="JH73">
        <v>2</v>
      </c>
      <c r="JI73">
        <v>2136</v>
      </c>
      <c r="JJ73">
        <v>1</v>
      </c>
      <c r="JK73">
        <v>19</v>
      </c>
      <c r="JL73">
        <v>29361465.699999999</v>
      </c>
      <c r="JM73">
        <v>29361465.699999999</v>
      </c>
      <c r="JN73">
        <v>1.1059600000000001</v>
      </c>
      <c r="JO73">
        <v>2.5378400000000001</v>
      </c>
      <c r="JP73">
        <v>1.39893</v>
      </c>
      <c r="JQ73">
        <v>2.3278799999999999</v>
      </c>
      <c r="JR73">
        <v>1.4489700000000001</v>
      </c>
      <c r="JS73">
        <v>2.5952099999999998</v>
      </c>
      <c r="JT73">
        <v>36.481400000000001</v>
      </c>
      <c r="JU73">
        <v>23.886099999999999</v>
      </c>
      <c r="JV73">
        <v>18</v>
      </c>
      <c r="JW73">
        <v>483.089</v>
      </c>
      <c r="JX73">
        <v>472.73700000000002</v>
      </c>
      <c r="JY73">
        <v>20.3765</v>
      </c>
      <c r="JZ73">
        <v>29.021100000000001</v>
      </c>
      <c r="KA73">
        <v>29.9999</v>
      </c>
      <c r="KB73">
        <v>28.753699999999998</v>
      </c>
      <c r="KC73">
        <v>28.8306</v>
      </c>
      <c r="KD73">
        <v>22.1831</v>
      </c>
      <c r="KE73">
        <v>24.117100000000001</v>
      </c>
      <c r="KF73">
        <v>66.851799999999997</v>
      </c>
      <c r="KG73">
        <v>20.377099999999999</v>
      </c>
      <c r="KH73">
        <v>420</v>
      </c>
      <c r="KI73">
        <v>15.5619</v>
      </c>
      <c r="KJ73">
        <v>101.03100000000001</v>
      </c>
      <c r="KK73">
        <v>100.111</v>
      </c>
    </row>
    <row r="74" spans="1:297" x14ac:dyDescent="0.3">
      <c r="A74">
        <v>58</v>
      </c>
      <c r="B74">
        <v>1761688010</v>
      </c>
      <c r="C74">
        <v>10560</v>
      </c>
      <c r="D74" t="s">
        <v>674</v>
      </c>
      <c r="E74" t="s">
        <v>675</v>
      </c>
      <c r="F74">
        <v>5</v>
      </c>
      <c r="G74" t="s">
        <v>655</v>
      </c>
      <c r="H74" t="s">
        <v>436</v>
      </c>
      <c r="I74">
        <v>1761688002.25</v>
      </c>
      <c r="J74">
        <f t="shared" si="50"/>
        <v>5.6480556808045153E-4</v>
      </c>
      <c r="K74">
        <f t="shared" si="51"/>
        <v>0.56480556808045157</v>
      </c>
      <c r="L74">
        <f t="shared" si="52"/>
        <v>2.6268526612460636</v>
      </c>
      <c r="M74">
        <f t="shared" si="53"/>
        <v>416.55610000000001</v>
      </c>
      <c r="N74">
        <f t="shared" si="54"/>
        <v>255.24358977131965</v>
      </c>
      <c r="O74">
        <f t="shared" si="55"/>
        <v>23.274636629534349</v>
      </c>
      <c r="P74">
        <f t="shared" si="56"/>
        <v>37.984075807749718</v>
      </c>
      <c r="Q74">
        <f t="shared" si="57"/>
        <v>2.8071146672780187E-2</v>
      </c>
      <c r="R74">
        <f t="shared" si="58"/>
        <v>2.7702817472115733</v>
      </c>
      <c r="S74">
        <f t="shared" si="59"/>
        <v>2.7914077040271292E-2</v>
      </c>
      <c r="T74">
        <f t="shared" si="60"/>
        <v>1.7460336832909044E-2</v>
      </c>
      <c r="U74">
        <f t="shared" si="61"/>
        <v>296.87361252471072</v>
      </c>
      <c r="V74">
        <f t="shared" si="62"/>
        <v>25.50419981239839</v>
      </c>
      <c r="W74">
        <f t="shared" si="63"/>
        <v>25.50419981239839</v>
      </c>
      <c r="X74">
        <f t="shared" si="64"/>
        <v>3.2765232076372501</v>
      </c>
      <c r="Y74">
        <f t="shared" si="65"/>
        <v>49.9676410444292</v>
      </c>
      <c r="Z74">
        <f t="shared" si="66"/>
        <v>1.4796089241861712</v>
      </c>
      <c r="AA74">
        <f t="shared" si="67"/>
        <v>2.9611342325937757</v>
      </c>
      <c r="AB74">
        <f t="shared" si="68"/>
        <v>1.796914283451079</v>
      </c>
      <c r="AC74">
        <f t="shared" si="69"/>
        <v>-24.907925552347912</v>
      </c>
      <c r="AD74">
        <f t="shared" si="70"/>
        <v>-252.88679088607722</v>
      </c>
      <c r="AE74">
        <f t="shared" si="71"/>
        <v>-19.242778453508162</v>
      </c>
      <c r="AF74">
        <f t="shared" si="72"/>
        <v>-0.16388236722255556</v>
      </c>
      <c r="AG74">
        <f t="shared" si="73"/>
        <v>2.6446523174569023</v>
      </c>
      <c r="AH74">
        <f t="shared" si="74"/>
        <v>0.56116503912494986</v>
      </c>
      <c r="AI74">
        <f t="shared" si="75"/>
        <v>2.6268526612460636</v>
      </c>
      <c r="AJ74">
        <v>426.66023267887601</v>
      </c>
      <c r="AK74">
        <v>423.45673333333332</v>
      </c>
      <c r="AL74">
        <v>3.0479214913652601E-4</v>
      </c>
      <c r="AM74">
        <v>64.979418720852607</v>
      </c>
      <c r="AN74">
        <f t="shared" si="76"/>
        <v>0.56480556808045157</v>
      </c>
      <c r="AO74">
        <v>15.565001179679831</v>
      </c>
      <c r="AP74">
        <v>16.231701398601409</v>
      </c>
      <c r="AQ74">
        <v>8.4801851099540359E-6</v>
      </c>
      <c r="AR74">
        <v>96.606904934634102</v>
      </c>
      <c r="AS74">
        <v>0</v>
      </c>
      <c r="AT74">
        <v>0</v>
      </c>
      <c r="AU74">
        <f t="shared" si="77"/>
        <v>1</v>
      </c>
      <c r="AV74">
        <f t="shared" si="78"/>
        <v>0</v>
      </c>
      <c r="AW74">
        <f t="shared" si="79"/>
        <v>48733.528293459443</v>
      </c>
      <c r="AX74" t="s">
        <v>652</v>
      </c>
      <c r="AY74">
        <v>5006.1899999999996</v>
      </c>
      <c r="AZ74">
        <v>628</v>
      </c>
      <c r="BA74">
        <v>1707.645840355314</v>
      </c>
      <c r="BB74">
        <f t="shared" si="80"/>
        <v>0.63224224534208417</v>
      </c>
      <c r="BC74">
        <v>-2.7018521291296791</v>
      </c>
      <c r="BD74" t="s">
        <v>676</v>
      </c>
      <c r="BE74">
        <v>5049.42</v>
      </c>
      <c r="BF74">
        <v>1296.1043999999999</v>
      </c>
      <c r="BG74">
        <v>1571.371203056812</v>
      </c>
      <c r="BH74">
        <f t="shared" si="81"/>
        <v>0.17517617894570769</v>
      </c>
      <c r="BI74">
        <v>0.5</v>
      </c>
      <c r="BJ74">
        <f t="shared" si="82"/>
        <v>1374.8930509627176</v>
      </c>
      <c r="BK74">
        <f t="shared" si="83"/>
        <v>2.6268526612460636</v>
      </c>
      <c r="BL74">
        <f t="shared" si="84"/>
        <v>120.42425556332751</v>
      </c>
      <c r="BM74">
        <f t="shared" si="85"/>
        <v>3.8757231238055324E-3</v>
      </c>
      <c r="BN74">
        <f t="shared" si="86"/>
        <v>8.6723389758832897E-2</v>
      </c>
      <c r="BO74">
        <f t="shared" si="87"/>
        <v>608.59011431741521</v>
      </c>
      <c r="BP74" t="s">
        <v>677</v>
      </c>
      <c r="BQ74">
        <v>793.93</v>
      </c>
      <c r="BR74">
        <f t="shared" si="88"/>
        <v>793.93</v>
      </c>
      <c r="BS74">
        <f t="shared" si="89"/>
        <v>0.49475337306961209</v>
      </c>
      <c r="BT74">
        <f t="shared" si="90"/>
        <v>0.35406767994093147</v>
      </c>
      <c r="BU74">
        <f t="shared" si="91"/>
        <v>0.1491433455345475</v>
      </c>
      <c r="BV74">
        <f t="shared" si="92"/>
        <v>0.29179055091448963</v>
      </c>
      <c r="BW74">
        <f t="shared" si="93"/>
        <v>0.12622161101797397</v>
      </c>
      <c r="BX74">
        <f t="shared" si="94"/>
        <v>0.2168844987606737</v>
      </c>
      <c r="BY74">
        <f t="shared" si="95"/>
        <v>0.78311550123932627</v>
      </c>
      <c r="BZ74">
        <v>476</v>
      </c>
      <c r="CA74">
        <v>290.00000000000011</v>
      </c>
      <c r="CB74">
        <v>1532.14</v>
      </c>
      <c r="CC74">
        <v>275</v>
      </c>
      <c r="CD74">
        <v>5049.42</v>
      </c>
      <c r="CE74">
        <v>1531.19</v>
      </c>
      <c r="CF74">
        <v>0.95</v>
      </c>
      <c r="CG74">
        <v>300.00000000000011</v>
      </c>
      <c r="CH74">
        <v>23.9</v>
      </c>
      <c r="CI74">
        <v>1571.371203056812</v>
      </c>
      <c r="CJ74">
        <v>1.341976973342454</v>
      </c>
      <c r="CK74">
        <v>-20.29132959369413</v>
      </c>
      <c r="CL74">
        <v>0.59845190219170641</v>
      </c>
      <c r="CM74">
        <v>0.97622366796096616</v>
      </c>
      <c r="CN74">
        <v>-3.6867063403782019E-3</v>
      </c>
      <c r="CO74">
        <v>289.99999999999989</v>
      </c>
      <c r="CP74">
        <v>1528.89</v>
      </c>
      <c r="CQ74">
        <v>655</v>
      </c>
      <c r="CR74">
        <v>5049.3</v>
      </c>
      <c r="CS74">
        <v>1531.18</v>
      </c>
      <c r="CT74">
        <v>-2.29</v>
      </c>
      <c r="DH74">
        <f t="shared" si="96"/>
        <v>1674.6633333333339</v>
      </c>
      <c r="DI74">
        <f t="shared" si="97"/>
        <v>1374.8930509627176</v>
      </c>
      <c r="DJ74">
        <f t="shared" si="98"/>
        <v>0.82099668846636864</v>
      </c>
      <c r="DK74">
        <f t="shared" si="99"/>
        <v>0.1772736087400914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1761688002.25</v>
      </c>
      <c r="DR74">
        <v>416.55610000000001</v>
      </c>
      <c r="DS74">
        <v>420.01016666666669</v>
      </c>
      <c r="DT74">
        <v>16.226276666666671</v>
      </c>
      <c r="DU74">
        <v>15.56381</v>
      </c>
      <c r="DV74">
        <v>415.72546666666659</v>
      </c>
      <c r="DW74">
        <v>16.044873333333339</v>
      </c>
      <c r="DX74">
        <v>500.00349999999997</v>
      </c>
      <c r="DY74">
        <v>91.147703333333354</v>
      </c>
      <c r="DZ74">
        <v>3.8275716666666668E-2</v>
      </c>
      <c r="EA74">
        <v>23.810966666666669</v>
      </c>
      <c r="EB74">
        <v>23.884383333333339</v>
      </c>
      <c r="EC74">
        <v>999.9000000000002</v>
      </c>
      <c r="ED74">
        <v>0</v>
      </c>
      <c r="EE74">
        <v>0</v>
      </c>
      <c r="EF74">
        <v>10004.144666666671</v>
      </c>
      <c r="EG74">
        <v>0</v>
      </c>
      <c r="EH74">
        <v>1074.667333333334</v>
      </c>
      <c r="EI74">
        <v>-3.453980333333333</v>
      </c>
      <c r="EJ74">
        <v>423.42680000000001</v>
      </c>
      <c r="EK74">
        <v>426.65050000000002</v>
      </c>
      <c r="EL74">
        <v>0.66245986666666679</v>
      </c>
      <c r="EM74">
        <v>420.01016666666669</v>
      </c>
      <c r="EN74">
        <v>15.56381</v>
      </c>
      <c r="EO74">
        <v>1.4789870000000001</v>
      </c>
      <c r="EP74">
        <v>1.4186056666666671</v>
      </c>
      <c r="EQ74">
        <v>12.752646666666671</v>
      </c>
      <c r="ER74">
        <v>12.11798333333334</v>
      </c>
      <c r="ES74">
        <v>599.99599999999998</v>
      </c>
      <c r="ET74">
        <v>0.9329904333333332</v>
      </c>
      <c r="EU74">
        <v>6.7009300000000008E-2</v>
      </c>
      <c r="EV74">
        <v>0</v>
      </c>
      <c r="EW74">
        <v>1296.087666666667</v>
      </c>
      <c r="EX74">
        <v>5.0005600000000019</v>
      </c>
      <c r="EY74">
        <v>7744.4849999999997</v>
      </c>
      <c r="EZ74">
        <v>5081.0763333333334</v>
      </c>
      <c r="FA74">
        <v>37.024799999999999</v>
      </c>
      <c r="FB74">
        <v>39.625</v>
      </c>
      <c r="FC74">
        <v>38.116599999999991</v>
      </c>
      <c r="FD74">
        <v>38.625</v>
      </c>
      <c r="FE74">
        <v>38.245800000000003</v>
      </c>
      <c r="FF74">
        <v>555.12433333333331</v>
      </c>
      <c r="FG74">
        <v>39.866999999999983</v>
      </c>
      <c r="FH74">
        <v>0</v>
      </c>
      <c r="FI74">
        <v>67.200000047683716</v>
      </c>
      <c r="FJ74">
        <v>0</v>
      </c>
      <c r="FK74">
        <v>1296.1043999999999</v>
      </c>
      <c r="FL74">
        <v>8.1538452845760043E-2</v>
      </c>
      <c r="FM74">
        <v>-11.174615382760379</v>
      </c>
      <c r="FN74">
        <v>7744.6527999999998</v>
      </c>
      <c r="FO74">
        <v>15</v>
      </c>
      <c r="FP74">
        <v>0</v>
      </c>
      <c r="FQ74" t="s">
        <v>441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-3.4561467499999998</v>
      </c>
      <c r="GD74">
        <v>8.0738273921201101E-2</v>
      </c>
      <c r="GE74">
        <v>1.4936189003139351E-2</v>
      </c>
      <c r="GF74">
        <v>1</v>
      </c>
      <c r="GG74">
        <v>1296.1002941176471</v>
      </c>
      <c r="GH74">
        <v>3.9266608355890777E-2</v>
      </c>
      <c r="GI74">
        <v>0.20285441453122299</v>
      </c>
      <c r="GJ74">
        <v>1</v>
      </c>
      <c r="GK74">
        <v>0.66092307500000003</v>
      </c>
      <c r="GL74">
        <v>3.2484911819888003E-2</v>
      </c>
      <c r="GM74">
        <v>3.2784333254429589E-3</v>
      </c>
      <c r="GN74">
        <v>1</v>
      </c>
      <c r="GO74">
        <v>3</v>
      </c>
      <c r="GP74">
        <v>3</v>
      </c>
      <c r="GQ74" t="s">
        <v>470</v>
      </c>
      <c r="GR74">
        <v>3.1288</v>
      </c>
      <c r="GS74">
        <v>2.7156199999999999</v>
      </c>
      <c r="GT74">
        <v>8.56653E-2</v>
      </c>
      <c r="GU74">
        <v>8.6775000000000005E-2</v>
      </c>
      <c r="GV74">
        <v>8.1555100000000005E-2</v>
      </c>
      <c r="GW74">
        <v>7.9836699999999997E-2</v>
      </c>
      <c r="GX74">
        <v>27455.200000000001</v>
      </c>
      <c r="GY74">
        <v>26511.5</v>
      </c>
      <c r="GZ74">
        <v>30569.200000000001</v>
      </c>
      <c r="HA74">
        <v>29284.3</v>
      </c>
      <c r="HB74">
        <v>38738</v>
      </c>
      <c r="HC74">
        <v>35472.5</v>
      </c>
      <c r="HD74">
        <v>46743.1</v>
      </c>
      <c r="HE74">
        <v>43530.8</v>
      </c>
      <c r="HF74">
        <v>1.83307</v>
      </c>
      <c r="HG74">
        <v>1.86283</v>
      </c>
      <c r="HH74">
        <v>3.57255E-2</v>
      </c>
      <c r="HI74">
        <v>0</v>
      </c>
      <c r="HJ74">
        <v>23.331900000000001</v>
      </c>
      <c r="HK74">
        <v>999.9</v>
      </c>
      <c r="HL74">
        <v>38.700000000000003</v>
      </c>
      <c r="HM74">
        <v>30.4</v>
      </c>
      <c r="HN74">
        <v>18.509599999999999</v>
      </c>
      <c r="HO74">
        <v>63.7879</v>
      </c>
      <c r="HP74">
        <v>18.097000000000001</v>
      </c>
      <c r="HQ74">
        <v>1</v>
      </c>
      <c r="HR74">
        <v>0.138961</v>
      </c>
      <c r="HS74">
        <v>1.4162399999999999</v>
      </c>
      <c r="HT74">
        <v>20.210699999999999</v>
      </c>
      <c r="HU74">
        <v>5.23346</v>
      </c>
      <c r="HV74">
        <v>11.9748</v>
      </c>
      <c r="HW74">
        <v>4.9715999999999996</v>
      </c>
      <c r="HX74">
        <v>3.2904800000000001</v>
      </c>
      <c r="HY74">
        <v>9999</v>
      </c>
      <c r="HZ74">
        <v>9999</v>
      </c>
      <c r="IA74">
        <v>9999</v>
      </c>
      <c r="IB74">
        <v>999.9</v>
      </c>
      <c r="IC74">
        <v>4.97295</v>
      </c>
      <c r="ID74">
        <v>1.8772800000000001</v>
      </c>
      <c r="IE74">
        <v>1.8753200000000001</v>
      </c>
      <c r="IF74">
        <v>1.8781399999999999</v>
      </c>
      <c r="IG74">
        <v>1.8748499999999999</v>
      </c>
      <c r="IH74">
        <v>1.87845</v>
      </c>
      <c r="II74">
        <v>1.87558</v>
      </c>
      <c r="IJ74">
        <v>1.8767499999999999</v>
      </c>
      <c r="IK74">
        <v>0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0.83099999999999996</v>
      </c>
      <c r="IY74">
        <v>0.18149999999999999</v>
      </c>
      <c r="IZ74">
        <v>6.1933660764125778E-2</v>
      </c>
      <c r="JA74">
        <v>2.058711587971173E-3</v>
      </c>
      <c r="JB74">
        <v>-6.1309262243104059E-7</v>
      </c>
      <c r="JC74">
        <v>2.6183910446277612E-10</v>
      </c>
      <c r="JD74">
        <v>3.5078820932035488E-4</v>
      </c>
      <c r="JE74">
        <v>-4.3284922736758413E-3</v>
      </c>
      <c r="JF74">
        <v>1.4186339569364E-3</v>
      </c>
      <c r="JG74">
        <v>-2.7770646863349432E-5</v>
      </c>
      <c r="JH74">
        <v>2</v>
      </c>
      <c r="JI74">
        <v>2136</v>
      </c>
      <c r="JJ74">
        <v>1</v>
      </c>
      <c r="JK74">
        <v>19</v>
      </c>
      <c r="JL74">
        <v>29361466.800000001</v>
      </c>
      <c r="JM74">
        <v>29361466.800000001</v>
      </c>
      <c r="JN74">
        <v>1.1059600000000001</v>
      </c>
      <c r="JO74">
        <v>2.5537100000000001</v>
      </c>
      <c r="JP74">
        <v>1.39893</v>
      </c>
      <c r="JQ74">
        <v>2.3278799999999999</v>
      </c>
      <c r="JR74">
        <v>1.4489700000000001</v>
      </c>
      <c r="JS74">
        <v>2.47803</v>
      </c>
      <c r="JT74">
        <v>36.505099999999999</v>
      </c>
      <c r="JU74">
        <v>23.8949</v>
      </c>
      <c r="JV74">
        <v>18</v>
      </c>
      <c r="JW74">
        <v>483.16</v>
      </c>
      <c r="JX74">
        <v>472.77499999999998</v>
      </c>
      <c r="JY74">
        <v>21.722000000000001</v>
      </c>
      <c r="JZ74">
        <v>29.0046</v>
      </c>
      <c r="KA74">
        <v>30.0002</v>
      </c>
      <c r="KB74">
        <v>28.743500000000001</v>
      </c>
      <c r="KC74">
        <v>28.819099999999999</v>
      </c>
      <c r="KD74">
        <v>22.182600000000001</v>
      </c>
      <c r="KE74">
        <v>24.117100000000001</v>
      </c>
      <c r="KF74">
        <v>66.851799999999997</v>
      </c>
      <c r="KG74">
        <v>21.7563</v>
      </c>
      <c r="KH74">
        <v>420</v>
      </c>
      <c r="KI74">
        <v>15.5236</v>
      </c>
      <c r="KJ74">
        <v>101.033</v>
      </c>
      <c r="KK74">
        <v>100.113</v>
      </c>
    </row>
    <row r="75" spans="1:297" x14ac:dyDescent="0.3">
      <c r="A75">
        <v>59</v>
      </c>
      <c r="B75">
        <v>1761688139.5</v>
      </c>
      <c r="C75">
        <v>10689.5</v>
      </c>
      <c r="D75" t="s">
        <v>678</v>
      </c>
      <c r="E75" t="s">
        <v>679</v>
      </c>
      <c r="F75">
        <v>5</v>
      </c>
      <c r="G75" t="s">
        <v>655</v>
      </c>
      <c r="H75" t="s">
        <v>436</v>
      </c>
      <c r="I75">
        <v>1761688131.75</v>
      </c>
      <c r="J75">
        <f t="shared" si="50"/>
        <v>4.1932179265008235E-4</v>
      </c>
      <c r="K75">
        <f t="shared" si="51"/>
        <v>0.41932179265008235</v>
      </c>
      <c r="L75">
        <f t="shared" si="52"/>
        <v>1.8821501602860768</v>
      </c>
      <c r="M75">
        <f t="shared" si="53"/>
        <v>417.53550000000001</v>
      </c>
      <c r="N75">
        <f t="shared" si="54"/>
        <v>262.60715866570484</v>
      </c>
      <c r="O75">
        <f t="shared" si="55"/>
        <v>23.945329916959476</v>
      </c>
      <c r="P75">
        <f t="shared" si="56"/>
        <v>38.072173471363655</v>
      </c>
      <c r="Q75">
        <f t="shared" si="57"/>
        <v>2.0985632900815246E-2</v>
      </c>
      <c r="R75">
        <f t="shared" si="58"/>
        <v>2.7703899197654027</v>
      </c>
      <c r="S75">
        <f t="shared" si="59"/>
        <v>2.0897718141882161E-2</v>
      </c>
      <c r="T75">
        <f t="shared" si="60"/>
        <v>1.306894182363923E-2</v>
      </c>
      <c r="U75">
        <f t="shared" si="61"/>
        <v>244.96911023552283</v>
      </c>
      <c r="V75">
        <f t="shared" si="62"/>
        <v>25.579561171611804</v>
      </c>
      <c r="W75">
        <f t="shared" si="63"/>
        <v>25.579561171611804</v>
      </c>
      <c r="X75">
        <f t="shared" si="64"/>
        <v>3.2912175964136456</v>
      </c>
      <c r="Y75">
        <f t="shared" si="65"/>
        <v>49.897981928984663</v>
      </c>
      <c r="Z75">
        <f t="shared" si="66"/>
        <v>1.5097562711936616</v>
      </c>
      <c r="AA75">
        <f t="shared" si="67"/>
        <v>3.0256860354440041</v>
      </c>
      <c r="AB75">
        <f t="shared" si="68"/>
        <v>1.781461325219984</v>
      </c>
      <c r="AC75">
        <f t="shared" si="69"/>
        <v>-18.492091055868631</v>
      </c>
      <c r="AD75">
        <f t="shared" si="70"/>
        <v>-210.53616202403416</v>
      </c>
      <c r="AE75">
        <f t="shared" si="71"/>
        <v>-16.054638544960717</v>
      </c>
      <c r="AF75">
        <f t="shared" si="72"/>
        <v>-0.11378138934065873</v>
      </c>
      <c r="AG75">
        <f t="shared" si="73"/>
        <v>1.8850046132390821</v>
      </c>
      <c r="AH75">
        <f t="shared" si="74"/>
        <v>0.41475901056831116</v>
      </c>
      <c r="AI75">
        <f t="shared" si="75"/>
        <v>1.8821501602860768</v>
      </c>
      <c r="AJ75">
        <v>426.88921679581591</v>
      </c>
      <c r="AK75">
        <v>424.59248484848467</v>
      </c>
      <c r="AL75">
        <v>2.8101381947407431E-4</v>
      </c>
      <c r="AM75">
        <v>64.979418720852607</v>
      </c>
      <c r="AN75">
        <f t="shared" si="76"/>
        <v>0.41932179265008235</v>
      </c>
      <c r="AO75">
        <v>16.068922578119029</v>
      </c>
      <c r="AP75">
        <v>16.56309930069931</v>
      </c>
      <c r="AQ75">
        <v>9.239976293600118E-5</v>
      </c>
      <c r="AR75">
        <v>96.606904934634102</v>
      </c>
      <c r="AS75">
        <v>0</v>
      </c>
      <c r="AT75">
        <v>0</v>
      </c>
      <c r="AU75">
        <f t="shared" si="77"/>
        <v>1</v>
      </c>
      <c r="AV75">
        <f t="shared" si="78"/>
        <v>0</v>
      </c>
      <c r="AW75">
        <f t="shared" si="79"/>
        <v>48677.56445695139</v>
      </c>
      <c r="AX75" t="s">
        <v>652</v>
      </c>
      <c r="AY75">
        <v>5006.1899999999996</v>
      </c>
      <c r="AZ75">
        <v>628</v>
      </c>
      <c r="BA75">
        <v>1707.645840355314</v>
      </c>
      <c r="BB75">
        <f t="shared" si="80"/>
        <v>0.63224224534208417</v>
      </c>
      <c r="BC75">
        <v>-2.7018521291296791</v>
      </c>
      <c r="BD75" t="s">
        <v>680</v>
      </c>
      <c r="BE75">
        <v>5040.8</v>
      </c>
      <c r="BF75">
        <v>1099.8812</v>
      </c>
      <c r="BG75">
        <v>1587.1831189461959</v>
      </c>
      <c r="BH75">
        <f t="shared" si="81"/>
        <v>0.30702312362655304</v>
      </c>
      <c r="BI75">
        <v>0.5</v>
      </c>
      <c r="BJ75">
        <f t="shared" si="82"/>
        <v>1129.2949881013069</v>
      </c>
      <c r="BK75">
        <f t="shared" si="83"/>
        <v>1.8821501602860768</v>
      </c>
      <c r="BL75">
        <f t="shared" si="84"/>
        <v>173.35983737133714</v>
      </c>
      <c r="BM75">
        <f t="shared" si="85"/>
        <v>4.05917172901199E-3</v>
      </c>
      <c r="BN75">
        <f t="shared" si="86"/>
        <v>7.5897179078554505E-2</v>
      </c>
      <c r="BO75">
        <f t="shared" si="87"/>
        <v>610.94737365917524</v>
      </c>
      <c r="BP75" t="s">
        <v>681</v>
      </c>
      <c r="BQ75">
        <v>775.27</v>
      </c>
      <c r="BR75">
        <f t="shared" si="88"/>
        <v>775.27</v>
      </c>
      <c r="BS75">
        <f t="shared" si="89"/>
        <v>0.5115434440137332</v>
      </c>
      <c r="BT75">
        <f t="shared" si="90"/>
        <v>0.60018973406745568</v>
      </c>
      <c r="BU75">
        <f t="shared" si="91"/>
        <v>0.12919974563391906</v>
      </c>
      <c r="BV75">
        <f t="shared" si="92"/>
        <v>0.50803846452340495</v>
      </c>
      <c r="BW75">
        <f t="shared" si="93"/>
        <v>0.11157614553442223</v>
      </c>
      <c r="BX75">
        <f t="shared" si="94"/>
        <v>0.42305395812791086</v>
      </c>
      <c r="BY75">
        <f t="shared" si="95"/>
        <v>0.57694604187208909</v>
      </c>
      <c r="BZ75">
        <v>478</v>
      </c>
      <c r="CA75">
        <v>290.00000000000011</v>
      </c>
      <c r="CB75">
        <v>1545.4</v>
      </c>
      <c r="CC75">
        <v>265</v>
      </c>
      <c r="CD75">
        <v>5040.8</v>
      </c>
      <c r="CE75">
        <v>1545.51</v>
      </c>
      <c r="CF75">
        <v>-0.11</v>
      </c>
      <c r="CG75">
        <v>300.00000000000011</v>
      </c>
      <c r="CH75">
        <v>23.9</v>
      </c>
      <c r="CI75">
        <v>1587.1831189461959</v>
      </c>
      <c r="CJ75">
        <v>1.4860219092544329</v>
      </c>
      <c r="CK75">
        <v>-21.00637756102191</v>
      </c>
      <c r="CL75">
        <v>0.65526792169453973</v>
      </c>
      <c r="CM75">
        <v>0.97347720435875251</v>
      </c>
      <c r="CN75">
        <v>-3.9272507230255884E-3</v>
      </c>
      <c r="CO75">
        <v>289.99999999999989</v>
      </c>
      <c r="CP75">
        <v>1544.05</v>
      </c>
      <c r="CQ75">
        <v>735</v>
      </c>
      <c r="CR75">
        <v>5040.24</v>
      </c>
      <c r="CS75">
        <v>1545.51</v>
      </c>
      <c r="CT75">
        <v>-1.46</v>
      </c>
      <c r="DH75">
        <f t="shared" si="96"/>
        <v>1374.7167999999997</v>
      </c>
      <c r="DI75">
        <f t="shared" si="97"/>
        <v>1129.2949881013069</v>
      </c>
      <c r="DJ75">
        <f t="shared" si="98"/>
        <v>0.82147463979585267</v>
      </c>
      <c r="DK75">
        <f t="shared" si="99"/>
        <v>0.1781960548059956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1761688131.75</v>
      </c>
      <c r="DR75">
        <v>417.53550000000001</v>
      </c>
      <c r="DS75">
        <v>420.00523333333331</v>
      </c>
      <c r="DT75">
        <v>16.557416666666668</v>
      </c>
      <c r="DU75">
        <v>16.067963333333331</v>
      </c>
      <c r="DV75">
        <v>416.70326666666671</v>
      </c>
      <c r="DW75">
        <v>16.36958666666667</v>
      </c>
      <c r="DX75">
        <v>500.01703333333342</v>
      </c>
      <c r="DY75">
        <v>91.1444166666667</v>
      </c>
      <c r="DZ75">
        <v>3.8664703333333328E-2</v>
      </c>
      <c r="EA75">
        <v>24.169946666666661</v>
      </c>
      <c r="EB75">
        <v>24.065873333333339</v>
      </c>
      <c r="EC75">
        <v>999.9000000000002</v>
      </c>
      <c r="ED75">
        <v>0</v>
      </c>
      <c r="EE75">
        <v>0</v>
      </c>
      <c r="EF75">
        <v>10005.14366666667</v>
      </c>
      <c r="EG75">
        <v>0</v>
      </c>
      <c r="EH75">
        <v>1074.7439999999999</v>
      </c>
      <c r="EI75">
        <v>-2.469698333333334</v>
      </c>
      <c r="EJ75">
        <v>424.56513333333328</v>
      </c>
      <c r="EK75">
        <v>426.86403333333328</v>
      </c>
      <c r="EL75">
        <v>0.4894565666666667</v>
      </c>
      <c r="EM75">
        <v>420.00523333333331</v>
      </c>
      <c r="EN75">
        <v>16.067963333333331</v>
      </c>
      <c r="EO75">
        <v>1.509115666666667</v>
      </c>
      <c r="EP75">
        <v>1.4645049999999999</v>
      </c>
      <c r="EQ75">
        <v>13.06083333333333</v>
      </c>
      <c r="ER75">
        <v>12.60252666666667</v>
      </c>
      <c r="ES75">
        <v>299.97279999999989</v>
      </c>
      <c r="ET75">
        <v>0.90001859999999989</v>
      </c>
      <c r="EU75">
        <v>9.998126000000003E-2</v>
      </c>
      <c r="EV75">
        <v>0</v>
      </c>
      <c r="EW75">
        <v>1099.8800000000001</v>
      </c>
      <c r="EX75">
        <v>5.0005600000000019</v>
      </c>
      <c r="EY75">
        <v>3330.9196666666671</v>
      </c>
      <c r="EZ75">
        <v>2492.1946666666672</v>
      </c>
      <c r="FA75">
        <v>36.218499999999992</v>
      </c>
      <c r="FB75">
        <v>39.339299999999987</v>
      </c>
      <c r="FC75">
        <v>37.635333333333328</v>
      </c>
      <c r="FD75">
        <v>38.397733333333328</v>
      </c>
      <c r="FE75">
        <v>37.682899999999997</v>
      </c>
      <c r="FF75">
        <v>265.48100000000011</v>
      </c>
      <c r="FG75">
        <v>29.49</v>
      </c>
      <c r="FH75">
        <v>0</v>
      </c>
      <c r="FI75">
        <v>127.2000000476837</v>
      </c>
      <c r="FJ75">
        <v>0</v>
      </c>
      <c r="FK75">
        <v>1099.8812</v>
      </c>
      <c r="FL75">
        <v>4.016923078035056</v>
      </c>
      <c r="FM75">
        <v>12.35461544503832</v>
      </c>
      <c r="FN75">
        <v>3330.9391999999998</v>
      </c>
      <c r="FO75">
        <v>15</v>
      </c>
      <c r="FP75">
        <v>0</v>
      </c>
      <c r="FQ75" t="s">
        <v>441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-2.4891779999999999</v>
      </c>
      <c r="GD75">
        <v>0.28810288930581962</v>
      </c>
      <c r="GE75">
        <v>5.294659064566859E-2</v>
      </c>
      <c r="GF75">
        <v>1</v>
      </c>
      <c r="GG75">
        <v>1099.707058823529</v>
      </c>
      <c r="GH75">
        <v>3.5712757836575402</v>
      </c>
      <c r="GI75">
        <v>0.41817903154289748</v>
      </c>
      <c r="GJ75">
        <v>0</v>
      </c>
      <c r="GK75">
        <v>0.48508167499999999</v>
      </c>
      <c r="GL75">
        <v>7.8438765478423128E-2</v>
      </c>
      <c r="GM75">
        <v>7.9533851138603277E-3</v>
      </c>
      <c r="GN75">
        <v>1</v>
      </c>
      <c r="GO75">
        <v>2</v>
      </c>
      <c r="GP75">
        <v>3</v>
      </c>
      <c r="GQ75" t="s">
        <v>479</v>
      </c>
      <c r="GR75">
        <v>3.1287600000000002</v>
      </c>
      <c r="GS75">
        <v>2.7164199999999998</v>
      </c>
      <c r="GT75">
        <v>8.5823099999999999E-2</v>
      </c>
      <c r="GU75">
        <v>8.6783700000000005E-2</v>
      </c>
      <c r="GV75">
        <v>8.2747399999999999E-2</v>
      </c>
      <c r="GW75">
        <v>8.1681900000000002E-2</v>
      </c>
      <c r="GX75">
        <v>27451.599999999999</v>
      </c>
      <c r="GY75">
        <v>26511</v>
      </c>
      <c r="GZ75">
        <v>30570.400000000001</v>
      </c>
      <c r="HA75">
        <v>29283.9</v>
      </c>
      <c r="HB75">
        <v>38688.5</v>
      </c>
      <c r="HC75">
        <v>35400</v>
      </c>
      <c r="HD75">
        <v>46744.4</v>
      </c>
      <c r="HE75">
        <v>43529.9</v>
      </c>
      <c r="HF75">
        <v>1.8324499999999999</v>
      </c>
      <c r="HG75">
        <v>1.8643700000000001</v>
      </c>
      <c r="HH75">
        <v>2.4605499999999999E-2</v>
      </c>
      <c r="HI75">
        <v>0</v>
      </c>
      <c r="HJ75">
        <v>23.653500000000001</v>
      </c>
      <c r="HK75">
        <v>999.9</v>
      </c>
      <c r="HL75">
        <v>38.799999999999997</v>
      </c>
      <c r="HM75">
        <v>30.5</v>
      </c>
      <c r="HN75">
        <v>18.663499999999999</v>
      </c>
      <c r="HO75">
        <v>63.067900000000002</v>
      </c>
      <c r="HP75">
        <v>17.892600000000002</v>
      </c>
      <c r="HQ75">
        <v>1</v>
      </c>
      <c r="HR75">
        <v>0.139876</v>
      </c>
      <c r="HS75">
        <v>2.3910800000000001</v>
      </c>
      <c r="HT75">
        <v>20.2028</v>
      </c>
      <c r="HU75">
        <v>5.2355600000000004</v>
      </c>
      <c r="HV75">
        <v>11.9749</v>
      </c>
      <c r="HW75">
        <v>4.9729999999999999</v>
      </c>
      <c r="HX75">
        <v>3.2909999999999999</v>
      </c>
      <c r="HY75">
        <v>9999</v>
      </c>
      <c r="HZ75">
        <v>9999</v>
      </c>
      <c r="IA75">
        <v>9999</v>
      </c>
      <c r="IB75">
        <v>999.9</v>
      </c>
      <c r="IC75">
        <v>4.97295</v>
      </c>
      <c r="ID75">
        <v>1.8772899999999999</v>
      </c>
      <c r="IE75">
        <v>1.87534</v>
      </c>
      <c r="IF75">
        <v>1.87819</v>
      </c>
      <c r="IG75">
        <v>1.8748499999999999</v>
      </c>
      <c r="IH75">
        <v>1.8784799999999999</v>
      </c>
      <c r="II75">
        <v>1.8755500000000001</v>
      </c>
      <c r="IJ75">
        <v>1.8768</v>
      </c>
      <c r="IK75">
        <v>0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0.83299999999999996</v>
      </c>
      <c r="IY75">
        <v>0.18790000000000001</v>
      </c>
      <c r="IZ75">
        <v>6.1933660764125778E-2</v>
      </c>
      <c r="JA75">
        <v>2.058711587971173E-3</v>
      </c>
      <c r="JB75">
        <v>-6.1309262243104059E-7</v>
      </c>
      <c r="JC75">
        <v>2.6183910446277612E-10</v>
      </c>
      <c r="JD75">
        <v>3.5078820932035488E-4</v>
      </c>
      <c r="JE75">
        <v>-4.3284922736758413E-3</v>
      </c>
      <c r="JF75">
        <v>1.4186339569364E-3</v>
      </c>
      <c r="JG75">
        <v>-2.7770646863349432E-5</v>
      </c>
      <c r="JH75">
        <v>2</v>
      </c>
      <c r="JI75">
        <v>2136</v>
      </c>
      <c r="JJ75">
        <v>1</v>
      </c>
      <c r="JK75">
        <v>19</v>
      </c>
      <c r="JL75">
        <v>29361469</v>
      </c>
      <c r="JM75">
        <v>29361469</v>
      </c>
      <c r="JN75">
        <v>1.1071800000000001</v>
      </c>
      <c r="JO75">
        <v>2.5500500000000001</v>
      </c>
      <c r="JP75">
        <v>1.39893</v>
      </c>
      <c r="JQ75">
        <v>2.3278799999999999</v>
      </c>
      <c r="JR75">
        <v>1.4489700000000001</v>
      </c>
      <c r="JS75">
        <v>2.5708000000000002</v>
      </c>
      <c r="JT75">
        <v>36.505099999999999</v>
      </c>
      <c r="JU75">
        <v>23.912400000000002</v>
      </c>
      <c r="JV75">
        <v>18</v>
      </c>
      <c r="JW75">
        <v>482.67</v>
      </c>
      <c r="JX75">
        <v>473.63600000000002</v>
      </c>
      <c r="JY75">
        <v>21.63</v>
      </c>
      <c r="JZ75">
        <v>28.971599999999999</v>
      </c>
      <c r="KA75">
        <v>30.0002</v>
      </c>
      <c r="KB75">
        <v>28.721299999999999</v>
      </c>
      <c r="KC75">
        <v>28.799399999999999</v>
      </c>
      <c r="KD75">
        <v>22.1904</v>
      </c>
      <c r="KE75">
        <v>22.104199999999999</v>
      </c>
      <c r="KF75">
        <v>67.979799999999997</v>
      </c>
      <c r="KG75">
        <v>21.617699999999999</v>
      </c>
      <c r="KH75">
        <v>420</v>
      </c>
      <c r="KI75">
        <v>16.009</v>
      </c>
      <c r="KJ75">
        <v>101.036</v>
      </c>
      <c r="KK75">
        <v>100.11199999999999</v>
      </c>
    </row>
    <row r="76" spans="1:297" x14ac:dyDescent="0.3">
      <c r="A76">
        <v>60</v>
      </c>
      <c r="B76">
        <v>1761688269</v>
      </c>
      <c r="C76">
        <v>10819</v>
      </c>
      <c r="D76" t="s">
        <v>682</v>
      </c>
      <c r="E76" t="s">
        <v>683</v>
      </c>
      <c r="F76">
        <v>5</v>
      </c>
      <c r="G76" t="s">
        <v>655</v>
      </c>
      <c r="H76" t="s">
        <v>436</v>
      </c>
      <c r="I76">
        <v>1761688261.25</v>
      </c>
      <c r="J76">
        <f t="shared" si="50"/>
        <v>3.6864904373934898E-4</v>
      </c>
      <c r="K76">
        <f t="shared" si="51"/>
        <v>0.36864904373934898</v>
      </c>
      <c r="L76">
        <f t="shared" si="52"/>
        <v>0.87465984187047696</v>
      </c>
      <c r="M76">
        <f t="shared" si="53"/>
        <v>418.74776666666668</v>
      </c>
      <c r="N76">
        <f t="shared" si="54"/>
        <v>331.56811242944036</v>
      </c>
      <c r="O76">
        <f t="shared" si="55"/>
        <v>30.235346502919754</v>
      </c>
      <c r="P76">
        <f t="shared" si="56"/>
        <v>38.185167233730269</v>
      </c>
      <c r="Q76">
        <f t="shared" si="57"/>
        <v>1.8650316431511445E-2</v>
      </c>
      <c r="R76">
        <f t="shared" si="58"/>
        <v>2.7699062143394344</v>
      </c>
      <c r="S76">
        <f t="shared" si="59"/>
        <v>1.8580832528021434E-2</v>
      </c>
      <c r="T76">
        <f t="shared" si="60"/>
        <v>1.1619241512242074E-2</v>
      </c>
      <c r="U76">
        <f t="shared" si="61"/>
        <v>218.22279791537332</v>
      </c>
      <c r="V76">
        <f t="shared" si="62"/>
        <v>25.440004315835534</v>
      </c>
      <c r="W76">
        <f t="shared" si="63"/>
        <v>25.440004315835534</v>
      </c>
      <c r="X76">
        <f t="shared" si="64"/>
        <v>3.2640512423093906</v>
      </c>
      <c r="Y76">
        <f t="shared" si="65"/>
        <v>49.607371406872005</v>
      </c>
      <c r="Z76">
        <f t="shared" si="66"/>
        <v>1.5021175022901003</v>
      </c>
      <c r="AA76">
        <f t="shared" si="67"/>
        <v>3.0280126918436463</v>
      </c>
      <c r="AB76">
        <f t="shared" si="68"/>
        <v>1.7619337400192903</v>
      </c>
      <c r="AC76">
        <f t="shared" si="69"/>
        <v>-16.257422828905291</v>
      </c>
      <c r="AD76">
        <f t="shared" si="70"/>
        <v>-187.74578204407351</v>
      </c>
      <c r="AE76">
        <f t="shared" si="71"/>
        <v>-14.310082697026711</v>
      </c>
      <c r="AF76">
        <f t="shared" si="72"/>
        <v>-9.0489654632165184E-2</v>
      </c>
      <c r="AG76">
        <f t="shared" si="73"/>
        <v>0.87017492477610936</v>
      </c>
      <c r="AH76">
        <f t="shared" si="74"/>
        <v>0.37565311944522412</v>
      </c>
      <c r="AI76">
        <f t="shared" si="75"/>
        <v>0.87465984187047696</v>
      </c>
      <c r="AJ76">
        <v>426.85745875834408</v>
      </c>
      <c r="AK76">
        <v>425.78961818181818</v>
      </c>
      <c r="AL76">
        <v>2.4755505607514512E-4</v>
      </c>
      <c r="AM76">
        <v>64.979418720852607</v>
      </c>
      <c r="AN76">
        <f t="shared" si="76"/>
        <v>0.36864904373934898</v>
      </c>
      <c r="AO76">
        <v>16.028318270748521</v>
      </c>
      <c r="AP76">
        <v>16.464349650349661</v>
      </c>
      <c r="AQ76">
        <v>-1.3342973300582811E-4</v>
      </c>
      <c r="AR76">
        <v>96.606904934634102</v>
      </c>
      <c r="AS76">
        <v>0</v>
      </c>
      <c r="AT76">
        <v>0</v>
      </c>
      <c r="AU76">
        <f t="shared" si="77"/>
        <v>1</v>
      </c>
      <c r="AV76">
        <f t="shared" si="78"/>
        <v>0</v>
      </c>
      <c r="AW76">
        <f t="shared" si="79"/>
        <v>48662.286153431851</v>
      </c>
      <c r="AX76" t="s">
        <v>652</v>
      </c>
      <c r="AY76">
        <v>5006.1899999999996</v>
      </c>
      <c r="AZ76">
        <v>628</v>
      </c>
      <c r="BA76">
        <v>1707.645840355314</v>
      </c>
      <c r="BB76">
        <f t="shared" si="80"/>
        <v>0.63224224534208417</v>
      </c>
      <c r="BC76">
        <v>-2.7018521291296791</v>
      </c>
      <c r="BD76" t="s">
        <v>684</v>
      </c>
      <c r="BE76">
        <v>5027.0600000000004</v>
      </c>
      <c r="BF76">
        <v>893.96584000000007</v>
      </c>
      <c r="BG76">
        <v>1612.454924370109</v>
      </c>
      <c r="BH76">
        <f t="shared" si="81"/>
        <v>0.44558708185333007</v>
      </c>
      <c r="BI76">
        <v>0.5</v>
      </c>
      <c r="BJ76">
        <f t="shared" si="82"/>
        <v>1006.2253482290359</v>
      </c>
      <c r="BK76">
        <f t="shared" si="83"/>
        <v>0.87465984187047696</v>
      </c>
      <c r="BL76">
        <f t="shared" si="84"/>
        <v>224.18050830211351</v>
      </c>
      <c r="BM76">
        <f t="shared" si="85"/>
        <v>3.5543846885738302E-3</v>
      </c>
      <c r="BN76">
        <f t="shared" si="86"/>
        <v>5.9034776443372836E-2</v>
      </c>
      <c r="BO76">
        <f t="shared" si="87"/>
        <v>614.6555232108384</v>
      </c>
      <c r="BP76" t="s">
        <v>685</v>
      </c>
      <c r="BQ76">
        <v>745.87</v>
      </c>
      <c r="BR76">
        <f t="shared" si="88"/>
        <v>745.87</v>
      </c>
      <c r="BS76">
        <f t="shared" si="89"/>
        <v>0.53743203067126522</v>
      </c>
      <c r="BT76">
        <f t="shared" si="90"/>
        <v>0.82910406604679177</v>
      </c>
      <c r="BU76">
        <f t="shared" si="91"/>
        <v>9.8974118491100951E-2</v>
      </c>
      <c r="BV76">
        <f t="shared" si="92"/>
        <v>0.7298344155572436</v>
      </c>
      <c r="BW76">
        <f t="shared" si="93"/>
        <v>8.8168649780447889E-2</v>
      </c>
      <c r="BX76">
        <f t="shared" si="94"/>
        <v>0.69175333337381284</v>
      </c>
      <c r="BY76">
        <f t="shared" si="95"/>
        <v>0.30824666662618716</v>
      </c>
      <c r="BZ76">
        <v>480</v>
      </c>
      <c r="CA76">
        <v>290.00000000000011</v>
      </c>
      <c r="CB76">
        <v>1568.19</v>
      </c>
      <c r="CC76">
        <v>275</v>
      </c>
      <c r="CD76">
        <v>5027.0600000000004</v>
      </c>
      <c r="CE76">
        <v>1567.63</v>
      </c>
      <c r="CF76">
        <v>0.56000000000000005</v>
      </c>
      <c r="CG76">
        <v>300.00000000000011</v>
      </c>
      <c r="CH76">
        <v>23.9</v>
      </c>
      <c r="CI76">
        <v>1612.454924370109</v>
      </c>
      <c r="CJ76">
        <v>1.606705128202873</v>
      </c>
      <c r="CK76">
        <v>-22.531255161165021</v>
      </c>
      <c r="CL76">
        <v>0.70312408584826935</v>
      </c>
      <c r="CM76">
        <v>0.97345593053857038</v>
      </c>
      <c r="CN76">
        <v>-4.0404035595105678E-3</v>
      </c>
      <c r="CO76">
        <v>289.99999999999989</v>
      </c>
      <c r="CP76">
        <v>1565.42</v>
      </c>
      <c r="CQ76">
        <v>665</v>
      </c>
      <c r="CR76">
        <v>5026.93</v>
      </c>
      <c r="CS76">
        <v>1567.63</v>
      </c>
      <c r="CT76">
        <v>-2.21</v>
      </c>
      <c r="DH76">
        <f t="shared" si="96"/>
        <v>1224.9366666666663</v>
      </c>
      <c r="DI76">
        <f t="shared" si="97"/>
        <v>1006.2253482290359</v>
      </c>
      <c r="DJ76">
        <f t="shared" si="98"/>
        <v>0.82145091710513163</v>
      </c>
      <c r="DK76">
        <f t="shared" si="99"/>
        <v>0.17815027001290412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1761688261.25</v>
      </c>
      <c r="DR76">
        <v>418.74776666666668</v>
      </c>
      <c r="DS76">
        <v>419.98070000000001</v>
      </c>
      <c r="DT76">
        <v>16.472583333333329</v>
      </c>
      <c r="DU76">
        <v>16.029240000000001</v>
      </c>
      <c r="DV76">
        <v>417.91333333333318</v>
      </c>
      <c r="DW76">
        <v>16.28641</v>
      </c>
      <c r="DX76">
        <v>500.01673333333332</v>
      </c>
      <c r="DY76">
        <v>91.150633333333346</v>
      </c>
      <c r="DZ76">
        <v>3.8312073333333342E-2</v>
      </c>
      <c r="EA76">
        <v>24.182760000000009</v>
      </c>
      <c r="EB76">
        <v>24.014330000000001</v>
      </c>
      <c r="EC76">
        <v>999.9000000000002</v>
      </c>
      <c r="ED76">
        <v>0</v>
      </c>
      <c r="EE76">
        <v>0</v>
      </c>
      <c r="EF76">
        <v>10001.60766666667</v>
      </c>
      <c r="EG76">
        <v>0</v>
      </c>
      <c r="EH76">
        <v>1074.950333333333</v>
      </c>
      <c r="EI76">
        <v>-1.232893</v>
      </c>
      <c r="EJ76">
        <v>425.76116666666672</v>
      </c>
      <c r="EK76">
        <v>426.82213333333323</v>
      </c>
      <c r="EL76">
        <v>0.44334556666666658</v>
      </c>
      <c r="EM76">
        <v>419.98070000000001</v>
      </c>
      <c r="EN76">
        <v>16.029240000000001</v>
      </c>
      <c r="EO76">
        <v>1.501486333333333</v>
      </c>
      <c r="EP76">
        <v>1.4610753333333339</v>
      </c>
      <c r="EQ76">
        <v>12.983306666666669</v>
      </c>
      <c r="ER76">
        <v>12.56677333333333</v>
      </c>
      <c r="ES76">
        <v>149.98633333333331</v>
      </c>
      <c r="ET76">
        <v>0.89995286666666696</v>
      </c>
      <c r="EU76">
        <v>0.1000472266666667</v>
      </c>
      <c r="EV76">
        <v>0</v>
      </c>
      <c r="EW76">
        <v>893.96933333333334</v>
      </c>
      <c r="EX76">
        <v>5.0005600000000019</v>
      </c>
      <c r="EY76">
        <v>1426.286666666666</v>
      </c>
      <c r="EZ76">
        <v>1224.9469999999999</v>
      </c>
      <c r="FA76">
        <v>35.528933333333327</v>
      </c>
      <c r="FB76">
        <v>38.962199999999982</v>
      </c>
      <c r="FC76">
        <v>37.103999999999999</v>
      </c>
      <c r="FD76">
        <v>38.091399999999993</v>
      </c>
      <c r="FE76">
        <v>37.145666666666664</v>
      </c>
      <c r="FF76">
        <v>130.4793333333333</v>
      </c>
      <c r="FG76">
        <v>14.507999999999999</v>
      </c>
      <c r="FH76">
        <v>0</v>
      </c>
      <c r="FI76">
        <v>127.2000000476837</v>
      </c>
      <c r="FJ76">
        <v>0</v>
      </c>
      <c r="FK76">
        <v>893.96584000000007</v>
      </c>
      <c r="FL76">
        <v>2.409384617396181</v>
      </c>
      <c r="FM76">
        <v>-1.9923077337219119</v>
      </c>
      <c r="FN76">
        <v>1426.3448000000001</v>
      </c>
      <c r="FO76">
        <v>15</v>
      </c>
      <c r="FP76">
        <v>0</v>
      </c>
      <c r="FQ76" t="s">
        <v>441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-1.265884</v>
      </c>
      <c r="GD76">
        <v>0.39930236397748942</v>
      </c>
      <c r="GE76">
        <v>5.4574154313191132E-2</v>
      </c>
      <c r="GF76">
        <v>1</v>
      </c>
      <c r="GG76">
        <v>893.87097058823531</v>
      </c>
      <c r="GH76">
        <v>2.020183354351293</v>
      </c>
      <c r="GI76">
        <v>0.29423784749696819</v>
      </c>
      <c r="GJ76">
        <v>0</v>
      </c>
      <c r="GK76">
        <v>0.45579665000000003</v>
      </c>
      <c r="GL76">
        <v>-0.20050908067542239</v>
      </c>
      <c r="GM76">
        <v>2.0674887170852949E-2</v>
      </c>
      <c r="GN76">
        <v>0</v>
      </c>
      <c r="GO76">
        <v>1</v>
      </c>
      <c r="GP76">
        <v>3</v>
      </c>
      <c r="GQ76" t="s">
        <v>442</v>
      </c>
      <c r="GR76">
        <v>3.1288100000000001</v>
      </c>
      <c r="GS76">
        <v>2.7162199999999999</v>
      </c>
      <c r="GT76">
        <v>8.6018800000000006E-2</v>
      </c>
      <c r="GU76">
        <v>8.6771799999999996E-2</v>
      </c>
      <c r="GV76">
        <v>8.2401600000000005E-2</v>
      </c>
      <c r="GW76">
        <v>8.1719E-2</v>
      </c>
      <c r="GX76">
        <v>27447.8</v>
      </c>
      <c r="GY76">
        <v>26511.8</v>
      </c>
      <c r="GZ76">
        <v>30572.6</v>
      </c>
      <c r="HA76">
        <v>29284.2</v>
      </c>
      <c r="HB76">
        <v>38705.800000000003</v>
      </c>
      <c r="HC76">
        <v>35399.199999999997</v>
      </c>
      <c r="HD76">
        <v>46747.6</v>
      </c>
      <c r="HE76">
        <v>43530.6</v>
      </c>
      <c r="HF76">
        <v>1.8328</v>
      </c>
      <c r="HG76">
        <v>1.86497</v>
      </c>
      <c r="HH76">
        <v>1.35228E-2</v>
      </c>
      <c r="HI76">
        <v>0</v>
      </c>
      <c r="HJ76">
        <v>23.783100000000001</v>
      </c>
      <c r="HK76">
        <v>999.9</v>
      </c>
      <c r="HL76">
        <v>39.200000000000003</v>
      </c>
      <c r="HM76">
        <v>30.5</v>
      </c>
      <c r="HN76">
        <v>18.857199999999999</v>
      </c>
      <c r="HO76">
        <v>63.417900000000003</v>
      </c>
      <c r="HP76">
        <v>17.900600000000001</v>
      </c>
      <c r="HQ76">
        <v>1</v>
      </c>
      <c r="HR76">
        <v>0.13811999999999999</v>
      </c>
      <c r="HS76">
        <v>2.1264500000000002</v>
      </c>
      <c r="HT76">
        <v>20.207599999999999</v>
      </c>
      <c r="HU76">
        <v>5.2360100000000003</v>
      </c>
      <c r="HV76">
        <v>11.975199999999999</v>
      </c>
      <c r="HW76">
        <v>4.9718499999999999</v>
      </c>
      <c r="HX76">
        <v>3.2909999999999999</v>
      </c>
      <c r="HY76">
        <v>9999</v>
      </c>
      <c r="HZ76">
        <v>9999</v>
      </c>
      <c r="IA76">
        <v>9999</v>
      </c>
      <c r="IB76">
        <v>999.9</v>
      </c>
      <c r="IC76">
        <v>4.9729700000000001</v>
      </c>
      <c r="ID76">
        <v>1.8772899999999999</v>
      </c>
      <c r="IE76">
        <v>1.8754</v>
      </c>
      <c r="IF76">
        <v>1.8782000000000001</v>
      </c>
      <c r="IG76">
        <v>1.8748899999999999</v>
      </c>
      <c r="IH76">
        <v>1.8785000000000001</v>
      </c>
      <c r="II76">
        <v>1.8755999999999999</v>
      </c>
      <c r="IJ76">
        <v>1.8768199999999999</v>
      </c>
      <c r="IK76">
        <v>0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0.83399999999999996</v>
      </c>
      <c r="IY76">
        <v>0.186</v>
      </c>
      <c r="IZ76">
        <v>6.1933660764125778E-2</v>
      </c>
      <c r="JA76">
        <v>2.058711587971173E-3</v>
      </c>
      <c r="JB76">
        <v>-6.1309262243104059E-7</v>
      </c>
      <c r="JC76">
        <v>2.6183910446277612E-10</v>
      </c>
      <c r="JD76">
        <v>3.5078820932035488E-4</v>
      </c>
      <c r="JE76">
        <v>-4.3284922736758413E-3</v>
      </c>
      <c r="JF76">
        <v>1.4186339569364E-3</v>
      </c>
      <c r="JG76">
        <v>-2.7770646863349432E-5</v>
      </c>
      <c r="JH76">
        <v>2</v>
      </c>
      <c r="JI76">
        <v>2136</v>
      </c>
      <c r="JJ76">
        <v>1</v>
      </c>
      <c r="JK76">
        <v>19</v>
      </c>
      <c r="JL76">
        <v>29361471.100000001</v>
      </c>
      <c r="JM76">
        <v>29361471.100000001</v>
      </c>
      <c r="JN76">
        <v>1.1071800000000001</v>
      </c>
      <c r="JO76">
        <v>2.5537100000000001</v>
      </c>
      <c r="JP76">
        <v>1.39893</v>
      </c>
      <c r="JQ76">
        <v>2.3278799999999999</v>
      </c>
      <c r="JR76">
        <v>1.4489700000000001</v>
      </c>
      <c r="JS76">
        <v>2.50732</v>
      </c>
      <c r="JT76">
        <v>36.481400000000001</v>
      </c>
      <c r="JU76">
        <v>23.903600000000001</v>
      </c>
      <c r="JV76">
        <v>18</v>
      </c>
      <c r="JW76">
        <v>482.75</v>
      </c>
      <c r="JX76">
        <v>473.892</v>
      </c>
      <c r="JY76">
        <v>21.753</v>
      </c>
      <c r="JZ76">
        <v>28.956800000000001</v>
      </c>
      <c r="KA76">
        <v>29.999600000000001</v>
      </c>
      <c r="KB76">
        <v>28.7041</v>
      </c>
      <c r="KC76">
        <v>28.7822</v>
      </c>
      <c r="KD76">
        <v>22.196999999999999</v>
      </c>
      <c r="KE76">
        <v>23.532499999999999</v>
      </c>
      <c r="KF76">
        <v>69.103700000000003</v>
      </c>
      <c r="KG76">
        <v>21.776</v>
      </c>
      <c r="KH76">
        <v>420</v>
      </c>
      <c r="KI76">
        <v>16.101700000000001</v>
      </c>
      <c r="KJ76">
        <v>101.04300000000001</v>
      </c>
      <c r="KK76">
        <v>100.113</v>
      </c>
    </row>
    <row r="77" spans="1:297" x14ac:dyDescent="0.3">
      <c r="A77">
        <v>61</v>
      </c>
      <c r="B77">
        <v>1761688372.5</v>
      </c>
      <c r="C77">
        <v>10922.5</v>
      </c>
      <c r="D77" t="s">
        <v>686</v>
      </c>
      <c r="E77" t="s">
        <v>687</v>
      </c>
      <c r="F77">
        <v>5</v>
      </c>
      <c r="G77" t="s">
        <v>655</v>
      </c>
      <c r="H77" t="s">
        <v>436</v>
      </c>
      <c r="I77">
        <v>1761688364.75</v>
      </c>
      <c r="J77">
        <f t="shared" si="50"/>
        <v>3.3139218111922635E-4</v>
      </c>
      <c r="K77">
        <f t="shared" si="51"/>
        <v>0.33139218111922636</v>
      </c>
      <c r="L77">
        <f t="shared" si="52"/>
        <v>-0.83974938945190525</v>
      </c>
      <c r="M77">
        <f t="shared" si="53"/>
        <v>420.79983333333342</v>
      </c>
      <c r="N77">
        <f t="shared" si="54"/>
        <v>485.90163253572797</v>
      </c>
      <c r="O77">
        <f t="shared" si="55"/>
        <v>44.307742701362379</v>
      </c>
      <c r="P77">
        <f t="shared" si="56"/>
        <v>38.371327642614133</v>
      </c>
      <c r="Q77">
        <f t="shared" si="57"/>
        <v>1.6995534776153322E-2</v>
      </c>
      <c r="R77">
        <f t="shared" si="58"/>
        <v>2.7693813211813563</v>
      </c>
      <c r="S77">
        <f t="shared" si="59"/>
        <v>1.6937802525705467E-2</v>
      </c>
      <c r="T77">
        <f t="shared" si="60"/>
        <v>1.0591297163832749E-2</v>
      </c>
      <c r="U77">
        <f t="shared" si="61"/>
        <v>200.19232242628547</v>
      </c>
      <c r="V77">
        <f t="shared" si="62"/>
        <v>25.353149564160585</v>
      </c>
      <c r="W77">
        <f t="shared" si="63"/>
        <v>25.353149564160585</v>
      </c>
      <c r="X77">
        <f t="shared" si="64"/>
        <v>3.2472430442735778</v>
      </c>
      <c r="Y77">
        <f t="shared" si="65"/>
        <v>49.812697909091817</v>
      </c>
      <c r="Z77">
        <f t="shared" si="66"/>
        <v>1.5096895413847988</v>
      </c>
      <c r="AA77">
        <f t="shared" si="67"/>
        <v>3.0307323328280322</v>
      </c>
      <c r="AB77">
        <f t="shared" si="68"/>
        <v>1.737553502888779</v>
      </c>
      <c r="AC77">
        <f t="shared" si="69"/>
        <v>-14.614395187357882</v>
      </c>
      <c r="AD77">
        <f t="shared" si="70"/>
        <v>-172.50797290082997</v>
      </c>
      <c r="AE77">
        <f t="shared" si="71"/>
        <v>-13.146370648120692</v>
      </c>
      <c r="AF77">
        <f t="shared" si="72"/>
        <v>-7.6416310023063261E-2</v>
      </c>
      <c r="AG77">
        <f t="shared" si="73"/>
        <v>-0.80077017736474199</v>
      </c>
      <c r="AH77">
        <f t="shared" si="74"/>
        <v>0.33795512611294742</v>
      </c>
      <c r="AI77">
        <f t="shared" si="75"/>
        <v>-0.83974938945190525</v>
      </c>
      <c r="AJ77">
        <v>426.91799720003672</v>
      </c>
      <c r="AK77">
        <v>427.94098787878761</v>
      </c>
      <c r="AL77">
        <v>2.614311322394361E-4</v>
      </c>
      <c r="AM77">
        <v>64.979418720852607</v>
      </c>
      <c r="AN77">
        <f t="shared" si="76"/>
        <v>0.33139218111922636</v>
      </c>
      <c r="AO77">
        <v>16.154942980290041</v>
      </c>
      <c r="AP77">
        <v>16.54630209790211</v>
      </c>
      <c r="AQ77">
        <v>-3.7951258230401461E-5</v>
      </c>
      <c r="AR77">
        <v>96.606904934634102</v>
      </c>
      <c r="AS77">
        <v>0</v>
      </c>
      <c r="AT77">
        <v>0</v>
      </c>
      <c r="AU77">
        <f t="shared" si="77"/>
        <v>1</v>
      </c>
      <c r="AV77">
        <f t="shared" si="78"/>
        <v>0</v>
      </c>
      <c r="AW77">
        <f t="shared" si="79"/>
        <v>48645.333991174346</v>
      </c>
      <c r="AX77" t="s">
        <v>652</v>
      </c>
      <c r="AY77">
        <v>5006.1899999999996</v>
      </c>
      <c r="AZ77">
        <v>628</v>
      </c>
      <c r="BA77">
        <v>1707.645840355314</v>
      </c>
      <c r="BB77">
        <f t="shared" si="80"/>
        <v>0.63224224534208417</v>
      </c>
      <c r="BC77">
        <v>-2.7018521291296791</v>
      </c>
      <c r="BD77" t="s">
        <v>688</v>
      </c>
      <c r="BE77">
        <v>5018.21</v>
      </c>
      <c r="BF77">
        <v>804.53571999999986</v>
      </c>
      <c r="BG77">
        <v>1645.6338813574221</v>
      </c>
      <c r="BH77">
        <f t="shared" si="81"/>
        <v>0.51110892336734803</v>
      </c>
      <c r="BI77">
        <v>0.5</v>
      </c>
      <c r="BJ77">
        <f t="shared" si="82"/>
        <v>923.97369516646927</v>
      </c>
      <c r="BK77">
        <f t="shared" si="83"/>
        <v>-0.83974938945190525</v>
      </c>
      <c r="BL77">
        <f t="shared" si="84"/>
        <v>236.12560027814217</v>
      </c>
      <c r="BM77">
        <f t="shared" si="85"/>
        <v>2.0153200782867362E-3</v>
      </c>
      <c r="BN77">
        <f t="shared" si="86"/>
        <v>3.768271892089424E-2</v>
      </c>
      <c r="BO77">
        <f t="shared" si="87"/>
        <v>619.41606276580364</v>
      </c>
      <c r="BP77" t="s">
        <v>689</v>
      </c>
      <c r="BQ77">
        <v>735.33</v>
      </c>
      <c r="BR77">
        <f t="shared" si="88"/>
        <v>735.33</v>
      </c>
      <c r="BS77">
        <f t="shared" si="89"/>
        <v>0.55316306480427246</v>
      </c>
      <c r="BT77">
        <f t="shared" si="90"/>
        <v>0.92397514564388983</v>
      </c>
      <c r="BU77">
        <f t="shared" si="91"/>
        <v>6.3777587923725371E-2</v>
      </c>
      <c r="BV77">
        <f t="shared" si="92"/>
        <v>0.82652334672218375</v>
      </c>
      <c r="BW77">
        <f t="shared" si="93"/>
        <v>5.7437315719647164E-2</v>
      </c>
      <c r="BX77">
        <f t="shared" si="94"/>
        <v>0.84449531196243433</v>
      </c>
      <c r="BY77">
        <f t="shared" si="95"/>
        <v>0.15550468803756567</v>
      </c>
      <c r="BZ77">
        <v>482</v>
      </c>
      <c r="CA77">
        <v>290.00000000000011</v>
      </c>
      <c r="CB77">
        <v>1598.25</v>
      </c>
      <c r="CC77">
        <v>235</v>
      </c>
      <c r="CD77">
        <v>5018.21</v>
      </c>
      <c r="CE77">
        <v>1599.48</v>
      </c>
      <c r="CF77">
        <v>-1.23</v>
      </c>
      <c r="CG77">
        <v>300.00000000000011</v>
      </c>
      <c r="CH77">
        <v>23.9</v>
      </c>
      <c r="CI77">
        <v>1645.6338813574221</v>
      </c>
      <c r="CJ77">
        <v>1.447539862733465</v>
      </c>
      <c r="CK77">
        <v>-23.161922624123861</v>
      </c>
      <c r="CL77">
        <v>0.63024792788262307</v>
      </c>
      <c r="CM77">
        <v>0.97968952245331564</v>
      </c>
      <c r="CN77">
        <v>-4.1162865406006704E-3</v>
      </c>
      <c r="CO77">
        <v>289.99999999999989</v>
      </c>
      <c r="CP77">
        <v>1597.05</v>
      </c>
      <c r="CQ77">
        <v>675</v>
      </c>
      <c r="CR77">
        <v>5017.84</v>
      </c>
      <c r="CS77">
        <v>1599.47</v>
      </c>
      <c r="CT77">
        <v>-2.42</v>
      </c>
      <c r="DH77">
        <f t="shared" si="96"/>
        <v>1124.9436200000002</v>
      </c>
      <c r="DI77">
        <f t="shared" si="97"/>
        <v>923.97369516646927</v>
      </c>
      <c r="DJ77">
        <f t="shared" si="98"/>
        <v>0.8213511137264542</v>
      </c>
      <c r="DK77">
        <f t="shared" si="99"/>
        <v>0.1779576494920567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1761688364.75</v>
      </c>
      <c r="DR77">
        <v>420.79983333333342</v>
      </c>
      <c r="DS77">
        <v>420.00956666666667</v>
      </c>
      <c r="DT77">
        <v>16.556036666666671</v>
      </c>
      <c r="DU77">
        <v>16.157206666666671</v>
      </c>
      <c r="DV77">
        <v>419.96216666666658</v>
      </c>
      <c r="DW77">
        <v>16.368236666666672</v>
      </c>
      <c r="DX77">
        <v>500.00240000000002</v>
      </c>
      <c r="DY77">
        <v>91.148149999999987</v>
      </c>
      <c r="DZ77">
        <v>3.8501236666666667E-2</v>
      </c>
      <c r="EA77">
        <v>24.197726666666671</v>
      </c>
      <c r="EB77">
        <v>23.98456333333333</v>
      </c>
      <c r="EC77">
        <v>999.9000000000002</v>
      </c>
      <c r="ED77">
        <v>0</v>
      </c>
      <c r="EE77">
        <v>0</v>
      </c>
      <c r="EF77">
        <v>9998.7840000000015</v>
      </c>
      <c r="EG77">
        <v>0</v>
      </c>
      <c r="EH77">
        <v>1074.9376666666669</v>
      </c>
      <c r="EI77">
        <v>0.79021110000000006</v>
      </c>
      <c r="EJ77">
        <v>427.88383333333343</v>
      </c>
      <c r="EK77">
        <v>426.90723333333341</v>
      </c>
      <c r="EL77">
        <v>0.39883010000000002</v>
      </c>
      <c r="EM77">
        <v>420.00956666666667</v>
      </c>
      <c r="EN77">
        <v>16.157206666666671</v>
      </c>
      <c r="EO77">
        <v>1.5090520000000001</v>
      </c>
      <c r="EP77">
        <v>1.472698333333333</v>
      </c>
      <c r="EQ77">
        <v>13.060180000000001</v>
      </c>
      <c r="ER77">
        <v>12.68763</v>
      </c>
      <c r="ES77">
        <v>50.005953333333323</v>
      </c>
      <c r="ET77">
        <v>0.89990443333333359</v>
      </c>
      <c r="EU77">
        <v>0.10009558</v>
      </c>
      <c r="EV77">
        <v>0</v>
      </c>
      <c r="EW77">
        <v>804.51430000000005</v>
      </c>
      <c r="EX77">
        <v>5.0005600000000019</v>
      </c>
      <c r="EY77">
        <v>497.88836666666668</v>
      </c>
      <c r="EZ77">
        <v>380.23263333333318</v>
      </c>
      <c r="FA77">
        <v>35.047533333333327</v>
      </c>
      <c r="FB77">
        <v>38.660133333333327</v>
      </c>
      <c r="FC77">
        <v>36.71009999999999</v>
      </c>
      <c r="FD77">
        <v>37.847700000000003</v>
      </c>
      <c r="FE77">
        <v>36.772733333333328</v>
      </c>
      <c r="FF77">
        <v>40.502000000000002</v>
      </c>
      <c r="FG77">
        <v>4.5043333333333342</v>
      </c>
      <c r="FH77">
        <v>0</v>
      </c>
      <c r="FI77">
        <v>101.3999998569489</v>
      </c>
      <c r="FJ77">
        <v>0</v>
      </c>
      <c r="FK77">
        <v>804.53571999999986</v>
      </c>
      <c r="FL77">
        <v>-1.0384628064107129E-2</v>
      </c>
      <c r="FM77">
        <v>-0.56407699703699998</v>
      </c>
      <c r="FN77">
        <v>498.01875999999999</v>
      </c>
      <c r="FO77">
        <v>15</v>
      </c>
      <c r="FP77">
        <v>0</v>
      </c>
      <c r="FQ77" t="s">
        <v>441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0.76498880000000002</v>
      </c>
      <c r="GD77">
        <v>0.4990668742964357</v>
      </c>
      <c r="GE77">
        <v>5.9905311919812257E-2</v>
      </c>
      <c r="GF77">
        <v>1</v>
      </c>
      <c r="GG77">
        <v>804.53638235294113</v>
      </c>
      <c r="GH77">
        <v>-0.38330023432929577</v>
      </c>
      <c r="GI77">
        <v>0.21306792823303999</v>
      </c>
      <c r="GJ77">
        <v>1</v>
      </c>
      <c r="GK77">
        <v>0.40027367500000011</v>
      </c>
      <c r="GL77">
        <v>-3.4827500938088077E-2</v>
      </c>
      <c r="GM77">
        <v>3.6178946943457311E-3</v>
      </c>
      <c r="GN77">
        <v>1</v>
      </c>
      <c r="GO77">
        <v>3</v>
      </c>
      <c r="GP77">
        <v>3</v>
      </c>
      <c r="GQ77" t="s">
        <v>470</v>
      </c>
      <c r="GR77">
        <v>3.1286399999999999</v>
      </c>
      <c r="GS77">
        <v>2.71624</v>
      </c>
      <c r="GT77">
        <v>8.6345500000000006E-2</v>
      </c>
      <c r="GU77">
        <v>8.6801000000000003E-2</v>
      </c>
      <c r="GV77">
        <v>8.2693799999999998E-2</v>
      </c>
      <c r="GW77">
        <v>8.2007899999999995E-2</v>
      </c>
      <c r="GX77">
        <v>27438.2</v>
      </c>
      <c r="GY77">
        <v>26511.599999999999</v>
      </c>
      <c r="GZ77">
        <v>30572.799999999999</v>
      </c>
      <c r="HA77">
        <v>29284.9</v>
      </c>
      <c r="HB77">
        <v>38694</v>
      </c>
      <c r="HC77">
        <v>35388.400000000001</v>
      </c>
      <c r="HD77">
        <v>46748.4</v>
      </c>
      <c r="HE77">
        <v>43531.199999999997</v>
      </c>
      <c r="HF77">
        <v>1.83247</v>
      </c>
      <c r="HG77">
        <v>1.8654500000000001</v>
      </c>
      <c r="HH77">
        <v>9.6298800000000004E-3</v>
      </c>
      <c r="HI77">
        <v>0</v>
      </c>
      <c r="HJ77">
        <v>23.835699999999999</v>
      </c>
      <c r="HK77">
        <v>999.9</v>
      </c>
      <c r="HL77">
        <v>39.5</v>
      </c>
      <c r="HM77">
        <v>30.5</v>
      </c>
      <c r="HN77">
        <v>18.999600000000001</v>
      </c>
      <c r="HO77">
        <v>63.497900000000001</v>
      </c>
      <c r="HP77">
        <v>17.956700000000001</v>
      </c>
      <c r="HQ77">
        <v>1</v>
      </c>
      <c r="HR77">
        <v>0.13551299999999999</v>
      </c>
      <c r="HS77">
        <v>1.5720000000000001</v>
      </c>
      <c r="HT77">
        <v>20.214500000000001</v>
      </c>
      <c r="HU77">
        <v>5.2378099999999996</v>
      </c>
      <c r="HV77">
        <v>11.974299999999999</v>
      </c>
      <c r="HW77">
        <v>4.9733999999999998</v>
      </c>
      <c r="HX77">
        <v>3.2909999999999999</v>
      </c>
      <c r="HY77">
        <v>9999</v>
      </c>
      <c r="HZ77">
        <v>9999</v>
      </c>
      <c r="IA77">
        <v>9999</v>
      </c>
      <c r="IB77">
        <v>999.9</v>
      </c>
      <c r="IC77">
        <v>4.97295</v>
      </c>
      <c r="ID77">
        <v>1.8772800000000001</v>
      </c>
      <c r="IE77">
        <v>1.87531</v>
      </c>
      <c r="IF77">
        <v>1.87815</v>
      </c>
      <c r="IG77">
        <v>1.8748499999999999</v>
      </c>
      <c r="IH77">
        <v>1.87843</v>
      </c>
      <c r="II77">
        <v>1.87551</v>
      </c>
      <c r="IJ77">
        <v>1.8767</v>
      </c>
      <c r="IK77">
        <v>0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0.83799999999999997</v>
      </c>
      <c r="IY77">
        <v>0.18759999999999999</v>
      </c>
      <c r="IZ77">
        <v>6.1933660764125778E-2</v>
      </c>
      <c r="JA77">
        <v>2.058711587971173E-3</v>
      </c>
      <c r="JB77">
        <v>-6.1309262243104059E-7</v>
      </c>
      <c r="JC77">
        <v>2.6183910446277612E-10</v>
      </c>
      <c r="JD77">
        <v>3.5078820932035488E-4</v>
      </c>
      <c r="JE77">
        <v>-4.3284922736758413E-3</v>
      </c>
      <c r="JF77">
        <v>1.4186339569364E-3</v>
      </c>
      <c r="JG77">
        <v>-2.7770646863349432E-5</v>
      </c>
      <c r="JH77">
        <v>2</v>
      </c>
      <c r="JI77">
        <v>2136</v>
      </c>
      <c r="JJ77">
        <v>1</v>
      </c>
      <c r="JK77">
        <v>19</v>
      </c>
      <c r="JL77">
        <v>29361472.899999999</v>
      </c>
      <c r="JM77">
        <v>29361472.899999999</v>
      </c>
      <c r="JN77">
        <v>1.1071800000000001</v>
      </c>
      <c r="JO77">
        <v>2.5512700000000001</v>
      </c>
      <c r="JP77">
        <v>1.39893</v>
      </c>
      <c r="JQ77">
        <v>2.3278799999999999</v>
      </c>
      <c r="JR77">
        <v>1.4489700000000001</v>
      </c>
      <c r="JS77">
        <v>2.52563</v>
      </c>
      <c r="JT77">
        <v>36.457799999999999</v>
      </c>
      <c r="JU77">
        <v>23.912400000000002</v>
      </c>
      <c r="JV77">
        <v>18</v>
      </c>
      <c r="JW77">
        <v>482.50599999999997</v>
      </c>
      <c r="JX77">
        <v>474.125</v>
      </c>
      <c r="JY77">
        <v>22.377400000000002</v>
      </c>
      <c r="JZ77">
        <v>28.951799999999999</v>
      </c>
      <c r="KA77">
        <v>30.0001</v>
      </c>
      <c r="KB77">
        <v>28.694199999999999</v>
      </c>
      <c r="KC77">
        <v>28.772300000000001</v>
      </c>
      <c r="KD77">
        <v>22.197600000000001</v>
      </c>
      <c r="KE77">
        <v>23.7742</v>
      </c>
      <c r="KF77">
        <v>69.854399999999998</v>
      </c>
      <c r="KG77">
        <v>22.373699999999999</v>
      </c>
      <c r="KH77">
        <v>420</v>
      </c>
      <c r="KI77">
        <v>16.139700000000001</v>
      </c>
      <c r="KJ77">
        <v>101.045</v>
      </c>
      <c r="KK77">
        <v>100.11499999999999</v>
      </c>
    </row>
    <row r="78" spans="1:297" x14ac:dyDescent="0.3">
      <c r="A78">
        <v>62</v>
      </c>
      <c r="B78">
        <v>1761688502</v>
      </c>
      <c r="C78">
        <v>11052</v>
      </c>
      <c r="D78" t="s">
        <v>690</v>
      </c>
      <c r="E78" t="s">
        <v>691</v>
      </c>
      <c r="F78">
        <v>5</v>
      </c>
      <c r="G78" t="s">
        <v>655</v>
      </c>
      <c r="H78" t="s">
        <v>436</v>
      </c>
      <c r="I78">
        <v>1761688494.25</v>
      </c>
      <c r="J78">
        <f t="shared" si="50"/>
        <v>2.2195849743824795E-4</v>
      </c>
      <c r="K78">
        <f t="shared" si="51"/>
        <v>0.22195849743824794</v>
      </c>
      <c r="L78">
        <f t="shared" si="52"/>
        <v>-2.8602734655614208</v>
      </c>
      <c r="M78">
        <f t="shared" si="53"/>
        <v>423.22509999999988</v>
      </c>
      <c r="N78">
        <f t="shared" si="54"/>
        <v>783.48642856673268</v>
      </c>
      <c r="O78">
        <f t="shared" si="55"/>
        <v>71.442803626077946</v>
      </c>
      <c r="P78">
        <f t="shared" si="56"/>
        <v>38.592101415515259</v>
      </c>
      <c r="Q78">
        <f t="shared" si="57"/>
        <v>1.2133563903291835E-2</v>
      </c>
      <c r="R78">
        <f t="shared" si="58"/>
        <v>2.769924996749455</v>
      </c>
      <c r="S78">
        <f t="shared" si="59"/>
        <v>1.2104113147378614E-2</v>
      </c>
      <c r="T78">
        <f t="shared" si="60"/>
        <v>7.5677107436063987E-3</v>
      </c>
      <c r="U78">
        <f t="shared" si="61"/>
        <v>106.99526326362864</v>
      </c>
      <c r="V78">
        <f t="shared" si="62"/>
        <v>24.841790640127726</v>
      </c>
      <c r="W78">
        <f t="shared" si="63"/>
        <v>24.841790640127726</v>
      </c>
      <c r="X78">
        <f t="shared" si="64"/>
        <v>3.149809240967107</v>
      </c>
      <c r="Y78">
        <f t="shared" si="65"/>
        <v>50.052809758594329</v>
      </c>
      <c r="Z78">
        <f t="shared" si="66"/>
        <v>1.5205164303746546</v>
      </c>
      <c r="AA78">
        <f t="shared" si="67"/>
        <v>3.03782432536382</v>
      </c>
      <c r="AB78">
        <f t="shared" si="68"/>
        <v>1.6292928105924525</v>
      </c>
      <c r="AC78">
        <f t="shared" si="69"/>
        <v>-9.7883697370267342</v>
      </c>
      <c r="AD78">
        <f t="shared" si="70"/>
        <v>-90.359514326335514</v>
      </c>
      <c r="AE78">
        <f t="shared" si="71"/>
        <v>-6.8683166095952286</v>
      </c>
      <c r="AF78">
        <f t="shared" si="72"/>
        <v>-2.0937409328823264E-2</v>
      </c>
      <c r="AG78">
        <f t="shared" si="73"/>
        <v>-2.7818427158259977</v>
      </c>
      <c r="AH78">
        <f t="shared" si="74"/>
        <v>0.21435458976570312</v>
      </c>
      <c r="AI78">
        <f t="shared" si="75"/>
        <v>-2.8602734655614208</v>
      </c>
      <c r="AJ78">
        <v>426.97001809117722</v>
      </c>
      <c r="AK78">
        <v>430.46076363636371</v>
      </c>
      <c r="AL78">
        <v>-2.4992911310355433E-4</v>
      </c>
      <c r="AM78">
        <v>64.979418720852607</v>
      </c>
      <c r="AN78">
        <f t="shared" si="76"/>
        <v>0.22195849743824794</v>
      </c>
      <c r="AO78">
        <v>16.421429904041968</v>
      </c>
      <c r="AP78">
        <v>16.682109090909091</v>
      </c>
      <c r="AQ78">
        <v>1.7145516318572989E-4</v>
      </c>
      <c r="AR78">
        <v>96.606904934634102</v>
      </c>
      <c r="AS78">
        <v>0</v>
      </c>
      <c r="AT78">
        <v>0</v>
      </c>
      <c r="AU78">
        <f t="shared" si="77"/>
        <v>1</v>
      </c>
      <c r="AV78">
        <f t="shared" si="78"/>
        <v>0</v>
      </c>
      <c r="AW78">
        <f t="shared" si="79"/>
        <v>48653.907471192208</v>
      </c>
      <c r="AX78" t="s">
        <v>692</v>
      </c>
      <c r="AY78">
        <v>5015.32</v>
      </c>
      <c r="AZ78">
        <v>728.58399999999995</v>
      </c>
      <c r="BA78">
        <v>1690.71138267737</v>
      </c>
      <c r="BB78">
        <f t="shared" si="80"/>
        <v>0.56906660269464093</v>
      </c>
      <c r="BC78">
        <v>-2.8602734655613742</v>
      </c>
      <c r="BD78" t="s">
        <v>491</v>
      </c>
      <c r="BE78" t="s">
        <v>491</v>
      </c>
      <c r="BF78">
        <v>0</v>
      </c>
      <c r="BG78">
        <v>0</v>
      </c>
      <c r="BH78" t="e">
        <f t="shared" si="81"/>
        <v>#DIV/0!</v>
      </c>
      <c r="BI78">
        <v>0.5</v>
      </c>
      <c r="BJ78">
        <f t="shared" si="82"/>
        <v>452.53220071586298</v>
      </c>
      <c r="BK78">
        <f t="shared" si="83"/>
        <v>-2.8602734655614208</v>
      </c>
      <c r="BL78" t="e">
        <f t="shared" si="84"/>
        <v>#DIV/0!</v>
      </c>
      <c r="BM78">
        <f t="shared" si="85"/>
        <v>-1.0304099235478346E-16</v>
      </c>
      <c r="BN78" t="e">
        <f t="shared" si="86"/>
        <v>#DIV/0!</v>
      </c>
      <c r="BO78" t="e">
        <f t="shared" si="87"/>
        <v>#DIV/0!</v>
      </c>
      <c r="BP78" t="s">
        <v>491</v>
      </c>
      <c r="BQ78">
        <v>0</v>
      </c>
      <c r="BR78" t="e">
        <f t="shared" si="88"/>
        <v>#DIV/0!</v>
      </c>
      <c r="BS78" t="e">
        <f t="shared" si="89"/>
        <v>#DIV/0!</v>
      </c>
      <c r="BT78" t="e">
        <f t="shared" si="90"/>
        <v>#DIV/0!</v>
      </c>
      <c r="BU78" t="e">
        <f t="shared" si="91"/>
        <v>#DIV/0!</v>
      </c>
      <c r="BV78">
        <f t="shared" si="92"/>
        <v>0</v>
      </c>
      <c r="BW78">
        <f t="shared" si="93"/>
        <v>1.7572635527455056</v>
      </c>
      <c r="BX78" t="e">
        <f t="shared" si="94"/>
        <v>#DIV/0!</v>
      </c>
      <c r="BY78" t="e">
        <f t="shared" si="95"/>
        <v>#DIV/0!</v>
      </c>
      <c r="BZ78">
        <v>484</v>
      </c>
      <c r="CA78">
        <v>290.00000000000011</v>
      </c>
      <c r="CB78">
        <v>1643.36</v>
      </c>
      <c r="CC78">
        <v>235</v>
      </c>
      <c r="CD78">
        <v>5015.32</v>
      </c>
      <c r="CE78">
        <v>1642.82</v>
      </c>
      <c r="CF78">
        <v>0.54</v>
      </c>
      <c r="CG78">
        <v>300.00000000000011</v>
      </c>
      <c r="CH78">
        <v>23.9</v>
      </c>
      <c r="CI78">
        <v>1690.71138267737</v>
      </c>
      <c r="CJ78">
        <v>1.657821100708849</v>
      </c>
      <c r="CK78">
        <v>-24.019478517028581</v>
      </c>
      <c r="CL78">
        <v>0.72031026390939124</v>
      </c>
      <c r="CM78">
        <v>0.97543766720330072</v>
      </c>
      <c r="CN78">
        <v>-4.151481423804229E-3</v>
      </c>
      <c r="CO78">
        <v>289.99999999999989</v>
      </c>
      <c r="CP78">
        <v>1640.85</v>
      </c>
      <c r="CQ78">
        <v>705</v>
      </c>
      <c r="CR78">
        <v>5014.83</v>
      </c>
      <c r="CS78">
        <v>1642.81</v>
      </c>
      <c r="CT78">
        <v>-1.96</v>
      </c>
      <c r="DH78">
        <f t="shared" si="96"/>
        <v>1074.8923338933341</v>
      </c>
      <c r="DI78">
        <f t="shared" si="97"/>
        <v>452.53220071586298</v>
      </c>
      <c r="DJ78">
        <f t="shared" si="98"/>
        <v>0.42100235200000002</v>
      </c>
      <c r="DK78">
        <f t="shared" si="99"/>
        <v>9.9540446879999994E-2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1761688494.25</v>
      </c>
      <c r="DR78">
        <v>423.22509999999988</v>
      </c>
      <c r="DS78">
        <v>419.99583333333328</v>
      </c>
      <c r="DT78">
        <v>16.674933333333339</v>
      </c>
      <c r="DU78">
        <v>16.42200333333334</v>
      </c>
      <c r="DV78">
        <v>422.38316666666668</v>
      </c>
      <c r="DW78">
        <v>16.48481666666666</v>
      </c>
      <c r="DX78">
        <v>500.01243333333332</v>
      </c>
      <c r="DY78">
        <v>91.147666666666666</v>
      </c>
      <c r="DZ78">
        <v>3.8091020000000003E-2</v>
      </c>
      <c r="EA78">
        <v>24.236699999999999</v>
      </c>
      <c r="EB78">
        <v>24.019110000000001</v>
      </c>
      <c r="EC78">
        <v>999.9000000000002</v>
      </c>
      <c r="ED78">
        <v>0</v>
      </c>
      <c r="EE78">
        <v>0</v>
      </c>
      <c r="EF78">
        <v>10002.044</v>
      </c>
      <c r="EG78">
        <v>0</v>
      </c>
      <c r="EH78">
        <v>1074.887333333334</v>
      </c>
      <c r="EI78">
        <v>3.2293366666666672</v>
      </c>
      <c r="EJ78">
        <v>430.40193333333332</v>
      </c>
      <c r="EK78">
        <v>427.00796666666668</v>
      </c>
      <c r="EL78">
        <v>0.25292029999999999</v>
      </c>
      <c r="EM78">
        <v>419.99583333333328</v>
      </c>
      <c r="EN78">
        <v>16.42200333333334</v>
      </c>
      <c r="EO78">
        <v>1.519879666666667</v>
      </c>
      <c r="EP78">
        <v>1.496828</v>
      </c>
      <c r="EQ78">
        <v>13.16963333333333</v>
      </c>
      <c r="ER78">
        <v>12.93579666666667</v>
      </c>
      <c r="ES78">
        <v>5.0005599999999976E-3</v>
      </c>
      <c r="ET78">
        <v>0</v>
      </c>
      <c r="EU78">
        <v>0</v>
      </c>
      <c r="EV78">
        <v>0</v>
      </c>
      <c r="EW78">
        <v>728.01666666666665</v>
      </c>
      <c r="EX78">
        <v>5.0005599999999976E-3</v>
      </c>
      <c r="EY78">
        <v>122.12333333333331</v>
      </c>
      <c r="EZ78">
        <v>-1.966666666666667</v>
      </c>
      <c r="FA78">
        <v>34.483199999999997</v>
      </c>
      <c r="FB78">
        <v>38.25</v>
      </c>
      <c r="FC78">
        <v>36.241599999999998</v>
      </c>
      <c r="FD78">
        <v>37.379133333333343</v>
      </c>
      <c r="FE78">
        <v>36.116533333333329</v>
      </c>
      <c r="FF78">
        <v>0</v>
      </c>
      <c r="FG78">
        <v>0</v>
      </c>
      <c r="FH78">
        <v>0</v>
      </c>
      <c r="FI78">
        <v>127.5</v>
      </c>
      <c r="FJ78">
        <v>0</v>
      </c>
      <c r="FK78">
        <v>728.58399999999995</v>
      </c>
      <c r="FL78">
        <v>40.653845808445737</v>
      </c>
      <c r="FM78">
        <v>19.184614242651389</v>
      </c>
      <c r="FN78">
        <v>123.852</v>
      </c>
      <c r="FO78">
        <v>15</v>
      </c>
      <c r="FP78">
        <v>0</v>
      </c>
      <c r="FQ78" t="s">
        <v>441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3.1801729268292682</v>
      </c>
      <c r="GD78">
        <v>0.9548811846689873</v>
      </c>
      <c r="GE78">
        <v>9.6238539064086859E-2</v>
      </c>
      <c r="GF78">
        <v>0</v>
      </c>
      <c r="GG78">
        <v>728.79705882352937</v>
      </c>
      <c r="GH78">
        <v>10.99006855176845</v>
      </c>
      <c r="GI78">
        <v>7.4464553467964816</v>
      </c>
      <c r="GJ78">
        <v>0</v>
      </c>
      <c r="GK78">
        <v>0.25060726829268293</v>
      </c>
      <c r="GL78">
        <v>4.6667414634146531E-2</v>
      </c>
      <c r="GM78">
        <v>1.0361003268646189E-2</v>
      </c>
      <c r="GN78">
        <v>1</v>
      </c>
      <c r="GO78">
        <v>1</v>
      </c>
      <c r="GP78">
        <v>3</v>
      </c>
      <c r="GQ78" t="s">
        <v>442</v>
      </c>
      <c r="GR78">
        <v>3.1287199999999999</v>
      </c>
      <c r="GS78">
        <v>2.7159499999999999</v>
      </c>
      <c r="GT78">
        <v>8.6727799999999994E-2</v>
      </c>
      <c r="GU78">
        <v>8.6798700000000006E-2</v>
      </c>
      <c r="GV78">
        <v>8.3188300000000007E-2</v>
      </c>
      <c r="GW78">
        <v>8.2974999999999993E-2</v>
      </c>
      <c r="GX78">
        <v>27427</v>
      </c>
      <c r="GY78">
        <v>26511.200000000001</v>
      </c>
      <c r="GZ78">
        <v>30573</v>
      </c>
      <c r="HA78">
        <v>29284.400000000001</v>
      </c>
      <c r="HB78">
        <v>38673.199999999997</v>
      </c>
      <c r="HC78">
        <v>35350</v>
      </c>
      <c r="HD78">
        <v>46748.7</v>
      </c>
      <c r="HE78">
        <v>43530.2</v>
      </c>
      <c r="HF78">
        <v>1.8322000000000001</v>
      </c>
      <c r="HG78">
        <v>1.8663000000000001</v>
      </c>
      <c r="HH78">
        <v>6.0722199999999997E-3</v>
      </c>
      <c r="HI78">
        <v>0</v>
      </c>
      <c r="HJ78">
        <v>23.9238</v>
      </c>
      <c r="HK78">
        <v>999.9</v>
      </c>
      <c r="HL78">
        <v>40.1</v>
      </c>
      <c r="HM78">
        <v>30.5</v>
      </c>
      <c r="HN78">
        <v>19.2897</v>
      </c>
      <c r="HO78">
        <v>63.547899999999998</v>
      </c>
      <c r="HP78">
        <v>18.012799999999999</v>
      </c>
      <c r="HQ78">
        <v>1</v>
      </c>
      <c r="HR78">
        <v>0.13603399999999999</v>
      </c>
      <c r="HS78">
        <v>1.9491400000000001</v>
      </c>
      <c r="HT78">
        <v>20.2117</v>
      </c>
      <c r="HU78">
        <v>5.2352600000000002</v>
      </c>
      <c r="HV78">
        <v>11.974299999999999</v>
      </c>
      <c r="HW78">
        <v>4.9735500000000004</v>
      </c>
      <c r="HX78">
        <v>3.2909999999999999</v>
      </c>
      <c r="HY78">
        <v>9999</v>
      </c>
      <c r="HZ78">
        <v>9999</v>
      </c>
      <c r="IA78">
        <v>9999</v>
      </c>
      <c r="IB78">
        <v>999.9</v>
      </c>
      <c r="IC78">
        <v>4.9729200000000002</v>
      </c>
      <c r="ID78">
        <v>1.8771500000000001</v>
      </c>
      <c r="IE78">
        <v>1.8753</v>
      </c>
      <c r="IF78">
        <v>1.87805</v>
      </c>
      <c r="IG78">
        <v>1.8748100000000001</v>
      </c>
      <c r="IH78">
        <v>1.87836</v>
      </c>
      <c r="II78">
        <v>1.8754599999999999</v>
      </c>
      <c r="IJ78">
        <v>1.8766799999999999</v>
      </c>
      <c r="IK78">
        <v>0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0.84199999999999997</v>
      </c>
      <c r="IY78">
        <v>0.19020000000000001</v>
      </c>
      <c r="IZ78">
        <v>6.1933660764125778E-2</v>
      </c>
      <c r="JA78">
        <v>2.058711587971173E-3</v>
      </c>
      <c r="JB78">
        <v>-6.1309262243104059E-7</v>
      </c>
      <c r="JC78">
        <v>2.6183910446277612E-10</v>
      </c>
      <c r="JD78">
        <v>3.5078820932035488E-4</v>
      </c>
      <c r="JE78">
        <v>-4.3284922736758413E-3</v>
      </c>
      <c r="JF78">
        <v>1.4186339569364E-3</v>
      </c>
      <c r="JG78">
        <v>-2.7770646863349432E-5</v>
      </c>
      <c r="JH78">
        <v>2</v>
      </c>
      <c r="JI78">
        <v>2136</v>
      </c>
      <c r="JJ78">
        <v>1</v>
      </c>
      <c r="JK78">
        <v>19</v>
      </c>
      <c r="JL78">
        <v>29361475</v>
      </c>
      <c r="JM78">
        <v>29361475</v>
      </c>
      <c r="JN78">
        <v>1.1071800000000001</v>
      </c>
      <c r="JO78">
        <v>2.5402800000000001</v>
      </c>
      <c r="JP78">
        <v>1.39893</v>
      </c>
      <c r="JQ78">
        <v>2.3290999999999999</v>
      </c>
      <c r="JR78">
        <v>1.4489700000000001</v>
      </c>
      <c r="JS78">
        <v>2.5769000000000002</v>
      </c>
      <c r="JT78">
        <v>36.4343</v>
      </c>
      <c r="JU78">
        <v>23.938700000000001</v>
      </c>
      <c r="JV78">
        <v>18</v>
      </c>
      <c r="JW78">
        <v>482.28699999999998</v>
      </c>
      <c r="JX78">
        <v>474.60599999999999</v>
      </c>
      <c r="JY78">
        <v>22.104700000000001</v>
      </c>
      <c r="JZ78">
        <v>28.941800000000001</v>
      </c>
      <c r="KA78">
        <v>30.0002</v>
      </c>
      <c r="KB78">
        <v>28.683800000000002</v>
      </c>
      <c r="KC78">
        <v>28.762599999999999</v>
      </c>
      <c r="KD78">
        <v>22.2088</v>
      </c>
      <c r="KE78">
        <v>24.047699999999999</v>
      </c>
      <c r="KF78">
        <v>71.453699999999998</v>
      </c>
      <c r="KG78">
        <v>22.088200000000001</v>
      </c>
      <c r="KH78">
        <v>420</v>
      </c>
      <c r="KI78">
        <v>16.374500000000001</v>
      </c>
      <c r="KJ78">
        <v>101.045</v>
      </c>
      <c r="KK78">
        <v>100.113</v>
      </c>
    </row>
    <row r="79" spans="1:297" x14ac:dyDescent="0.3">
      <c r="A79">
        <v>63</v>
      </c>
      <c r="B79">
        <v>1761689089.5</v>
      </c>
      <c r="C79">
        <v>11639.5</v>
      </c>
      <c r="D79" t="s">
        <v>693</v>
      </c>
      <c r="E79" t="s">
        <v>694</v>
      </c>
      <c r="F79">
        <v>5</v>
      </c>
      <c r="G79" t="s">
        <v>695</v>
      </c>
      <c r="H79" t="s">
        <v>436</v>
      </c>
      <c r="I79">
        <v>1761689081.5</v>
      </c>
      <c r="J79">
        <f t="shared" si="50"/>
        <v>1.2186915271393418E-3</v>
      </c>
      <c r="K79">
        <f t="shared" si="51"/>
        <v>1.2186915271393417</v>
      </c>
      <c r="L79">
        <f t="shared" si="52"/>
        <v>3.3381691138050256</v>
      </c>
      <c r="M79">
        <f t="shared" si="53"/>
        <v>415.38154838709659</v>
      </c>
      <c r="N79">
        <f t="shared" si="54"/>
        <v>304.04261440565136</v>
      </c>
      <c r="O79">
        <f t="shared" si="55"/>
        <v>27.725852429047748</v>
      </c>
      <c r="P79">
        <f t="shared" si="56"/>
        <v>37.878925409332119</v>
      </c>
      <c r="Q79">
        <f t="shared" si="57"/>
        <v>5.4781421947746219E-2</v>
      </c>
      <c r="R79">
        <f t="shared" si="58"/>
        <v>2.7687052905009519</v>
      </c>
      <c r="S79">
        <f t="shared" si="59"/>
        <v>5.4186315110614947E-2</v>
      </c>
      <c r="T79">
        <f t="shared" si="60"/>
        <v>3.3919376129843394E-2</v>
      </c>
      <c r="U79">
        <f t="shared" si="61"/>
        <v>540.60155650790512</v>
      </c>
      <c r="V79">
        <f t="shared" si="62"/>
        <v>26.244667590316773</v>
      </c>
      <c r="W79">
        <f t="shared" si="63"/>
        <v>26.244667590316773</v>
      </c>
      <c r="X79">
        <f t="shared" si="64"/>
        <v>3.4234201972756244</v>
      </c>
      <c r="Y79">
        <f t="shared" si="65"/>
        <v>49.96781744945212</v>
      </c>
      <c r="Z79">
        <f t="shared" si="66"/>
        <v>1.4270173422366701</v>
      </c>
      <c r="AA79">
        <f t="shared" si="67"/>
        <v>2.855872869933239</v>
      </c>
      <c r="AB79">
        <f t="shared" si="68"/>
        <v>1.9964028550389543</v>
      </c>
      <c r="AC79">
        <f t="shared" si="69"/>
        <v>-53.744296346844969</v>
      </c>
      <c r="AD79">
        <f t="shared" si="70"/>
        <v>-452.87772571251548</v>
      </c>
      <c r="AE79">
        <f t="shared" si="71"/>
        <v>-34.505176209731061</v>
      </c>
      <c r="AF79">
        <f t="shared" si="72"/>
        <v>-0.52564176118642081</v>
      </c>
      <c r="AG79">
        <f t="shared" si="73"/>
        <v>3.3423608967487297</v>
      </c>
      <c r="AH79">
        <f t="shared" si="74"/>
        <v>1.2031140012703436</v>
      </c>
      <c r="AI79">
        <f t="shared" si="75"/>
        <v>3.3381691138050256</v>
      </c>
      <c r="AJ79">
        <v>426.0403387673536</v>
      </c>
      <c r="AK79">
        <v>421.98176969696959</v>
      </c>
      <c r="AL79">
        <v>-1.052318941353885E-3</v>
      </c>
      <c r="AM79">
        <v>65.005994502390706</v>
      </c>
      <c r="AN79">
        <f t="shared" si="76"/>
        <v>1.2186915271393417</v>
      </c>
      <c r="AO79">
        <v>14.2276810058178</v>
      </c>
      <c r="AP79">
        <v>15.663781118881129</v>
      </c>
      <c r="AQ79">
        <v>4.7927915861363329E-4</v>
      </c>
      <c r="AR79">
        <v>96.635452157596717</v>
      </c>
      <c r="AS79">
        <v>0</v>
      </c>
      <c r="AT79">
        <v>0</v>
      </c>
      <c r="AU79">
        <f t="shared" si="77"/>
        <v>1</v>
      </c>
      <c r="AV79">
        <f t="shared" si="78"/>
        <v>0</v>
      </c>
      <c r="AW79">
        <f t="shared" si="79"/>
        <v>48788.846164946095</v>
      </c>
      <c r="AX79" t="s">
        <v>692</v>
      </c>
      <c r="AY79">
        <v>5015.32</v>
      </c>
      <c r="AZ79">
        <v>728.58399999999995</v>
      </c>
      <c r="BA79">
        <v>1690.71138267737</v>
      </c>
      <c r="BB79">
        <f t="shared" si="80"/>
        <v>0.56906660269464093</v>
      </c>
      <c r="BC79">
        <v>-2.8602734655613742</v>
      </c>
      <c r="BD79" t="s">
        <v>696</v>
      </c>
      <c r="BE79">
        <v>5049.12</v>
      </c>
      <c r="BF79">
        <v>1543.9472000000001</v>
      </c>
      <c r="BG79">
        <v>1610.5209842653701</v>
      </c>
      <c r="BH79">
        <f t="shared" si="81"/>
        <v>4.1336800275059593E-2</v>
      </c>
      <c r="BI79">
        <v>0.5</v>
      </c>
      <c r="BJ79">
        <f t="shared" si="82"/>
        <v>2520.6703515250711</v>
      </c>
      <c r="BK79">
        <f t="shared" si="83"/>
        <v>3.3381691138050256</v>
      </c>
      <c r="BL79">
        <f t="shared" si="84"/>
        <v>52.098223440128059</v>
      </c>
      <c r="BM79">
        <f t="shared" si="85"/>
        <v>2.4590452994443248E-3</v>
      </c>
      <c r="BN79">
        <f t="shared" si="86"/>
        <v>4.9791588681831624E-2</v>
      </c>
      <c r="BO79">
        <f t="shared" si="87"/>
        <v>713.27926770477643</v>
      </c>
      <c r="BP79" t="s">
        <v>697</v>
      </c>
      <c r="BQ79">
        <v>862.87</v>
      </c>
      <c r="BR79">
        <f t="shared" si="88"/>
        <v>862.87</v>
      </c>
      <c r="BS79">
        <f t="shared" si="89"/>
        <v>0.46422927212364562</v>
      </c>
      <c r="BT79">
        <f t="shared" si="90"/>
        <v>8.9043933153895805E-2</v>
      </c>
      <c r="BU79">
        <f t="shared" si="91"/>
        <v>9.6866863737412462E-2</v>
      </c>
      <c r="BV79">
        <f t="shared" si="92"/>
        <v>7.5485874221301874E-2</v>
      </c>
      <c r="BW79">
        <f t="shared" si="93"/>
        <v>8.3346966166630926E-2</v>
      </c>
      <c r="BX79">
        <f t="shared" si="94"/>
        <v>4.9764226782173682E-2</v>
      </c>
      <c r="BY79">
        <f t="shared" si="95"/>
        <v>0.95023577321782637</v>
      </c>
      <c r="BZ79">
        <v>485</v>
      </c>
      <c r="CA79">
        <v>290.00000000000011</v>
      </c>
      <c r="CB79">
        <v>1576.97</v>
      </c>
      <c r="CC79">
        <v>145</v>
      </c>
      <c r="CD79">
        <v>5049.12</v>
      </c>
      <c r="CE79">
        <v>1575.16</v>
      </c>
      <c r="CF79">
        <v>1.81</v>
      </c>
      <c r="CG79">
        <v>300.00000000000011</v>
      </c>
      <c r="CH79">
        <v>23.9</v>
      </c>
      <c r="CI79">
        <v>1610.5209842653701</v>
      </c>
      <c r="CJ79">
        <v>2.5926272143264222</v>
      </c>
      <c r="CK79">
        <v>-17.85392442994274</v>
      </c>
      <c r="CL79">
        <v>1.206106932957504</v>
      </c>
      <c r="CM79">
        <v>0.88669790111054347</v>
      </c>
      <c r="CN79">
        <v>-2.5256513904338149E-3</v>
      </c>
      <c r="CO79">
        <v>289.99999999999989</v>
      </c>
      <c r="CP79">
        <v>1572.64</v>
      </c>
      <c r="CQ79">
        <v>725</v>
      </c>
      <c r="CR79">
        <v>5047.8500000000004</v>
      </c>
      <c r="CS79">
        <v>1575.15</v>
      </c>
      <c r="CT79">
        <v>-2.5099999999999998</v>
      </c>
      <c r="DH79">
        <f t="shared" si="96"/>
        <v>3072.8670967741919</v>
      </c>
      <c r="DI79">
        <f t="shared" si="97"/>
        <v>2520.6703515250711</v>
      </c>
      <c r="DJ79">
        <f t="shared" si="98"/>
        <v>0.82029917732895075</v>
      </c>
      <c r="DK79">
        <f t="shared" si="99"/>
        <v>0.1759274122448749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1761689081.5</v>
      </c>
      <c r="DR79">
        <v>415.38154838709659</v>
      </c>
      <c r="DS79">
        <v>419.9920967741935</v>
      </c>
      <c r="DT79">
        <v>15.648719354838709</v>
      </c>
      <c r="DU79">
        <v>14.22757096774194</v>
      </c>
      <c r="DV79">
        <v>414.55293548387101</v>
      </c>
      <c r="DW79">
        <v>15.47847419354839</v>
      </c>
      <c r="DX79">
        <v>499.99851612903228</v>
      </c>
      <c r="DY79">
        <v>91.151616129032263</v>
      </c>
      <c r="DZ79">
        <v>3.9062793548387091E-2</v>
      </c>
      <c r="EA79">
        <v>23.210645161290319</v>
      </c>
      <c r="EB79">
        <v>24.03178387096774</v>
      </c>
      <c r="EC79">
        <v>999.90000000000032</v>
      </c>
      <c r="ED79">
        <v>0</v>
      </c>
      <c r="EE79">
        <v>0</v>
      </c>
      <c r="EF79">
        <v>9994.4170967741939</v>
      </c>
      <c r="EG79">
        <v>0</v>
      </c>
      <c r="EH79">
        <v>1072.883225806451</v>
      </c>
      <c r="EI79">
        <v>-4.6105870967741929</v>
      </c>
      <c r="EJ79">
        <v>421.98500000000013</v>
      </c>
      <c r="EK79">
        <v>426.05383870967739</v>
      </c>
      <c r="EL79">
        <v>1.4211619354838709</v>
      </c>
      <c r="EM79">
        <v>419.9920967741935</v>
      </c>
      <c r="EN79">
        <v>14.22757096774194</v>
      </c>
      <c r="EO79">
        <v>1.4264061290322581</v>
      </c>
      <c r="EP79">
        <v>1.296865161290323</v>
      </c>
      <c r="EQ79">
        <v>12.201296774193549</v>
      </c>
      <c r="ER79">
        <v>10.762577419354839</v>
      </c>
      <c r="ES79">
        <v>1999.983870967741</v>
      </c>
      <c r="ET79">
        <v>0.98000551612903219</v>
      </c>
      <c r="EU79">
        <v>1.9994293548387089E-2</v>
      </c>
      <c r="EV79">
        <v>0</v>
      </c>
      <c r="EW79">
        <v>1544.081612903226</v>
      </c>
      <c r="EX79">
        <v>5.0005600000000019</v>
      </c>
      <c r="EY79">
        <v>31030.829032258061</v>
      </c>
      <c r="EZ79">
        <v>17294.780645161289</v>
      </c>
      <c r="FA79">
        <v>39.185290322580641</v>
      </c>
      <c r="FB79">
        <v>40.560096774193553</v>
      </c>
      <c r="FC79">
        <v>39.568258064516122</v>
      </c>
      <c r="FD79">
        <v>39.515967741935476</v>
      </c>
      <c r="FE79">
        <v>40.112645161290317</v>
      </c>
      <c r="FF79">
        <v>1955.0938709677421</v>
      </c>
      <c r="FG79">
        <v>39.890000000000022</v>
      </c>
      <c r="FH79">
        <v>0</v>
      </c>
      <c r="FI79">
        <v>586.70000004768372</v>
      </c>
      <c r="FJ79">
        <v>0</v>
      </c>
      <c r="FK79">
        <v>1543.9472000000001</v>
      </c>
      <c r="FL79">
        <v>-10.75615383633316</v>
      </c>
      <c r="FM79">
        <v>-242.13846113954111</v>
      </c>
      <c r="FN79">
        <v>31028.216</v>
      </c>
      <c r="FO79">
        <v>15</v>
      </c>
      <c r="FP79">
        <v>0</v>
      </c>
      <c r="FQ79" t="s">
        <v>441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-4.6061752499999997</v>
      </c>
      <c r="GD79">
        <v>-2.3341801125694409E-2</v>
      </c>
      <c r="GE79">
        <v>1.9844336596054311E-2</v>
      </c>
      <c r="GF79">
        <v>1</v>
      </c>
      <c r="GG79">
        <v>1544.6288235294121</v>
      </c>
      <c r="GH79">
        <v>-11.97310922968208</v>
      </c>
      <c r="GI79">
        <v>1.2120176777634091</v>
      </c>
      <c r="GJ79">
        <v>0</v>
      </c>
      <c r="GK79">
        <v>1.4099617499999999</v>
      </c>
      <c r="GL79">
        <v>0.2263514071294554</v>
      </c>
      <c r="GM79">
        <v>2.2346645708864219E-2</v>
      </c>
      <c r="GN79">
        <v>0</v>
      </c>
      <c r="GO79">
        <v>1</v>
      </c>
      <c r="GP79">
        <v>3</v>
      </c>
      <c r="GQ79" t="s">
        <v>442</v>
      </c>
      <c r="GR79">
        <v>3.1288399999999998</v>
      </c>
      <c r="GS79">
        <v>2.7168399999999999</v>
      </c>
      <c r="GT79">
        <v>8.54515E-2</v>
      </c>
      <c r="GU79">
        <v>8.6744100000000005E-2</v>
      </c>
      <c r="GV79">
        <v>7.9473699999999994E-2</v>
      </c>
      <c r="GW79">
        <v>7.4797199999999994E-2</v>
      </c>
      <c r="GX79">
        <v>27446.6</v>
      </c>
      <c r="GY79">
        <v>26500.9</v>
      </c>
      <c r="GZ79">
        <v>30553.7</v>
      </c>
      <c r="HA79">
        <v>29272.799999999999</v>
      </c>
      <c r="HB79">
        <v>38808.6</v>
      </c>
      <c r="HC79">
        <v>35654.9</v>
      </c>
      <c r="HD79">
        <v>46721.3</v>
      </c>
      <c r="HE79">
        <v>43514.2</v>
      </c>
      <c r="HF79">
        <v>1.8323</v>
      </c>
      <c r="HG79">
        <v>1.85592</v>
      </c>
      <c r="HH79">
        <v>7.1257399999999999E-2</v>
      </c>
      <c r="HI79">
        <v>0</v>
      </c>
      <c r="HJ79">
        <v>22.948899999999998</v>
      </c>
      <c r="HK79">
        <v>999.9</v>
      </c>
      <c r="HL79">
        <v>38.5</v>
      </c>
      <c r="HM79">
        <v>30.5</v>
      </c>
      <c r="HN79">
        <v>18.517900000000001</v>
      </c>
      <c r="HO79">
        <v>63.797899999999998</v>
      </c>
      <c r="HP79">
        <v>18.289300000000001</v>
      </c>
      <c r="HQ79">
        <v>1</v>
      </c>
      <c r="HR79">
        <v>0.1658</v>
      </c>
      <c r="HS79">
        <v>4.2041500000000003</v>
      </c>
      <c r="HT79">
        <v>20.155799999999999</v>
      </c>
      <c r="HU79">
        <v>5.2388500000000002</v>
      </c>
      <c r="HV79">
        <v>11.98</v>
      </c>
      <c r="HW79">
        <v>4.9730999999999996</v>
      </c>
      <c r="HX79">
        <v>3.2909999999999999</v>
      </c>
      <c r="HY79">
        <v>9999</v>
      </c>
      <c r="HZ79">
        <v>9999</v>
      </c>
      <c r="IA79">
        <v>9999</v>
      </c>
      <c r="IB79">
        <v>999.9</v>
      </c>
      <c r="IC79">
        <v>4.9729099999999997</v>
      </c>
      <c r="ID79">
        <v>1.8772899999999999</v>
      </c>
      <c r="IE79">
        <v>1.87534</v>
      </c>
      <c r="IF79">
        <v>1.8782000000000001</v>
      </c>
      <c r="IG79">
        <v>1.8748800000000001</v>
      </c>
      <c r="IH79">
        <v>1.8785099999999999</v>
      </c>
      <c r="II79">
        <v>1.87561</v>
      </c>
      <c r="IJ79">
        <v>1.87676</v>
      </c>
      <c r="IK79">
        <v>0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0.82899999999999996</v>
      </c>
      <c r="IY79">
        <v>0.17050000000000001</v>
      </c>
      <c r="IZ79">
        <v>6.1933660764125778E-2</v>
      </c>
      <c r="JA79">
        <v>2.058711587971173E-3</v>
      </c>
      <c r="JB79">
        <v>-6.1309262243104059E-7</v>
      </c>
      <c r="JC79">
        <v>2.6183910446277612E-10</v>
      </c>
      <c r="JD79">
        <v>3.5078820932035488E-4</v>
      </c>
      <c r="JE79">
        <v>-4.3284922736758413E-3</v>
      </c>
      <c r="JF79">
        <v>1.4186339569364E-3</v>
      </c>
      <c r="JG79">
        <v>-2.7770646863349432E-5</v>
      </c>
      <c r="JH79">
        <v>2</v>
      </c>
      <c r="JI79">
        <v>2136</v>
      </c>
      <c r="JJ79">
        <v>1</v>
      </c>
      <c r="JK79">
        <v>19</v>
      </c>
      <c r="JL79">
        <v>29361484.800000001</v>
      </c>
      <c r="JM79">
        <v>29361484.800000001</v>
      </c>
      <c r="JN79">
        <v>1.1059600000000001</v>
      </c>
      <c r="JO79">
        <v>2.5415000000000001</v>
      </c>
      <c r="JP79">
        <v>1.39893</v>
      </c>
      <c r="JQ79">
        <v>2.32666</v>
      </c>
      <c r="JR79">
        <v>1.4489700000000001</v>
      </c>
      <c r="JS79">
        <v>2.5647000000000002</v>
      </c>
      <c r="JT79">
        <v>36.410699999999999</v>
      </c>
      <c r="JU79">
        <v>23.8248</v>
      </c>
      <c r="JV79">
        <v>18</v>
      </c>
      <c r="JW79">
        <v>483.57400000000001</v>
      </c>
      <c r="JX79">
        <v>469.12900000000002</v>
      </c>
      <c r="JY79">
        <v>18.382100000000001</v>
      </c>
      <c r="JZ79">
        <v>29.251300000000001</v>
      </c>
      <c r="KA79">
        <v>30.000900000000001</v>
      </c>
      <c r="KB79">
        <v>28.8721</v>
      </c>
      <c r="KC79">
        <v>28.9284</v>
      </c>
      <c r="KD79">
        <v>22.1722</v>
      </c>
      <c r="KE79">
        <v>29.349900000000002</v>
      </c>
      <c r="KF79">
        <v>65.851500000000001</v>
      </c>
      <c r="KG79">
        <v>18.277999999999999</v>
      </c>
      <c r="KH79">
        <v>420</v>
      </c>
      <c r="KI79">
        <v>14.257</v>
      </c>
      <c r="KJ79">
        <v>100.98399999999999</v>
      </c>
      <c r="KK79">
        <v>100.075</v>
      </c>
    </row>
    <row r="80" spans="1:297" x14ac:dyDescent="0.3">
      <c r="A80">
        <v>64</v>
      </c>
      <c r="B80">
        <v>1761689219</v>
      </c>
      <c r="C80">
        <v>11769</v>
      </c>
      <c r="D80" t="s">
        <v>698</v>
      </c>
      <c r="E80" t="s">
        <v>699</v>
      </c>
      <c r="F80">
        <v>5</v>
      </c>
      <c r="G80" t="s">
        <v>695</v>
      </c>
      <c r="H80" t="s">
        <v>436</v>
      </c>
      <c r="I80">
        <v>1761689211.25</v>
      </c>
      <c r="J80">
        <f t="shared" si="50"/>
        <v>1.158086981498357E-3</v>
      </c>
      <c r="K80">
        <f t="shared" si="51"/>
        <v>1.158086981498357</v>
      </c>
      <c r="L80">
        <f t="shared" si="52"/>
        <v>3.2947275690714908</v>
      </c>
      <c r="M80">
        <f t="shared" si="53"/>
        <v>415.46420000000001</v>
      </c>
      <c r="N80">
        <f t="shared" si="54"/>
        <v>301.81115186486039</v>
      </c>
      <c r="O80">
        <f t="shared" si="55"/>
        <v>27.524334755512637</v>
      </c>
      <c r="P80">
        <f t="shared" si="56"/>
        <v>37.889175562510637</v>
      </c>
      <c r="Q80">
        <f t="shared" si="57"/>
        <v>5.2702434907185722E-2</v>
      </c>
      <c r="R80">
        <f t="shared" si="58"/>
        <v>2.7696058247416855</v>
      </c>
      <c r="S80">
        <f t="shared" si="59"/>
        <v>5.2151572353328998E-2</v>
      </c>
      <c r="T80">
        <f t="shared" si="60"/>
        <v>3.2643745623365958E-2</v>
      </c>
      <c r="U80">
        <f t="shared" si="61"/>
        <v>505.54951426960469</v>
      </c>
      <c r="V80">
        <f t="shared" si="62"/>
        <v>26.1242540470869</v>
      </c>
      <c r="W80">
        <f t="shared" si="63"/>
        <v>26.1242540470869</v>
      </c>
      <c r="X80">
        <f t="shared" si="64"/>
        <v>3.3991475478459963</v>
      </c>
      <c r="Y80">
        <f t="shared" si="65"/>
        <v>49.73996313753738</v>
      </c>
      <c r="Z80">
        <f t="shared" si="66"/>
        <v>1.427598072909827</v>
      </c>
      <c r="AA80">
        <f t="shared" si="67"/>
        <v>2.8701229009002986</v>
      </c>
      <c r="AB80">
        <f t="shared" si="68"/>
        <v>1.9715494749361693</v>
      </c>
      <c r="AC80">
        <f t="shared" si="69"/>
        <v>-51.071635884077544</v>
      </c>
      <c r="AD80">
        <f t="shared" si="70"/>
        <v>-422.74319264675842</v>
      </c>
      <c r="AE80">
        <f t="shared" si="71"/>
        <v>-32.19244971639899</v>
      </c>
      <c r="AF80">
        <f t="shared" si="72"/>
        <v>-0.45776397763023624</v>
      </c>
      <c r="AG80">
        <f t="shared" si="73"/>
        <v>3.2954813313071818</v>
      </c>
      <c r="AH80">
        <f t="shared" si="74"/>
        <v>1.1580824114155615</v>
      </c>
      <c r="AI80">
        <f t="shared" si="75"/>
        <v>3.2947275690714908</v>
      </c>
      <c r="AJ80">
        <v>426.08994041463461</v>
      </c>
      <c r="AK80">
        <v>422.07693939393909</v>
      </c>
      <c r="AL80">
        <v>4.4871173114914071E-4</v>
      </c>
      <c r="AM80">
        <v>65.005994502390706</v>
      </c>
      <c r="AN80">
        <f t="shared" si="76"/>
        <v>1.158086981498357</v>
      </c>
      <c r="AO80">
        <v>14.312058629617351</v>
      </c>
      <c r="AP80">
        <v>15.67668951048951</v>
      </c>
      <c r="AQ80">
        <v>4.5367284685194541E-4</v>
      </c>
      <c r="AR80">
        <v>96.635452157596717</v>
      </c>
      <c r="AS80">
        <v>0</v>
      </c>
      <c r="AT80">
        <v>0</v>
      </c>
      <c r="AU80">
        <f t="shared" si="77"/>
        <v>1</v>
      </c>
      <c r="AV80">
        <f t="shared" si="78"/>
        <v>0</v>
      </c>
      <c r="AW80">
        <f t="shared" si="79"/>
        <v>48800.280773366037</v>
      </c>
      <c r="AX80" t="s">
        <v>692</v>
      </c>
      <c r="AY80">
        <v>5015.32</v>
      </c>
      <c r="AZ80">
        <v>728.58399999999995</v>
      </c>
      <c r="BA80">
        <v>1690.71138267737</v>
      </c>
      <c r="BB80">
        <f t="shared" si="80"/>
        <v>0.56906660269464093</v>
      </c>
      <c r="BC80">
        <v>-2.8602734655613742</v>
      </c>
      <c r="BD80" t="s">
        <v>700</v>
      </c>
      <c r="BE80">
        <v>5050.8100000000004</v>
      </c>
      <c r="BF80">
        <v>1522.9992</v>
      </c>
      <c r="BG80">
        <v>1592.6854214428411</v>
      </c>
      <c r="BH80">
        <f t="shared" si="81"/>
        <v>4.3753914303874986E-2</v>
      </c>
      <c r="BI80">
        <v>0.5</v>
      </c>
      <c r="BJ80">
        <f t="shared" si="82"/>
        <v>2356.5483393883956</v>
      </c>
      <c r="BK80">
        <f t="shared" si="83"/>
        <v>3.2947275690714908</v>
      </c>
      <c r="BL80">
        <f t="shared" si="84"/>
        <v>51.554107047269383</v>
      </c>
      <c r="BM80">
        <f t="shared" si="85"/>
        <v>2.6118713254277216E-3</v>
      </c>
      <c r="BN80">
        <f t="shared" si="86"/>
        <v>6.1547597482072482E-2</v>
      </c>
      <c r="BO80">
        <f t="shared" si="87"/>
        <v>709.75911901784025</v>
      </c>
      <c r="BP80" t="s">
        <v>701</v>
      </c>
      <c r="BQ80">
        <v>874.47</v>
      </c>
      <c r="BR80">
        <f t="shared" si="88"/>
        <v>874.47</v>
      </c>
      <c r="BS80">
        <f t="shared" si="89"/>
        <v>0.45094618923063745</v>
      </c>
      <c r="BT80">
        <f t="shared" si="90"/>
        <v>9.7026907752616451E-2</v>
      </c>
      <c r="BU80">
        <f t="shared" si="91"/>
        <v>0.12009432909783622</v>
      </c>
      <c r="BV80">
        <f t="shared" si="92"/>
        <v>8.0645882200357788E-2</v>
      </c>
      <c r="BW80">
        <f t="shared" si="93"/>
        <v>0.10188459761091737</v>
      </c>
      <c r="BX80">
        <f t="shared" si="94"/>
        <v>5.5710547991378145E-2</v>
      </c>
      <c r="BY80">
        <f t="shared" si="95"/>
        <v>0.9442894520086218</v>
      </c>
      <c r="BZ80">
        <v>487</v>
      </c>
      <c r="CA80">
        <v>290.00000000000011</v>
      </c>
      <c r="CB80">
        <v>1562.41</v>
      </c>
      <c r="CC80">
        <v>55</v>
      </c>
      <c r="CD80">
        <v>5050.8100000000004</v>
      </c>
      <c r="CE80">
        <v>1560.46</v>
      </c>
      <c r="CF80">
        <v>1.95</v>
      </c>
      <c r="CG80">
        <v>300.00000000000011</v>
      </c>
      <c r="CH80">
        <v>23.9</v>
      </c>
      <c r="CI80">
        <v>1592.6854214428411</v>
      </c>
      <c r="CJ80">
        <v>2.1796905580580268</v>
      </c>
      <c r="CK80">
        <v>-16.275092403989721</v>
      </c>
      <c r="CL80">
        <v>1.008113539226275</v>
      </c>
      <c r="CM80">
        <v>0.90299071877305048</v>
      </c>
      <c r="CN80">
        <v>-2.691336596218018E-3</v>
      </c>
      <c r="CO80">
        <v>289.99999999999989</v>
      </c>
      <c r="CP80">
        <v>1558.43</v>
      </c>
      <c r="CQ80">
        <v>625</v>
      </c>
      <c r="CR80">
        <v>5048.4399999999996</v>
      </c>
      <c r="CS80">
        <v>1560.45</v>
      </c>
      <c r="CT80">
        <v>-2.02</v>
      </c>
      <c r="DH80">
        <f t="shared" si="96"/>
        <v>2872.686999999999</v>
      </c>
      <c r="DI80">
        <f t="shared" si="97"/>
        <v>2356.5483393883956</v>
      </c>
      <c r="DJ80">
        <f t="shared" si="98"/>
        <v>0.8203289600949899</v>
      </c>
      <c r="DK80">
        <f t="shared" si="99"/>
        <v>0.17598489298333053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1761689211.25</v>
      </c>
      <c r="DR80">
        <v>415.46420000000001</v>
      </c>
      <c r="DS80">
        <v>419.99599999999998</v>
      </c>
      <c r="DT80">
        <v>15.653966666666671</v>
      </c>
      <c r="DU80">
        <v>14.28606666666666</v>
      </c>
      <c r="DV80">
        <v>414.6354</v>
      </c>
      <c r="DW80">
        <v>15.483610000000001</v>
      </c>
      <c r="DX80">
        <v>500.0163</v>
      </c>
      <c r="DY80">
        <v>91.158066666666656</v>
      </c>
      <c r="DZ80">
        <v>3.9142533333333333E-2</v>
      </c>
      <c r="EA80">
        <v>23.293036666666669</v>
      </c>
      <c r="EB80">
        <v>24.07503333333333</v>
      </c>
      <c r="EC80">
        <v>999.9000000000002</v>
      </c>
      <c r="ED80">
        <v>0</v>
      </c>
      <c r="EE80">
        <v>0</v>
      </c>
      <c r="EF80">
        <v>9999.020333333332</v>
      </c>
      <c r="EG80">
        <v>0</v>
      </c>
      <c r="EH80">
        <v>1072.6736666666659</v>
      </c>
      <c r="EI80">
        <v>-4.5317353333333337</v>
      </c>
      <c r="EJ80">
        <v>422.07133333333343</v>
      </c>
      <c r="EK80">
        <v>426.08310000000012</v>
      </c>
      <c r="EL80">
        <v>1.3678883333333329</v>
      </c>
      <c r="EM80">
        <v>419.99599999999998</v>
      </c>
      <c r="EN80">
        <v>14.28606666666666</v>
      </c>
      <c r="EO80">
        <v>1.426984666666667</v>
      </c>
      <c r="EP80">
        <v>1.3022910000000001</v>
      </c>
      <c r="EQ80">
        <v>12.20746333333333</v>
      </c>
      <c r="ER80">
        <v>10.82528666666667</v>
      </c>
      <c r="ES80">
        <v>1800.0133333333331</v>
      </c>
      <c r="ET80">
        <v>0.9780063333333332</v>
      </c>
      <c r="EU80">
        <v>2.1993536666666671E-2</v>
      </c>
      <c r="EV80">
        <v>0</v>
      </c>
      <c r="EW80">
        <v>1523.0286666666659</v>
      </c>
      <c r="EX80">
        <v>5.0005600000000019</v>
      </c>
      <c r="EY80">
        <v>27541.919999999998</v>
      </c>
      <c r="EZ80">
        <v>15551.31</v>
      </c>
      <c r="FA80">
        <v>39.5</v>
      </c>
      <c r="FB80">
        <v>40.678733333333319</v>
      </c>
      <c r="FC80">
        <v>39.625</v>
      </c>
      <c r="FD80">
        <v>39.561999999999983</v>
      </c>
      <c r="FE80">
        <v>40</v>
      </c>
      <c r="FF80">
        <v>1755.529666666667</v>
      </c>
      <c r="FG80">
        <v>39.475333333333332</v>
      </c>
      <c r="FH80">
        <v>0</v>
      </c>
      <c r="FI80">
        <v>127.2000000476837</v>
      </c>
      <c r="FJ80">
        <v>0</v>
      </c>
      <c r="FK80">
        <v>1522.9992</v>
      </c>
      <c r="FL80">
        <v>-5.5184615353566828</v>
      </c>
      <c r="FM80">
        <v>-120.8615382217896</v>
      </c>
      <c r="FN80">
        <v>27541.164000000001</v>
      </c>
      <c r="FO80">
        <v>15</v>
      </c>
      <c r="FP80">
        <v>0</v>
      </c>
      <c r="FQ80" t="s">
        <v>441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-4.5190080487804876</v>
      </c>
      <c r="GD80">
        <v>-0.245483414634142</v>
      </c>
      <c r="GE80">
        <v>3.197344402816199E-2</v>
      </c>
      <c r="GF80">
        <v>1</v>
      </c>
      <c r="GG80">
        <v>1523.3247058823531</v>
      </c>
      <c r="GH80">
        <v>-6.0791443780203291</v>
      </c>
      <c r="GI80">
        <v>0.64108013307559886</v>
      </c>
      <c r="GJ80">
        <v>0</v>
      </c>
      <c r="GK80">
        <v>1.384669024390244</v>
      </c>
      <c r="GL80">
        <v>-0.29884306620208728</v>
      </c>
      <c r="GM80">
        <v>3.2073823443233208E-2</v>
      </c>
      <c r="GN80">
        <v>0</v>
      </c>
      <c r="GO80">
        <v>1</v>
      </c>
      <c r="GP80">
        <v>3</v>
      </c>
      <c r="GQ80" t="s">
        <v>442</v>
      </c>
      <c r="GR80">
        <v>3.1290300000000002</v>
      </c>
      <c r="GS80">
        <v>2.7167300000000001</v>
      </c>
      <c r="GT80">
        <v>8.5463700000000004E-2</v>
      </c>
      <c r="GU80">
        <v>8.6749099999999996E-2</v>
      </c>
      <c r="GV80">
        <v>7.9520999999999994E-2</v>
      </c>
      <c r="GW80">
        <v>7.5111399999999995E-2</v>
      </c>
      <c r="GX80">
        <v>27446.1</v>
      </c>
      <c r="GY80">
        <v>26499.200000000001</v>
      </c>
      <c r="GZ80">
        <v>30553.4</v>
      </c>
      <c r="HA80">
        <v>29270.9</v>
      </c>
      <c r="HB80">
        <v>38806.199999999997</v>
      </c>
      <c r="HC80">
        <v>35640.400000000001</v>
      </c>
      <c r="HD80">
        <v>46720.800000000003</v>
      </c>
      <c r="HE80">
        <v>43511.4</v>
      </c>
      <c r="HF80">
        <v>1.83212</v>
      </c>
      <c r="HG80">
        <v>1.8563700000000001</v>
      </c>
      <c r="HH80">
        <v>6.8791199999999997E-2</v>
      </c>
      <c r="HI80">
        <v>0</v>
      </c>
      <c r="HJ80">
        <v>22.944500000000001</v>
      </c>
      <c r="HK80">
        <v>999.9</v>
      </c>
      <c r="HL80">
        <v>38</v>
      </c>
      <c r="HM80">
        <v>30.5</v>
      </c>
      <c r="HN80">
        <v>18.276199999999999</v>
      </c>
      <c r="HO80">
        <v>63.937899999999999</v>
      </c>
      <c r="HP80">
        <v>18.076899999999998</v>
      </c>
      <c r="HQ80">
        <v>1</v>
      </c>
      <c r="HR80">
        <v>0.166301</v>
      </c>
      <c r="HS80">
        <v>4.1797700000000004</v>
      </c>
      <c r="HT80">
        <v>20.157499999999999</v>
      </c>
      <c r="HU80">
        <v>5.23766</v>
      </c>
      <c r="HV80">
        <v>11.9787</v>
      </c>
      <c r="HW80">
        <v>4.9726499999999998</v>
      </c>
      <c r="HX80">
        <v>3.2909999999999999</v>
      </c>
      <c r="HY80">
        <v>9999</v>
      </c>
      <c r="HZ80">
        <v>9999</v>
      </c>
      <c r="IA80">
        <v>9999</v>
      </c>
      <c r="IB80">
        <v>999.9</v>
      </c>
      <c r="IC80">
        <v>4.9729000000000001</v>
      </c>
      <c r="ID80">
        <v>1.8772899999999999</v>
      </c>
      <c r="IE80">
        <v>1.8753299999999999</v>
      </c>
      <c r="IF80">
        <v>1.8782000000000001</v>
      </c>
      <c r="IG80">
        <v>1.8748800000000001</v>
      </c>
      <c r="IH80">
        <v>1.8785000000000001</v>
      </c>
      <c r="II80">
        <v>1.87561</v>
      </c>
      <c r="IJ80">
        <v>1.8768199999999999</v>
      </c>
      <c r="IK80">
        <v>0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0.82899999999999996</v>
      </c>
      <c r="IY80">
        <v>0.17080000000000001</v>
      </c>
      <c r="IZ80">
        <v>6.1933660764125778E-2</v>
      </c>
      <c r="JA80">
        <v>2.058711587971173E-3</v>
      </c>
      <c r="JB80">
        <v>-6.1309262243104059E-7</v>
      </c>
      <c r="JC80">
        <v>2.6183910446277612E-10</v>
      </c>
      <c r="JD80">
        <v>3.5078820932035488E-4</v>
      </c>
      <c r="JE80">
        <v>-4.3284922736758413E-3</v>
      </c>
      <c r="JF80">
        <v>1.4186339569364E-3</v>
      </c>
      <c r="JG80">
        <v>-2.7770646863349432E-5</v>
      </c>
      <c r="JH80">
        <v>2</v>
      </c>
      <c r="JI80">
        <v>2136</v>
      </c>
      <c r="JJ80">
        <v>1</v>
      </c>
      <c r="JK80">
        <v>19</v>
      </c>
      <c r="JL80">
        <v>29361487</v>
      </c>
      <c r="JM80">
        <v>29361487</v>
      </c>
      <c r="JN80">
        <v>1.1059600000000001</v>
      </c>
      <c r="JO80">
        <v>2.5463900000000002</v>
      </c>
      <c r="JP80">
        <v>1.39893</v>
      </c>
      <c r="JQ80">
        <v>2.32666</v>
      </c>
      <c r="JR80">
        <v>1.4489700000000001</v>
      </c>
      <c r="JS80">
        <v>2.6074199999999998</v>
      </c>
      <c r="JT80">
        <v>36.387099999999997</v>
      </c>
      <c r="JU80">
        <v>23.833600000000001</v>
      </c>
      <c r="JV80">
        <v>18</v>
      </c>
      <c r="JW80">
        <v>483.59100000000001</v>
      </c>
      <c r="JX80">
        <v>469.613</v>
      </c>
      <c r="JY80">
        <v>18.597799999999999</v>
      </c>
      <c r="JZ80">
        <v>29.236899999999999</v>
      </c>
      <c r="KA80">
        <v>30.000299999999999</v>
      </c>
      <c r="KB80">
        <v>28.889500000000002</v>
      </c>
      <c r="KC80">
        <v>28.952400000000001</v>
      </c>
      <c r="KD80">
        <v>22.165299999999998</v>
      </c>
      <c r="KE80">
        <v>27.683</v>
      </c>
      <c r="KF80">
        <v>65.108800000000002</v>
      </c>
      <c r="KG80">
        <v>18.5519</v>
      </c>
      <c r="KH80">
        <v>420</v>
      </c>
      <c r="KI80">
        <v>14.3406</v>
      </c>
      <c r="KJ80">
        <v>100.983</v>
      </c>
      <c r="KK80">
        <v>100.068</v>
      </c>
    </row>
    <row r="81" spans="1:297" x14ac:dyDescent="0.3">
      <c r="A81">
        <v>65</v>
      </c>
      <c r="B81">
        <v>1761689348.5999999</v>
      </c>
      <c r="C81">
        <v>11898.599999904631</v>
      </c>
      <c r="D81" t="s">
        <v>702</v>
      </c>
      <c r="E81" t="s">
        <v>703</v>
      </c>
      <c r="F81">
        <v>5</v>
      </c>
      <c r="G81" t="s">
        <v>695</v>
      </c>
      <c r="H81" t="s">
        <v>436</v>
      </c>
      <c r="I81">
        <v>1761689340.849999</v>
      </c>
      <c r="J81">
        <f t="shared" ref="J81:J112" si="100">(K81)/1000</f>
        <v>1.2284458170034817E-3</v>
      </c>
      <c r="K81">
        <f t="shared" ref="K81:K108" si="101">IF(DP81, AN81, AH81)</f>
        <v>1.2284458170034818</v>
      </c>
      <c r="L81">
        <f t="shared" ref="L81:L108" si="102">IF(DP81, AI81, AG81)</f>
        <v>3.315744881449656</v>
      </c>
      <c r="M81">
        <f t="shared" ref="M81:M112" si="103">DR81 - IF(AU81&gt;1, L81*DL81*100/(AW81), 0)</f>
        <v>415.44509999999991</v>
      </c>
      <c r="N81">
        <f t="shared" ref="N81:N112" si="104">((T81-J81/2)*M81-L81)/(T81+J81/2)</f>
        <v>309.10610076042337</v>
      </c>
      <c r="O81">
        <f t="shared" ref="O81:O112" si="105">N81*(DY81+DZ81)/1000</f>
        <v>28.189829186087909</v>
      </c>
      <c r="P81">
        <f t="shared" ref="P81:P108" si="106">(DR81 - IF(AU81&gt;1, L81*DL81*100/(AW81), 0))*(DY81+DZ81)/1000</f>
        <v>37.887723265204073</v>
      </c>
      <c r="Q81">
        <f t="shared" ref="Q81:Q112" si="107">2/((1/S81-1/R81)+SIGN(S81)*SQRT((1/S81-1/R81)*(1/S81-1/R81) + 4*DM81/((DM81+1)*(DM81+1))*(2*1/S81*1/R81-1/R81*1/R81)))</f>
        <v>5.7140624424420895E-2</v>
      </c>
      <c r="R81">
        <f t="shared" ref="R81:R108" si="108">IF(LEFT(DN81,1)&lt;&gt;"0",IF(LEFT(DN81,1)="1",3,DO81),$D$5+$E$5*(EF81*DY81/($K$5*1000))+$F$5*(EF81*DY81/($K$5*1000))*MAX(MIN(DL81,$J$5),$I$5)*MAX(MIN(DL81,$J$5),$I$5)+$G$5*MAX(MIN(DL81,$J$5),$I$5)*(EF81*DY81/($K$5*1000))+$H$5*(EF81*DY81/($K$5*1000))*(EF81*DY81/($K$5*1000)))</f>
        <v>2.7687144174785345</v>
      </c>
      <c r="S81">
        <f t="shared" ref="S81:S108" si="109">J81*(1000-(1000*0.61365*EXP(17.502*W81/(240.97+W81))/(DY81+DZ81)+DT81)/2)/(1000*0.61365*EXP(17.502*W81/(240.97+W81))/(DY81+DZ81)-DT81)</f>
        <v>5.6493485131712519E-2</v>
      </c>
      <c r="T81">
        <f t="shared" ref="T81:T108" si="110">1/((DM81+1)/(Q81/1.6)+1/(R81/1.37)) + DM81/((DM81+1)/(Q81/1.6) + DM81/(R81/1.37))</f>
        <v>3.5365960317778611E-2</v>
      </c>
      <c r="U81">
        <f t="shared" ref="U81:U108" si="111">(DH81*DK81)</f>
        <v>453.09861026967957</v>
      </c>
      <c r="V81">
        <f t="shared" ref="V81:V112" si="112">(EA81+(U81+2*0.95*0.0000000567*(((EA81+$B$7)+273)^4-(EA81+273)^4)-44100*J81)/(1.84*29.3*R81+8*0.95*0.0000000567*(EA81+273)^3))</f>
        <v>26.050325519810318</v>
      </c>
      <c r="W81">
        <f t="shared" ref="W81:W112" si="113">($C$7*EB81+$D$7*EC81+$E$7*V81)</f>
        <v>26.050325519810318</v>
      </c>
      <c r="X81">
        <f t="shared" ref="X81:X112" si="114">0.61365*EXP(17.502*W81/(240.97+W81))</f>
        <v>3.3843198100435044</v>
      </c>
      <c r="Y81">
        <f t="shared" ref="Y81:Y112" si="115">(Z81/AA81*100)</f>
        <v>49.829916764889944</v>
      </c>
      <c r="Z81">
        <f t="shared" ref="Z81:Z108" si="116">DT81*(DY81+DZ81)/1000</f>
        <v>1.4538320298327572</v>
      </c>
      <c r="AA81">
        <f t="shared" ref="AA81:AA108" si="117">0.61365*EXP(17.502*EA81/(240.97+EA81))</f>
        <v>2.9175887182238363</v>
      </c>
      <c r="AB81">
        <f t="shared" ref="AB81:AB108" si="118">(X81-DT81*(DY81+DZ81)/1000)</f>
        <v>1.9304877802107472</v>
      </c>
      <c r="AC81">
        <f t="shared" ref="AC81:AC108" si="119">(-J81*44100)</f>
        <v>-54.17446052985354</v>
      </c>
      <c r="AD81">
        <f t="shared" ref="AD81:AD108" si="120">2*29.3*R81*0.92*(EA81-W81)</f>
        <v>-370.98885591044836</v>
      </c>
      <c r="AE81">
        <f t="shared" ref="AE81:AE108" si="121">2*0.95*0.0000000567*(((EA81+$B$7)+273)^4-(W81+273)^4)</f>
        <v>-28.288433681657455</v>
      </c>
      <c r="AF81">
        <f t="shared" ref="AF81:AF112" si="122">U81+AE81+AC81+AD81</f>
        <v>-0.35313985227980993</v>
      </c>
      <c r="AG81">
        <f t="shared" ref="AG81:AG108" si="123">DX81*AU81*(DS81-DR81*(1000-AU81*DU81)/(1000-AU81*DT81))/(100*DL81)</f>
        <v>3.3122442657468469</v>
      </c>
      <c r="AH81">
        <f t="shared" ref="AH81:AH108" si="124">1000*DX81*AU81*(DT81-DU81)/(100*DL81*(1000-AU81*DT81))</f>
        <v>1.113271798870177</v>
      </c>
      <c r="AI81">
        <f t="shared" ref="AI81:AI112" si="125">(AJ81 - AK81 - DY81*1000/(8.314*(EA81+273.15)) * AM81/DX81 * AL81) * DX81/(100*DL81) * (1000 - DU81)/1000</f>
        <v>3.315744881449656</v>
      </c>
      <c r="AJ81">
        <v>426.19615953269192</v>
      </c>
      <c r="AK81">
        <v>422.15799393939392</v>
      </c>
      <c r="AL81">
        <v>3.6795906467204042E-5</v>
      </c>
      <c r="AM81">
        <v>65.005994502390706</v>
      </c>
      <c r="AN81">
        <f t="shared" ref="AN81:AN112" si="126">(AP81 - AO81 + DY81*1000/(8.314*(EA81+273.15)) * AR81/DX81 * AQ81) * DX81/(100*DL81) * 1000/(1000 - AP81)</f>
        <v>1.2284458170034818</v>
      </c>
      <c r="AO81">
        <v>14.62296169149081</v>
      </c>
      <c r="AP81">
        <v>16.002882517482519</v>
      </c>
      <c r="AQ81">
        <v>9.8901972795255606E-3</v>
      </c>
      <c r="AR81">
        <v>96.635452157596717</v>
      </c>
      <c r="AS81">
        <v>0</v>
      </c>
      <c r="AT81">
        <v>0</v>
      </c>
      <c r="AU81">
        <f t="shared" ref="AU81:AU108" si="127">IF(AS81*$H$13&gt;=AW81,1,(AW81/(AW81-AS81*$H$13)))</f>
        <v>1</v>
      </c>
      <c r="AV81">
        <f t="shared" ref="AV81:AV112" si="128">(AU81-1)*100</f>
        <v>0</v>
      </c>
      <c r="AW81">
        <f t="shared" ref="AW81:AW108" si="129">MAX(0,($B$13+$C$13*EF81)/(1+$D$13*EF81)*DY81/(EA81+273)*$E$13)</f>
        <v>48730.962265624847</v>
      </c>
      <c r="AX81" t="s">
        <v>692</v>
      </c>
      <c r="AY81">
        <v>5015.32</v>
      </c>
      <c r="AZ81">
        <v>728.58399999999995</v>
      </c>
      <c r="BA81">
        <v>1690.71138267737</v>
      </c>
      <c r="BB81">
        <f t="shared" ref="BB81:BB112" si="130">1-AZ81/BA81</f>
        <v>0.56906660269464093</v>
      </c>
      <c r="BC81">
        <v>-2.8602734655613742</v>
      </c>
      <c r="BD81" t="s">
        <v>704</v>
      </c>
      <c r="BE81">
        <v>5052.1000000000004</v>
      </c>
      <c r="BF81">
        <v>1503.614</v>
      </c>
      <c r="BG81">
        <v>1585.20918794984</v>
      </c>
      <c r="BH81">
        <f t="shared" ref="BH81:BH112" si="131">1-BF81/BG81</f>
        <v>5.1472820477004411E-2</v>
      </c>
      <c r="BI81">
        <v>0.5</v>
      </c>
      <c r="BJ81">
        <f t="shared" ref="BJ81:BJ108" si="132">DI81</f>
        <v>2110.5183240171059</v>
      </c>
      <c r="BK81">
        <f t="shared" ref="BK81:BK108" si="133">L81</f>
        <v>3.315744881449656</v>
      </c>
      <c r="BL81">
        <f t="shared" ref="BL81:BL108" si="134">BH81*BI81*BJ81</f>
        <v>54.317165402780361</v>
      </c>
      <c r="BM81">
        <f t="shared" ref="BM81:BM108" si="135">(BK81-BC81)/BJ81</f>
        <v>2.9263040631913382E-3</v>
      </c>
      <c r="BN81">
        <f t="shared" ref="BN81:BN108" si="136">(BA81-BG81)/BG81</f>
        <v>6.6554115084316759E-2</v>
      </c>
      <c r="BO81">
        <f t="shared" ref="BO81:BO108" si="137">AZ81/(BB81+AZ81/BG81)</f>
        <v>708.27052448219877</v>
      </c>
      <c r="BP81" t="s">
        <v>705</v>
      </c>
      <c r="BQ81">
        <v>859.4</v>
      </c>
      <c r="BR81">
        <f t="shared" ref="BR81:BR112" si="138">IF(BQ81&lt;&gt;0, BQ81, BO81)</f>
        <v>859.4</v>
      </c>
      <c r="BS81">
        <f t="shared" ref="BS81:BS112" si="139">1-BR81/BG81</f>
        <v>0.45786334918266103</v>
      </c>
      <c r="BT81">
        <f t="shared" ref="BT81:BT108" si="140">(BG81-BF81)/(BG81-BR81)</f>
        <v>0.11241961290173</v>
      </c>
      <c r="BU81">
        <f t="shared" ref="BU81:BU108" si="141">(BA81-BG81)/(BA81-BR81)</f>
        <v>0.12691056194580597</v>
      </c>
      <c r="BV81">
        <f t="shared" ref="BV81:BV108" si="142">(BG81-BF81)/(BG81-AZ81)</f>
        <v>9.5251913085957304E-2</v>
      </c>
      <c r="BW81">
        <f t="shared" ref="BW81:BW108" si="143">(BA81-BG81)/(BA81-AZ81)</f>
        <v>0.10965512116903131</v>
      </c>
      <c r="BX81">
        <f t="shared" ref="BX81:BX108" si="144">(BT81*BR81/BF81)</f>
        <v>6.4254133925160814E-2</v>
      </c>
      <c r="BY81">
        <f t="shared" ref="BY81:BY112" si="145">(1-BX81)</f>
        <v>0.93574586607483923</v>
      </c>
      <c r="BZ81">
        <v>489</v>
      </c>
      <c r="CA81">
        <v>290.00000000000011</v>
      </c>
      <c r="CB81">
        <v>1557.26</v>
      </c>
      <c r="CC81">
        <v>95</v>
      </c>
      <c r="CD81">
        <v>5052.1000000000004</v>
      </c>
      <c r="CE81">
        <v>1554.32</v>
      </c>
      <c r="CF81">
        <v>2.94</v>
      </c>
      <c r="CG81">
        <v>300.00000000000011</v>
      </c>
      <c r="CH81">
        <v>23.9</v>
      </c>
      <c r="CI81">
        <v>1585.20918794984</v>
      </c>
      <c r="CJ81">
        <v>1.696701334575857</v>
      </c>
      <c r="CK81">
        <v>-15.607447770079791</v>
      </c>
      <c r="CL81">
        <v>0.77806515013429589</v>
      </c>
      <c r="CM81">
        <v>0.9349405798712922</v>
      </c>
      <c r="CN81">
        <v>-2.9415232480533939E-3</v>
      </c>
      <c r="CO81">
        <v>289.99999999999989</v>
      </c>
      <c r="CP81">
        <v>1551.77</v>
      </c>
      <c r="CQ81">
        <v>775</v>
      </c>
      <c r="CR81">
        <v>5049.79</v>
      </c>
      <c r="CS81">
        <v>1554.3</v>
      </c>
      <c r="CT81">
        <v>-2.5299999999999998</v>
      </c>
      <c r="DH81">
        <f t="shared" ref="DH81:DH108" si="146">$B$11*EG81+$C$11*EH81+$F$11*ES81*(1-EV81)</f>
        <v>2572.5363333333339</v>
      </c>
      <c r="DI81">
        <f t="shared" ref="DI81:DI112" si="147">DH81*DJ81</f>
        <v>2110.5183240171059</v>
      </c>
      <c r="DJ81">
        <f t="shared" ref="DJ81:DJ108" si="148">($B$11*$D$9+$C$11*$D$9+$F$11*((FF81+EX81)/MAX(FF81+EX81+FG81, 0.1)*$I$9+FG81/MAX(FF81+EX81+FG81, 0.1)*$J$9))/($B$11+$C$11+$F$11)</f>
        <v>0.82040369913159839</v>
      </c>
      <c r="DK81">
        <f t="shared" ref="DK81:DK108" si="149">($B$11*$K$9+$C$11*$K$9+$F$11*((FF81+EX81)/MAX(FF81+EX81+FG81, 0.1)*$P$9+FG81/MAX(FF81+EX81+FG81, 0.1)*$Q$9))/($B$11+$C$11+$F$11)</f>
        <v>0.17612913932398472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1761689340.849999</v>
      </c>
      <c r="DR81">
        <v>415.44509999999991</v>
      </c>
      <c r="DS81">
        <v>419.97483333333338</v>
      </c>
      <c r="DT81">
        <v>15.941506666666671</v>
      </c>
      <c r="DU81">
        <v>14.626866666666659</v>
      </c>
      <c r="DV81">
        <v>414.61633333333327</v>
      </c>
      <c r="DW81">
        <v>15.765613333333331</v>
      </c>
      <c r="DX81">
        <v>499.99599999999998</v>
      </c>
      <c r="DY81">
        <v>91.158380000000022</v>
      </c>
      <c r="DZ81">
        <v>3.9526209999999992E-2</v>
      </c>
      <c r="EA81">
        <v>23.564920000000011</v>
      </c>
      <c r="EB81">
        <v>23.990453333333331</v>
      </c>
      <c r="EC81">
        <v>999.9000000000002</v>
      </c>
      <c r="ED81">
        <v>0</v>
      </c>
      <c r="EE81">
        <v>0</v>
      </c>
      <c r="EF81">
        <v>9993.7293333333328</v>
      </c>
      <c r="EG81">
        <v>0</v>
      </c>
      <c r="EH81">
        <v>1072.5336666666669</v>
      </c>
      <c r="EI81">
        <v>-4.5296606666666666</v>
      </c>
      <c r="EJ81">
        <v>422.1752666666668</v>
      </c>
      <c r="EK81">
        <v>426.20890000000003</v>
      </c>
      <c r="EL81">
        <v>1.314637333333333</v>
      </c>
      <c r="EM81">
        <v>419.97483333333338</v>
      </c>
      <c r="EN81">
        <v>14.626866666666659</v>
      </c>
      <c r="EO81">
        <v>1.453202333333333</v>
      </c>
      <c r="EP81">
        <v>1.333361666666667</v>
      </c>
      <c r="EQ81">
        <v>12.48440666666667</v>
      </c>
      <c r="ER81">
        <v>11.180260000000001</v>
      </c>
      <c r="ES81">
        <v>1500.002666666667</v>
      </c>
      <c r="ET81">
        <v>0.97299666666666684</v>
      </c>
      <c r="EU81">
        <v>2.700346E-2</v>
      </c>
      <c r="EV81">
        <v>0</v>
      </c>
      <c r="EW81">
        <v>1503.6849999999999</v>
      </c>
      <c r="EX81">
        <v>5.0005600000000019</v>
      </c>
      <c r="EY81">
        <v>22635.686666666661</v>
      </c>
      <c r="EZ81">
        <v>12931.52</v>
      </c>
      <c r="FA81">
        <v>39.116599999999991</v>
      </c>
      <c r="FB81">
        <v>40.629133333333343</v>
      </c>
      <c r="FC81">
        <v>39.466399999999993</v>
      </c>
      <c r="FD81">
        <v>39.512399999999992</v>
      </c>
      <c r="FE81">
        <v>39.770666666666664</v>
      </c>
      <c r="FF81">
        <v>1454.6326666666671</v>
      </c>
      <c r="FG81">
        <v>40.369999999999983</v>
      </c>
      <c r="FH81">
        <v>0</v>
      </c>
      <c r="FI81">
        <v>127.7999999523163</v>
      </c>
      <c r="FJ81">
        <v>0</v>
      </c>
      <c r="FK81">
        <v>1503.614</v>
      </c>
      <c r="FL81">
        <v>-3.9176922984182418</v>
      </c>
      <c r="FM81">
        <v>-68.969230868477155</v>
      </c>
      <c r="FN81">
        <v>22634.576000000001</v>
      </c>
      <c r="FO81">
        <v>15</v>
      </c>
      <c r="FP81">
        <v>0</v>
      </c>
      <c r="FQ81" t="s">
        <v>441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-4.5228226829268294</v>
      </c>
      <c r="GD81">
        <v>-0.27350780487805149</v>
      </c>
      <c r="GE81">
        <v>5.8402347389525232E-2</v>
      </c>
      <c r="GF81">
        <v>1</v>
      </c>
      <c r="GG81">
        <v>1503.8270588235289</v>
      </c>
      <c r="GH81">
        <v>-2.7141329230231062</v>
      </c>
      <c r="GI81">
        <v>0.36842693753918082</v>
      </c>
      <c r="GJ81">
        <v>0</v>
      </c>
      <c r="GK81">
        <v>1.291104146341463</v>
      </c>
      <c r="GL81">
        <v>0.51757630662021059</v>
      </c>
      <c r="GM81">
        <v>5.6112204445075052E-2</v>
      </c>
      <c r="GN81">
        <v>0</v>
      </c>
      <c r="GO81">
        <v>1</v>
      </c>
      <c r="GP81">
        <v>3</v>
      </c>
      <c r="GQ81" t="s">
        <v>442</v>
      </c>
      <c r="GR81">
        <v>3.1288900000000002</v>
      </c>
      <c r="GS81">
        <v>2.7171099999999999</v>
      </c>
      <c r="GT81">
        <v>8.5463899999999995E-2</v>
      </c>
      <c r="GU81">
        <v>8.6762199999999998E-2</v>
      </c>
      <c r="GV81">
        <v>8.0715400000000007E-2</v>
      </c>
      <c r="GW81">
        <v>7.6144600000000007E-2</v>
      </c>
      <c r="GX81">
        <v>27448.1</v>
      </c>
      <c r="GY81">
        <v>26500.2</v>
      </c>
      <c r="GZ81">
        <v>30555.599999999999</v>
      </c>
      <c r="HA81">
        <v>29272.400000000001</v>
      </c>
      <c r="HB81">
        <v>38757.9</v>
      </c>
      <c r="HC81">
        <v>35602.300000000003</v>
      </c>
      <c r="HD81">
        <v>46723.8</v>
      </c>
      <c r="HE81">
        <v>43513.9</v>
      </c>
      <c r="HF81">
        <v>1.83223</v>
      </c>
      <c r="HG81">
        <v>1.8569</v>
      </c>
      <c r="HH81">
        <v>5.8710600000000002E-2</v>
      </c>
      <c r="HI81">
        <v>0</v>
      </c>
      <c r="HJ81">
        <v>23.062999999999999</v>
      </c>
      <c r="HK81">
        <v>999.9</v>
      </c>
      <c r="HL81">
        <v>37.799999999999997</v>
      </c>
      <c r="HM81">
        <v>30.5</v>
      </c>
      <c r="HN81">
        <v>18.179300000000001</v>
      </c>
      <c r="HO81">
        <v>63.747</v>
      </c>
      <c r="HP81">
        <v>18.337299999999999</v>
      </c>
      <c r="HQ81">
        <v>1</v>
      </c>
      <c r="HR81">
        <v>0.15920000000000001</v>
      </c>
      <c r="HS81">
        <v>3.05179</v>
      </c>
      <c r="HT81">
        <v>20.183900000000001</v>
      </c>
      <c r="HU81">
        <v>5.2384000000000004</v>
      </c>
      <c r="HV81">
        <v>11.977600000000001</v>
      </c>
      <c r="HW81">
        <v>4.9728000000000003</v>
      </c>
      <c r="HX81">
        <v>3.2909999999999999</v>
      </c>
      <c r="HY81">
        <v>9999</v>
      </c>
      <c r="HZ81">
        <v>9999</v>
      </c>
      <c r="IA81">
        <v>9999</v>
      </c>
      <c r="IB81">
        <v>999.9</v>
      </c>
      <c r="IC81">
        <v>4.97295</v>
      </c>
      <c r="ID81">
        <v>1.8773</v>
      </c>
      <c r="IE81">
        <v>1.8754</v>
      </c>
      <c r="IF81">
        <v>1.8782000000000001</v>
      </c>
      <c r="IG81">
        <v>1.8749</v>
      </c>
      <c r="IH81">
        <v>1.8785099999999999</v>
      </c>
      <c r="II81">
        <v>1.87561</v>
      </c>
      <c r="IJ81">
        <v>1.8768199999999999</v>
      </c>
      <c r="IK81">
        <v>0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0.82899999999999996</v>
      </c>
      <c r="IY81">
        <v>0.1772</v>
      </c>
      <c r="IZ81">
        <v>6.1933660764125778E-2</v>
      </c>
      <c r="JA81">
        <v>2.058711587971173E-3</v>
      </c>
      <c r="JB81">
        <v>-6.1309262243104059E-7</v>
      </c>
      <c r="JC81">
        <v>2.6183910446277612E-10</v>
      </c>
      <c r="JD81">
        <v>3.5078820932035488E-4</v>
      </c>
      <c r="JE81">
        <v>-4.3284922736758413E-3</v>
      </c>
      <c r="JF81">
        <v>1.4186339569364E-3</v>
      </c>
      <c r="JG81">
        <v>-2.7770646863349432E-5</v>
      </c>
      <c r="JH81">
        <v>2</v>
      </c>
      <c r="JI81">
        <v>2136</v>
      </c>
      <c r="JJ81">
        <v>1</v>
      </c>
      <c r="JK81">
        <v>19</v>
      </c>
      <c r="JL81">
        <v>29361489.100000001</v>
      </c>
      <c r="JM81">
        <v>29361489.100000001</v>
      </c>
      <c r="JN81">
        <v>1.1059600000000001</v>
      </c>
      <c r="JO81">
        <v>2.5524900000000001</v>
      </c>
      <c r="JP81">
        <v>1.39893</v>
      </c>
      <c r="JQ81">
        <v>2.32666</v>
      </c>
      <c r="JR81">
        <v>1.4489700000000001</v>
      </c>
      <c r="JS81">
        <v>2.4645999999999999</v>
      </c>
      <c r="JT81">
        <v>36.387099999999997</v>
      </c>
      <c r="JU81">
        <v>23.868600000000001</v>
      </c>
      <c r="JV81">
        <v>18</v>
      </c>
      <c r="JW81">
        <v>483.67899999999997</v>
      </c>
      <c r="JX81">
        <v>470.03500000000003</v>
      </c>
      <c r="JY81">
        <v>19.528500000000001</v>
      </c>
      <c r="JZ81">
        <v>29.2089</v>
      </c>
      <c r="KA81">
        <v>29.9986</v>
      </c>
      <c r="KB81">
        <v>28.894400000000001</v>
      </c>
      <c r="KC81">
        <v>28.962299999999999</v>
      </c>
      <c r="KD81">
        <v>22.166</v>
      </c>
      <c r="KE81">
        <v>25.6736</v>
      </c>
      <c r="KF81">
        <v>64.365899999999996</v>
      </c>
      <c r="KG81">
        <v>19.560199999999998</v>
      </c>
      <c r="KH81">
        <v>420</v>
      </c>
      <c r="KI81">
        <v>14.6541</v>
      </c>
      <c r="KJ81">
        <v>100.99</v>
      </c>
      <c r="KK81">
        <v>100.074</v>
      </c>
    </row>
    <row r="82" spans="1:297" x14ac:dyDescent="0.3">
      <c r="A82">
        <v>66</v>
      </c>
      <c r="B82">
        <v>1761689478.0999999</v>
      </c>
      <c r="C82">
        <v>12028.099999904631</v>
      </c>
      <c r="D82" t="s">
        <v>706</v>
      </c>
      <c r="E82" t="s">
        <v>707</v>
      </c>
      <c r="F82">
        <v>5</v>
      </c>
      <c r="G82" t="s">
        <v>695</v>
      </c>
      <c r="H82" t="s">
        <v>436</v>
      </c>
      <c r="I82">
        <v>1761689470.349999</v>
      </c>
      <c r="J82">
        <f t="shared" si="100"/>
        <v>1.2091003368225812E-3</v>
      </c>
      <c r="K82">
        <f t="shared" si="101"/>
        <v>1.2091003368225812</v>
      </c>
      <c r="L82">
        <f t="shared" si="102"/>
        <v>3.2479484523718831</v>
      </c>
      <c r="M82">
        <f t="shared" si="103"/>
        <v>415.54526666666658</v>
      </c>
      <c r="N82">
        <f t="shared" si="104"/>
        <v>311.19679569467945</v>
      </c>
      <c r="O82">
        <f t="shared" si="105"/>
        <v>28.378411458535091</v>
      </c>
      <c r="P82">
        <f t="shared" si="106"/>
        <v>37.89407449003167</v>
      </c>
      <c r="Q82">
        <f t="shared" si="107"/>
        <v>5.7091950687686806E-2</v>
      </c>
      <c r="R82">
        <f t="shared" si="108"/>
        <v>2.7710136047138896</v>
      </c>
      <c r="S82">
        <f t="shared" si="109"/>
        <v>5.6446436202502441E-2</v>
      </c>
      <c r="T82">
        <f t="shared" si="110"/>
        <v>3.5336411297812655E-2</v>
      </c>
      <c r="U82">
        <f t="shared" si="111"/>
        <v>400.60067104755717</v>
      </c>
      <c r="V82">
        <f t="shared" si="112"/>
        <v>25.962317069322559</v>
      </c>
      <c r="W82">
        <f t="shared" si="113"/>
        <v>25.962317069322559</v>
      </c>
      <c r="X82">
        <f t="shared" si="114"/>
        <v>3.3667417620309976</v>
      </c>
      <c r="Y82">
        <f t="shared" si="115"/>
        <v>49.509837330069523</v>
      </c>
      <c r="Z82">
        <f t="shared" si="116"/>
        <v>1.4651478472236033</v>
      </c>
      <c r="AA82">
        <f t="shared" si="117"/>
        <v>2.9593065262077802</v>
      </c>
      <c r="AB82">
        <f t="shared" si="118"/>
        <v>1.9015939148073944</v>
      </c>
      <c r="AC82">
        <f t="shared" si="119"/>
        <v>-53.321324853875829</v>
      </c>
      <c r="AD82">
        <f t="shared" si="120"/>
        <v>-322.92539003616923</v>
      </c>
      <c r="AE82">
        <f t="shared" si="121"/>
        <v>-24.621306854761826</v>
      </c>
      <c r="AF82">
        <f t="shared" si="122"/>
        <v>-0.26735069724969662</v>
      </c>
      <c r="AG82">
        <f t="shared" si="123"/>
        <v>3.2282933316218858</v>
      </c>
      <c r="AH82">
        <f t="shared" si="124"/>
        <v>1.1567923516690168</v>
      </c>
      <c r="AI82">
        <f t="shared" si="125"/>
        <v>3.2479484523718831</v>
      </c>
      <c r="AJ82">
        <v>426.25618594608483</v>
      </c>
      <c r="AK82">
        <v>422.30176969696959</v>
      </c>
      <c r="AL82">
        <v>-1.684247861520406E-4</v>
      </c>
      <c r="AM82">
        <v>65.005994502390706</v>
      </c>
      <c r="AN82">
        <f t="shared" si="126"/>
        <v>1.2091003368225812</v>
      </c>
      <c r="AO82">
        <v>14.732944608974501</v>
      </c>
      <c r="AP82">
        <v>16.111517482517499</v>
      </c>
      <c r="AQ82">
        <v>6.8399873831464821E-3</v>
      </c>
      <c r="AR82">
        <v>96.635452157596717</v>
      </c>
      <c r="AS82">
        <v>0</v>
      </c>
      <c r="AT82">
        <v>0</v>
      </c>
      <c r="AU82">
        <f t="shared" si="127"/>
        <v>1</v>
      </c>
      <c r="AV82">
        <f t="shared" si="128"/>
        <v>0</v>
      </c>
      <c r="AW82">
        <f t="shared" si="129"/>
        <v>48755.48752814957</v>
      </c>
      <c r="AX82" t="s">
        <v>692</v>
      </c>
      <c r="AY82">
        <v>5015.32</v>
      </c>
      <c r="AZ82">
        <v>728.58399999999995</v>
      </c>
      <c r="BA82">
        <v>1690.71138267737</v>
      </c>
      <c r="BB82">
        <f t="shared" si="130"/>
        <v>0.56906660269464093</v>
      </c>
      <c r="BC82">
        <v>-2.8602734655613742</v>
      </c>
      <c r="BD82" t="s">
        <v>708</v>
      </c>
      <c r="BE82">
        <v>5053.54</v>
      </c>
      <c r="BF82">
        <v>1483.459230769231</v>
      </c>
      <c r="BG82">
        <v>1587.772004738948</v>
      </c>
      <c r="BH82">
        <f t="shared" si="131"/>
        <v>6.5697577270779184E-2</v>
      </c>
      <c r="BI82">
        <v>0.5</v>
      </c>
      <c r="BJ82">
        <f t="shared" si="132"/>
        <v>1864.3662326239498</v>
      </c>
      <c r="BK82">
        <f t="shared" si="133"/>
        <v>3.2479484523718831</v>
      </c>
      <c r="BL82">
        <f t="shared" si="134"/>
        <v>61.242172314421708</v>
      </c>
      <c r="BM82">
        <f t="shared" si="135"/>
        <v>3.2762993724341446E-3</v>
      </c>
      <c r="BN82">
        <f t="shared" si="136"/>
        <v>6.4832594120052323E-2</v>
      </c>
      <c r="BO82">
        <f t="shared" si="137"/>
        <v>708.78168169399669</v>
      </c>
      <c r="BP82" t="s">
        <v>709</v>
      </c>
      <c r="BQ82">
        <v>867.67</v>
      </c>
      <c r="BR82">
        <f t="shared" si="138"/>
        <v>867.67</v>
      </c>
      <c r="BS82">
        <f t="shared" si="139"/>
        <v>0.45352985352411657</v>
      </c>
      <c r="BT82">
        <f t="shared" si="140"/>
        <v>0.14485833018550276</v>
      </c>
      <c r="BU82">
        <f t="shared" si="141"/>
        <v>0.12507193454059157</v>
      </c>
      <c r="BV82">
        <f t="shared" si="142"/>
        <v>0.12140855481497433</v>
      </c>
      <c r="BW82">
        <f t="shared" si="143"/>
        <v>0.10699142316474393</v>
      </c>
      <c r="BX82">
        <f t="shared" si="144"/>
        <v>8.4727119387622438E-2</v>
      </c>
      <c r="BY82">
        <f t="shared" si="145"/>
        <v>0.91527288061237755</v>
      </c>
      <c r="BZ82">
        <v>491</v>
      </c>
      <c r="CA82">
        <v>290.00000000000011</v>
      </c>
      <c r="CB82">
        <v>1556.82</v>
      </c>
      <c r="CC82">
        <v>55</v>
      </c>
      <c r="CD82">
        <v>5053.54</v>
      </c>
      <c r="CE82">
        <v>1555.05</v>
      </c>
      <c r="CF82">
        <v>1.77</v>
      </c>
      <c r="CG82">
        <v>300.00000000000011</v>
      </c>
      <c r="CH82">
        <v>23.9</v>
      </c>
      <c r="CI82">
        <v>1587.772004738948</v>
      </c>
      <c r="CJ82">
        <v>1.959527472149218</v>
      </c>
      <c r="CK82">
        <v>-16.535189836659999</v>
      </c>
      <c r="CL82">
        <v>0.8905659505330531</v>
      </c>
      <c r="CM82">
        <v>0.92487973721163752</v>
      </c>
      <c r="CN82">
        <v>-3.190001334816465E-3</v>
      </c>
      <c r="CO82">
        <v>289.99999999999989</v>
      </c>
      <c r="CP82">
        <v>1552.57</v>
      </c>
      <c r="CQ82">
        <v>645</v>
      </c>
      <c r="CR82">
        <v>5050.76</v>
      </c>
      <c r="CS82">
        <v>1555.03</v>
      </c>
      <c r="CT82">
        <v>-2.46</v>
      </c>
      <c r="DH82">
        <f t="shared" si="146"/>
        <v>2272.2516666666661</v>
      </c>
      <c r="DI82">
        <f t="shared" si="147"/>
        <v>1864.3662326239498</v>
      </c>
      <c r="DJ82">
        <f t="shared" si="148"/>
        <v>0.8204928441570587</v>
      </c>
      <c r="DK82">
        <f t="shared" si="149"/>
        <v>0.17630118922312329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1761689470.349999</v>
      </c>
      <c r="DR82">
        <v>415.54526666666658</v>
      </c>
      <c r="DS82">
        <v>419.9955333333333</v>
      </c>
      <c r="DT82">
        <v>16.06676666666667</v>
      </c>
      <c r="DU82">
        <v>14.701079999999999</v>
      </c>
      <c r="DV82">
        <v>414.71636666666672</v>
      </c>
      <c r="DW82">
        <v>15.88845666666667</v>
      </c>
      <c r="DX82">
        <v>500.05896666666661</v>
      </c>
      <c r="DY82">
        <v>91.152243333333317</v>
      </c>
      <c r="DZ82">
        <v>3.8963810000000001E-2</v>
      </c>
      <c r="EA82">
        <v>23.800703333333331</v>
      </c>
      <c r="EB82">
        <v>24.096033333333331</v>
      </c>
      <c r="EC82">
        <v>999.9000000000002</v>
      </c>
      <c r="ED82">
        <v>0</v>
      </c>
      <c r="EE82">
        <v>0</v>
      </c>
      <c r="EF82">
        <v>10007.964666666659</v>
      </c>
      <c r="EG82">
        <v>0</v>
      </c>
      <c r="EH82">
        <v>1072.2380000000001</v>
      </c>
      <c r="EI82">
        <v>-4.4503743333333334</v>
      </c>
      <c r="EJ82">
        <v>422.33069999999998</v>
      </c>
      <c r="EK82">
        <v>426.26206666666661</v>
      </c>
      <c r="EL82">
        <v>1.3656919999999999</v>
      </c>
      <c r="EM82">
        <v>419.9955333333333</v>
      </c>
      <c r="EN82">
        <v>14.701079999999999</v>
      </c>
      <c r="EO82">
        <v>1.464521333333334</v>
      </c>
      <c r="EP82">
        <v>1.340034666666666</v>
      </c>
      <c r="EQ82">
        <v>12.602693333333329</v>
      </c>
      <c r="ER82">
        <v>11.255523333333331</v>
      </c>
      <c r="ES82">
        <v>1200.013666666666</v>
      </c>
      <c r="ET82">
        <v>0.96700686666666658</v>
      </c>
      <c r="EU82">
        <v>3.2993090000000003E-2</v>
      </c>
      <c r="EV82">
        <v>0</v>
      </c>
      <c r="EW82">
        <v>1483.4459999999999</v>
      </c>
      <c r="EX82">
        <v>5.0005600000000019</v>
      </c>
      <c r="EY82">
        <v>17843.873333333329</v>
      </c>
      <c r="EZ82">
        <v>10316.953333333329</v>
      </c>
      <c r="FA82">
        <v>38.530999999999992</v>
      </c>
      <c r="FB82">
        <v>40.481099999999977</v>
      </c>
      <c r="FC82">
        <v>39.155999999999992</v>
      </c>
      <c r="FD82">
        <v>39.375</v>
      </c>
      <c r="FE82">
        <v>39.40186666666667</v>
      </c>
      <c r="FF82">
        <v>1155.5856666666671</v>
      </c>
      <c r="FG82">
        <v>39.427999999999997</v>
      </c>
      <c r="FH82">
        <v>0</v>
      </c>
      <c r="FI82">
        <v>127.2000000476837</v>
      </c>
      <c r="FJ82">
        <v>0</v>
      </c>
      <c r="FK82">
        <v>1483.459230769231</v>
      </c>
      <c r="FL82">
        <v>1.5562393192410711</v>
      </c>
      <c r="FM82">
        <v>20.317948750864382</v>
      </c>
      <c r="FN82">
        <v>17843.84230769231</v>
      </c>
      <c r="FO82">
        <v>15</v>
      </c>
      <c r="FP82">
        <v>0</v>
      </c>
      <c r="FQ82" t="s">
        <v>441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-4.4588252499999994</v>
      </c>
      <c r="GD82">
        <v>0.31534750469044881</v>
      </c>
      <c r="GE82">
        <v>5.9024029174036333E-2</v>
      </c>
      <c r="GF82">
        <v>1</v>
      </c>
      <c r="GG82">
        <v>1483.413823529412</v>
      </c>
      <c r="GH82">
        <v>1.2563789155452001</v>
      </c>
      <c r="GI82">
        <v>0.2405999206136808</v>
      </c>
      <c r="GJ82">
        <v>0</v>
      </c>
      <c r="GK82">
        <v>1.3941515</v>
      </c>
      <c r="GL82">
        <v>-0.48417951219512417</v>
      </c>
      <c r="GM82">
        <v>5.0029220589071742E-2</v>
      </c>
      <c r="GN82">
        <v>0</v>
      </c>
      <c r="GO82">
        <v>1</v>
      </c>
      <c r="GP82">
        <v>3</v>
      </c>
      <c r="GQ82" t="s">
        <v>442</v>
      </c>
      <c r="GR82">
        <v>3.1288499999999999</v>
      </c>
      <c r="GS82">
        <v>2.7168999999999999</v>
      </c>
      <c r="GT82">
        <v>8.5466200000000006E-2</v>
      </c>
      <c r="GU82">
        <v>8.6736300000000002E-2</v>
      </c>
      <c r="GV82">
        <v>8.1114800000000001E-2</v>
      </c>
      <c r="GW82">
        <v>7.6851699999999995E-2</v>
      </c>
      <c r="GX82">
        <v>27448</v>
      </c>
      <c r="GY82">
        <v>26500.7</v>
      </c>
      <c r="GZ82">
        <v>30555.4</v>
      </c>
      <c r="HA82">
        <v>29271.9</v>
      </c>
      <c r="HB82">
        <v>38740.5</v>
      </c>
      <c r="HC82">
        <v>35574.5</v>
      </c>
      <c r="HD82">
        <v>46723.3</v>
      </c>
      <c r="HE82">
        <v>43513.599999999999</v>
      </c>
      <c r="HF82">
        <v>1.8321799999999999</v>
      </c>
      <c r="HG82">
        <v>1.8577999999999999</v>
      </c>
      <c r="HH82">
        <v>5.126E-2</v>
      </c>
      <c r="HI82">
        <v>0</v>
      </c>
      <c r="HJ82">
        <v>23.19</v>
      </c>
      <c r="HK82">
        <v>999.9</v>
      </c>
      <c r="HL82">
        <v>37.6</v>
      </c>
      <c r="HM82">
        <v>30.5</v>
      </c>
      <c r="HN82">
        <v>18.0855</v>
      </c>
      <c r="HO82">
        <v>63.347000000000001</v>
      </c>
      <c r="HP82">
        <v>18.185099999999998</v>
      </c>
      <c r="HQ82">
        <v>1</v>
      </c>
      <c r="HR82">
        <v>0.15976399999999999</v>
      </c>
      <c r="HS82">
        <v>3.4347500000000002</v>
      </c>
      <c r="HT82">
        <v>20.178000000000001</v>
      </c>
      <c r="HU82">
        <v>5.2354099999999999</v>
      </c>
      <c r="HV82">
        <v>11.9763</v>
      </c>
      <c r="HW82">
        <v>4.9721000000000002</v>
      </c>
      <c r="HX82">
        <v>3.2909999999999999</v>
      </c>
      <c r="HY82">
        <v>9999</v>
      </c>
      <c r="HZ82">
        <v>9999</v>
      </c>
      <c r="IA82">
        <v>9999</v>
      </c>
      <c r="IB82">
        <v>999.9</v>
      </c>
      <c r="IC82">
        <v>4.9729000000000001</v>
      </c>
      <c r="ID82">
        <v>1.8772899999999999</v>
      </c>
      <c r="IE82">
        <v>1.8753500000000001</v>
      </c>
      <c r="IF82">
        <v>1.8782000000000001</v>
      </c>
      <c r="IG82">
        <v>1.87487</v>
      </c>
      <c r="IH82">
        <v>1.8785099999999999</v>
      </c>
      <c r="II82">
        <v>1.8755999999999999</v>
      </c>
      <c r="IJ82">
        <v>1.8768</v>
      </c>
      <c r="IK82">
        <v>0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0.82899999999999996</v>
      </c>
      <c r="IY82">
        <v>0.17929999999999999</v>
      </c>
      <c r="IZ82">
        <v>6.1933660764125778E-2</v>
      </c>
      <c r="JA82">
        <v>2.058711587971173E-3</v>
      </c>
      <c r="JB82">
        <v>-6.1309262243104059E-7</v>
      </c>
      <c r="JC82">
        <v>2.6183910446277612E-10</v>
      </c>
      <c r="JD82">
        <v>3.5078820932035488E-4</v>
      </c>
      <c r="JE82">
        <v>-4.3284922736758413E-3</v>
      </c>
      <c r="JF82">
        <v>1.4186339569364E-3</v>
      </c>
      <c r="JG82">
        <v>-2.7770646863349432E-5</v>
      </c>
      <c r="JH82">
        <v>2</v>
      </c>
      <c r="JI82">
        <v>2136</v>
      </c>
      <c r="JJ82">
        <v>1</v>
      </c>
      <c r="JK82">
        <v>19</v>
      </c>
      <c r="JL82">
        <v>29361491.300000001</v>
      </c>
      <c r="JM82">
        <v>29361491.300000001</v>
      </c>
      <c r="JN82">
        <v>1.1059600000000001</v>
      </c>
      <c r="JO82">
        <v>2.5415000000000001</v>
      </c>
      <c r="JP82">
        <v>1.39893</v>
      </c>
      <c r="JQ82">
        <v>2.32666</v>
      </c>
      <c r="JR82">
        <v>1.4489700000000001</v>
      </c>
      <c r="JS82">
        <v>2.5744600000000002</v>
      </c>
      <c r="JT82">
        <v>36.387099999999997</v>
      </c>
      <c r="JU82">
        <v>23.877400000000002</v>
      </c>
      <c r="JV82">
        <v>18</v>
      </c>
      <c r="JW82">
        <v>483.60300000000001</v>
      </c>
      <c r="JX82">
        <v>470.596</v>
      </c>
      <c r="JY82">
        <v>20.020499999999998</v>
      </c>
      <c r="JZ82">
        <v>29.178599999999999</v>
      </c>
      <c r="KA82">
        <v>29.9985</v>
      </c>
      <c r="KB82">
        <v>28.887</v>
      </c>
      <c r="KC82">
        <v>28.9587</v>
      </c>
      <c r="KD82">
        <v>22.165600000000001</v>
      </c>
      <c r="KE82">
        <v>24.38</v>
      </c>
      <c r="KF82">
        <v>63.9955</v>
      </c>
      <c r="KG82">
        <v>20.013100000000001</v>
      </c>
      <c r="KH82">
        <v>420</v>
      </c>
      <c r="KI82">
        <v>14.79</v>
      </c>
      <c r="KJ82">
        <v>100.989</v>
      </c>
      <c r="KK82">
        <v>100.07299999999999</v>
      </c>
    </row>
    <row r="83" spans="1:297" x14ac:dyDescent="0.3">
      <c r="A83">
        <v>67</v>
      </c>
      <c r="B83">
        <v>1761689607.5999999</v>
      </c>
      <c r="C83">
        <v>12157.599999904631</v>
      </c>
      <c r="D83" t="s">
        <v>710</v>
      </c>
      <c r="E83" t="s">
        <v>711</v>
      </c>
      <c r="F83">
        <v>5</v>
      </c>
      <c r="G83" t="s">
        <v>695</v>
      </c>
      <c r="H83" t="s">
        <v>436</v>
      </c>
      <c r="I83">
        <v>1761689599.849999</v>
      </c>
      <c r="J83">
        <f t="shared" si="100"/>
        <v>1.3028410621969875E-3</v>
      </c>
      <c r="K83">
        <f t="shared" si="101"/>
        <v>1.3028410621969875</v>
      </c>
      <c r="L83">
        <f t="shared" si="102"/>
        <v>3.0784100704838986</v>
      </c>
      <c r="M83">
        <f t="shared" si="103"/>
        <v>415.62479999999988</v>
      </c>
      <c r="N83">
        <f t="shared" si="104"/>
        <v>325.86462047690844</v>
      </c>
      <c r="O83">
        <f t="shared" si="105"/>
        <v>29.717653170527417</v>
      </c>
      <c r="P83">
        <f t="shared" si="106"/>
        <v>37.903450940434546</v>
      </c>
      <c r="Q83">
        <f t="shared" si="107"/>
        <v>6.4182753304940401E-2</v>
      </c>
      <c r="R83">
        <f t="shared" si="108"/>
        <v>2.7694481980391892</v>
      </c>
      <c r="S83">
        <f t="shared" si="109"/>
        <v>6.3367715694753621E-2</v>
      </c>
      <c r="T83">
        <f t="shared" si="110"/>
        <v>3.9677187829806823E-2</v>
      </c>
      <c r="U83">
        <f t="shared" si="111"/>
        <v>348.33746352417899</v>
      </c>
      <c r="V83">
        <f t="shared" si="112"/>
        <v>25.704490064405782</v>
      </c>
      <c r="W83">
        <f t="shared" si="113"/>
        <v>25.704490064405782</v>
      </c>
      <c r="X83">
        <f t="shared" si="114"/>
        <v>3.3157037888401977</v>
      </c>
      <c r="Y83">
        <f t="shared" si="115"/>
        <v>50.07438356585898</v>
      </c>
      <c r="Z83">
        <f t="shared" si="116"/>
        <v>1.4901101224156466</v>
      </c>
      <c r="AA83">
        <f t="shared" si="117"/>
        <v>2.9757932425784523</v>
      </c>
      <c r="AB83">
        <f t="shared" si="118"/>
        <v>1.8255936664245511</v>
      </c>
      <c r="AC83">
        <f t="shared" si="119"/>
        <v>-57.455290842887145</v>
      </c>
      <c r="AD83">
        <f t="shared" si="120"/>
        <v>-270.45478324792907</v>
      </c>
      <c r="AE83">
        <f t="shared" si="121"/>
        <v>-20.615098653901253</v>
      </c>
      <c r="AF83">
        <f t="shared" si="122"/>
        <v>-0.18770922053852246</v>
      </c>
      <c r="AG83">
        <f t="shared" si="123"/>
        <v>3.1324910000021822</v>
      </c>
      <c r="AH83">
        <f t="shared" si="124"/>
        <v>1.2357420455095081</v>
      </c>
      <c r="AI83">
        <f t="shared" si="125"/>
        <v>3.0784100704838986</v>
      </c>
      <c r="AJ83">
        <v>426.34545397594161</v>
      </c>
      <c r="AK83">
        <v>422.57966666666653</v>
      </c>
      <c r="AL83">
        <v>3.3085920910202668E-3</v>
      </c>
      <c r="AM83">
        <v>65.005994502390706</v>
      </c>
      <c r="AN83">
        <f t="shared" si="126"/>
        <v>1.3028410621969875</v>
      </c>
      <c r="AO83">
        <v>14.909285965566889</v>
      </c>
      <c r="AP83">
        <v>16.390669230769241</v>
      </c>
      <c r="AQ83">
        <v>7.9068170907165471E-3</v>
      </c>
      <c r="AR83">
        <v>96.635452157596717</v>
      </c>
      <c r="AS83">
        <v>0</v>
      </c>
      <c r="AT83">
        <v>0</v>
      </c>
      <c r="AU83">
        <f t="shared" si="127"/>
        <v>1</v>
      </c>
      <c r="AV83">
        <f t="shared" si="128"/>
        <v>0</v>
      </c>
      <c r="AW83">
        <f t="shared" si="129"/>
        <v>48697.297636869451</v>
      </c>
      <c r="AX83" t="s">
        <v>692</v>
      </c>
      <c r="AY83">
        <v>5015.32</v>
      </c>
      <c r="AZ83">
        <v>728.58399999999995</v>
      </c>
      <c r="BA83">
        <v>1690.71138267737</v>
      </c>
      <c r="BB83">
        <f t="shared" si="130"/>
        <v>0.56906660269464093</v>
      </c>
      <c r="BC83">
        <v>-2.8602734655613742</v>
      </c>
      <c r="BD83" t="s">
        <v>712</v>
      </c>
      <c r="BE83">
        <v>5053.87</v>
      </c>
      <c r="BF83">
        <v>1456.9115384615391</v>
      </c>
      <c r="BG83">
        <v>1589.9143070064119</v>
      </c>
      <c r="BH83">
        <f t="shared" si="131"/>
        <v>8.3654048497304623E-2</v>
      </c>
      <c r="BI83">
        <v>0.5</v>
      </c>
      <c r="BJ83">
        <f t="shared" si="132"/>
        <v>1618.5608995677953</v>
      </c>
      <c r="BK83">
        <f t="shared" si="133"/>
        <v>3.0784100704838986</v>
      </c>
      <c r="BL83">
        <f t="shared" si="134"/>
        <v>67.69958599414268</v>
      </c>
      <c r="BM83">
        <f t="shared" si="135"/>
        <v>3.6691134313395816E-3</v>
      </c>
      <c r="BN83">
        <f t="shared" si="136"/>
        <v>6.3397804036838298E-2</v>
      </c>
      <c r="BO83">
        <f t="shared" si="137"/>
        <v>709.20826628459611</v>
      </c>
      <c r="BP83" t="s">
        <v>713</v>
      </c>
      <c r="BQ83">
        <v>870.47</v>
      </c>
      <c r="BR83">
        <f t="shared" si="138"/>
        <v>870.47</v>
      </c>
      <c r="BS83">
        <f t="shared" si="139"/>
        <v>0.45250508397589406</v>
      </c>
      <c r="BT83">
        <f t="shared" si="140"/>
        <v>0.18486874835147943</v>
      </c>
      <c r="BU83">
        <f t="shared" si="141"/>
        <v>0.12288708884931392</v>
      </c>
      <c r="BV83">
        <f t="shared" si="142"/>
        <v>0.15441552150548299</v>
      </c>
      <c r="BW83">
        <f t="shared" si="143"/>
        <v>0.10476479256880097</v>
      </c>
      <c r="BX83">
        <f t="shared" si="144"/>
        <v>0.11045468110400343</v>
      </c>
      <c r="BY83">
        <f t="shared" si="145"/>
        <v>0.88954531889599653</v>
      </c>
      <c r="BZ83">
        <v>493</v>
      </c>
      <c r="CA83">
        <v>290.00000000000011</v>
      </c>
      <c r="CB83">
        <v>1562.83</v>
      </c>
      <c r="CC83">
        <v>115</v>
      </c>
      <c r="CD83">
        <v>5053.87</v>
      </c>
      <c r="CE83">
        <v>1559.97</v>
      </c>
      <c r="CF83">
        <v>2.86</v>
      </c>
      <c r="CG83">
        <v>300.00000000000011</v>
      </c>
      <c r="CH83">
        <v>23.9</v>
      </c>
      <c r="CI83">
        <v>1589.9143070064119</v>
      </c>
      <c r="CJ83">
        <v>1.786156836477746</v>
      </c>
      <c r="CK83">
        <v>-15.132795009769829</v>
      </c>
      <c r="CL83">
        <v>0.80456083440218185</v>
      </c>
      <c r="CM83">
        <v>0.92665733667234573</v>
      </c>
      <c r="CN83">
        <v>-3.439636484983312E-3</v>
      </c>
      <c r="CO83">
        <v>289.99999999999989</v>
      </c>
      <c r="CP83">
        <v>1558.25</v>
      </c>
      <c r="CQ83">
        <v>635</v>
      </c>
      <c r="CR83">
        <v>5052.45</v>
      </c>
      <c r="CS83">
        <v>1559.96</v>
      </c>
      <c r="CT83">
        <v>-1.71</v>
      </c>
      <c r="DH83">
        <f t="shared" si="146"/>
        <v>1972.275766666666</v>
      </c>
      <c r="DI83">
        <f t="shared" si="147"/>
        <v>1618.5608995677953</v>
      </c>
      <c r="DJ83">
        <f t="shared" si="148"/>
        <v>0.82065648573237682</v>
      </c>
      <c r="DK83">
        <f t="shared" si="149"/>
        <v>0.17661701746348712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1761689599.849999</v>
      </c>
      <c r="DR83">
        <v>415.62479999999988</v>
      </c>
      <c r="DS83">
        <v>420.00013333333339</v>
      </c>
      <c r="DT83">
        <v>16.339586666666669</v>
      </c>
      <c r="DU83">
        <v>14.88092</v>
      </c>
      <c r="DV83">
        <v>414.79576666666668</v>
      </c>
      <c r="DW83">
        <v>16.155993333333331</v>
      </c>
      <c r="DX83">
        <v>499.99793333333332</v>
      </c>
      <c r="DY83">
        <v>91.15758666666666</v>
      </c>
      <c r="DZ83">
        <v>3.8730156666666661E-2</v>
      </c>
      <c r="EA83">
        <v>23.89308333333334</v>
      </c>
      <c r="EB83">
        <v>23.996040000000001</v>
      </c>
      <c r="EC83">
        <v>999.9000000000002</v>
      </c>
      <c r="ED83">
        <v>0</v>
      </c>
      <c r="EE83">
        <v>0</v>
      </c>
      <c r="EF83">
        <v>9998.1433333333334</v>
      </c>
      <c r="EG83">
        <v>0</v>
      </c>
      <c r="EH83">
        <v>1072.2596666666659</v>
      </c>
      <c r="EI83">
        <v>-4.3752209999999998</v>
      </c>
      <c r="EJ83">
        <v>422.52890000000002</v>
      </c>
      <c r="EK83">
        <v>426.34446666666662</v>
      </c>
      <c r="EL83">
        <v>1.458678666666666</v>
      </c>
      <c r="EM83">
        <v>420.00013333333339</v>
      </c>
      <c r="EN83">
        <v>14.88092</v>
      </c>
      <c r="EO83">
        <v>1.4894780000000001</v>
      </c>
      <c r="EP83">
        <v>1.3565073333333331</v>
      </c>
      <c r="EQ83">
        <v>12.86054666666667</v>
      </c>
      <c r="ER83">
        <v>11.439959999999999</v>
      </c>
      <c r="ES83">
        <v>900.01610000000005</v>
      </c>
      <c r="ET83">
        <v>0.95599299999999965</v>
      </c>
      <c r="EU83">
        <v>4.4007010000000013E-2</v>
      </c>
      <c r="EV83">
        <v>0</v>
      </c>
      <c r="EW83">
        <v>1456.8989999999999</v>
      </c>
      <c r="EX83">
        <v>5.0005600000000019</v>
      </c>
      <c r="EY83">
        <v>13126.96333333333</v>
      </c>
      <c r="EZ83">
        <v>7699.8340000000017</v>
      </c>
      <c r="FA83">
        <v>37.818299999999986</v>
      </c>
      <c r="FB83">
        <v>40.172533333333327</v>
      </c>
      <c r="FC83">
        <v>38.714299999999987</v>
      </c>
      <c r="FD83">
        <v>39.125</v>
      </c>
      <c r="FE83">
        <v>38.893599999999999</v>
      </c>
      <c r="FF83">
        <v>855.62900000000013</v>
      </c>
      <c r="FG83">
        <v>39.390000000000008</v>
      </c>
      <c r="FH83">
        <v>0</v>
      </c>
      <c r="FI83">
        <v>127.2000000476837</v>
      </c>
      <c r="FJ83">
        <v>0</v>
      </c>
      <c r="FK83">
        <v>1456.9115384615391</v>
      </c>
      <c r="FL83">
        <v>1.8933333160756309</v>
      </c>
      <c r="FM83">
        <v>5.384615378187612</v>
      </c>
      <c r="FN83">
        <v>13127.01923076923</v>
      </c>
      <c r="FO83">
        <v>15</v>
      </c>
      <c r="FP83">
        <v>0</v>
      </c>
      <c r="FQ83" t="s">
        <v>441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-4.3759097560975606</v>
      </c>
      <c r="GD83">
        <v>7.2959581881528929E-2</v>
      </c>
      <c r="GE83">
        <v>3.2971417369520882E-2</v>
      </c>
      <c r="GF83">
        <v>1</v>
      </c>
      <c r="GG83">
        <v>1456.797352941177</v>
      </c>
      <c r="GH83">
        <v>2.2336134390559188</v>
      </c>
      <c r="GI83">
        <v>0.31064741526205553</v>
      </c>
      <c r="GJ83">
        <v>0</v>
      </c>
      <c r="GK83">
        <v>1.4481443902439031</v>
      </c>
      <c r="GL83">
        <v>0.14788808362369191</v>
      </c>
      <c r="GM83">
        <v>1.8868246399418601E-2</v>
      </c>
      <c r="GN83">
        <v>0</v>
      </c>
      <c r="GO83">
        <v>1</v>
      </c>
      <c r="GP83">
        <v>3</v>
      </c>
      <c r="GQ83" t="s">
        <v>442</v>
      </c>
      <c r="GR83">
        <v>3.1288399999999998</v>
      </c>
      <c r="GS83">
        <v>2.71637</v>
      </c>
      <c r="GT83">
        <v>8.5508899999999999E-2</v>
      </c>
      <c r="GU83">
        <v>8.6761099999999994E-2</v>
      </c>
      <c r="GV83">
        <v>8.2124699999999995E-2</v>
      </c>
      <c r="GW83">
        <v>7.7388499999999999E-2</v>
      </c>
      <c r="GX83">
        <v>27450.799999999999</v>
      </c>
      <c r="GY83">
        <v>26502.400000000001</v>
      </c>
      <c r="GZ83">
        <v>30559.8</v>
      </c>
      <c r="HA83">
        <v>29274.400000000001</v>
      </c>
      <c r="HB83">
        <v>38703</v>
      </c>
      <c r="HC83">
        <v>35556.199999999997</v>
      </c>
      <c r="HD83">
        <v>46729.9</v>
      </c>
      <c r="HE83">
        <v>43516.7</v>
      </c>
      <c r="HF83">
        <v>1.83263</v>
      </c>
      <c r="HG83">
        <v>1.8588499999999999</v>
      </c>
      <c r="HH83">
        <v>4.1890900000000002E-2</v>
      </c>
      <c r="HI83">
        <v>0</v>
      </c>
      <c r="HJ83">
        <v>23.309899999999999</v>
      </c>
      <c r="HK83">
        <v>999.9</v>
      </c>
      <c r="HL83">
        <v>37.5</v>
      </c>
      <c r="HM83">
        <v>30.5</v>
      </c>
      <c r="HN83">
        <v>18.034099999999999</v>
      </c>
      <c r="HO83">
        <v>63.677</v>
      </c>
      <c r="HP83">
        <v>18.249199999999998</v>
      </c>
      <c r="HQ83">
        <v>1</v>
      </c>
      <c r="HR83">
        <v>0.15179400000000001</v>
      </c>
      <c r="HS83">
        <v>2.3822299999999998</v>
      </c>
      <c r="HT83">
        <v>20.1982</v>
      </c>
      <c r="HU83">
        <v>5.2319699999999996</v>
      </c>
      <c r="HV83">
        <v>11.9749</v>
      </c>
      <c r="HW83">
        <v>4.9713000000000003</v>
      </c>
      <c r="HX83">
        <v>3.2905199999999999</v>
      </c>
      <c r="HY83">
        <v>9999</v>
      </c>
      <c r="HZ83">
        <v>9999</v>
      </c>
      <c r="IA83">
        <v>9999</v>
      </c>
      <c r="IB83">
        <v>999.9</v>
      </c>
      <c r="IC83">
        <v>4.9729099999999997</v>
      </c>
      <c r="ID83">
        <v>1.8773200000000001</v>
      </c>
      <c r="IE83">
        <v>1.87537</v>
      </c>
      <c r="IF83">
        <v>1.8782000000000001</v>
      </c>
      <c r="IG83">
        <v>1.8749</v>
      </c>
      <c r="IH83">
        <v>1.8785099999999999</v>
      </c>
      <c r="II83">
        <v>1.87561</v>
      </c>
      <c r="IJ83">
        <v>1.8768</v>
      </c>
      <c r="IK83">
        <v>0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0.82899999999999996</v>
      </c>
      <c r="IY83">
        <v>0.1847</v>
      </c>
      <c r="IZ83">
        <v>6.1933660764125778E-2</v>
      </c>
      <c r="JA83">
        <v>2.058711587971173E-3</v>
      </c>
      <c r="JB83">
        <v>-6.1309262243104059E-7</v>
      </c>
      <c r="JC83">
        <v>2.6183910446277612E-10</v>
      </c>
      <c r="JD83">
        <v>3.5078820932035488E-4</v>
      </c>
      <c r="JE83">
        <v>-4.3284922736758413E-3</v>
      </c>
      <c r="JF83">
        <v>1.4186339569364E-3</v>
      </c>
      <c r="JG83">
        <v>-2.7770646863349432E-5</v>
      </c>
      <c r="JH83">
        <v>2</v>
      </c>
      <c r="JI83">
        <v>2136</v>
      </c>
      <c r="JJ83">
        <v>1</v>
      </c>
      <c r="JK83">
        <v>19</v>
      </c>
      <c r="JL83">
        <v>29361493.5</v>
      </c>
      <c r="JM83">
        <v>29361493.5</v>
      </c>
      <c r="JN83">
        <v>1.1059600000000001</v>
      </c>
      <c r="JO83">
        <v>2.5415000000000001</v>
      </c>
      <c r="JP83">
        <v>1.39893</v>
      </c>
      <c r="JQ83">
        <v>2.32544</v>
      </c>
      <c r="JR83">
        <v>1.4489700000000001</v>
      </c>
      <c r="JS83">
        <v>2.5451700000000002</v>
      </c>
      <c r="JT83">
        <v>36.340000000000003</v>
      </c>
      <c r="JU83">
        <v>23.903600000000001</v>
      </c>
      <c r="JV83">
        <v>18</v>
      </c>
      <c r="JW83">
        <v>483.73200000000003</v>
      </c>
      <c r="JX83">
        <v>471.154</v>
      </c>
      <c r="JY83">
        <v>20.856200000000001</v>
      </c>
      <c r="JZ83">
        <v>29.141400000000001</v>
      </c>
      <c r="KA83">
        <v>29.9999</v>
      </c>
      <c r="KB83">
        <v>28.8687</v>
      </c>
      <c r="KC83">
        <v>28.942499999999999</v>
      </c>
      <c r="KD83">
        <v>22.1675</v>
      </c>
      <c r="KE83">
        <v>23.677199999999999</v>
      </c>
      <c r="KF83">
        <v>63.9955</v>
      </c>
      <c r="KG83">
        <v>20.849799999999998</v>
      </c>
      <c r="KH83">
        <v>420</v>
      </c>
      <c r="KI83">
        <v>14.8809</v>
      </c>
      <c r="KJ83">
        <v>101.004</v>
      </c>
      <c r="KK83">
        <v>100.081</v>
      </c>
    </row>
    <row r="84" spans="1:297" x14ac:dyDescent="0.3">
      <c r="A84">
        <v>68</v>
      </c>
      <c r="B84">
        <v>1761689677.0999999</v>
      </c>
      <c r="C84">
        <v>12227.099999904631</v>
      </c>
      <c r="D84" t="s">
        <v>714</v>
      </c>
      <c r="E84" t="s">
        <v>715</v>
      </c>
      <c r="F84">
        <v>5</v>
      </c>
      <c r="G84" t="s">
        <v>695</v>
      </c>
      <c r="H84" t="s">
        <v>436</v>
      </c>
      <c r="I84">
        <v>1761689669.349999</v>
      </c>
      <c r="J84">
        <f t="shared" si="100"/>
        <v>1.4076756892627818E-3</v>
      </c>
      <c r="K84">
        <f t="shared" si="101"/>
        <v>1.4076756892627817</v>
      </c>
      <c r="L84">
        <f t="shared" si="102"/>
        <v>2.8351857226293</v>
      </c>
      <c r="M84">
        <f t="shared" si="103"/>
        <v>415.96423333333331</v>
      </c>
      <c r="N84">
        <f t="shared" si="104"/>
        <v>339.5498068355073</v>
      </c>
      <c r="O84">
        <f t="shared" si="105"/>
        <v>30.967637819884974</v>
      </c>
      <c r="P84">
        <f t="shared" si="106"/>
        <v>37.936790021892477</v>
      </c>
      <c r="Q84">
        <f t="shared" si="107"/>
        <v>7.1361487929257145E-2</v>
      </c>
      <c r="R84">
        <f t="shared" si="108"/>
        <v>2.7708315453755277</v>
      </c>
      <c r="S84">
        <f t="shared" si="109"/>
        <v>7.0355968542579139E-2</v>
      </c>
      <c r="T84">
        <f t="shared" si="110"/>
        <v>4.4061641898814473E-2</v>
      </c>
      <c r="U84">
        <f t="shared" si="111"/>
        <v>296.46474704282656</v>
      </c>
      <c r="V84">
        <f t="shared" si="112"/>
        <v>25.464063401262244</v>
      </c>
      <c r="W84">
        <f t="shared" si="113"/>
        <v>25.464063401262244</v>
      </c>
      <c r="X84">
        <f t="shared" si="114"/>
        <v>3.2687205975334304</v>
      </c>
      <c r="Y84">
        <f t="shared" si="115"/>
        <v>49.787018801679153</v>
      </c>
      <c r="Z84">
        <f t="shared" si="116"/>
        <v>1.4915803122381703</v>
      </c>
      <c r="AA84">
        <f t="shared" si="117"/>
        <v>2.9959221261664783</v>
      </c>
      <c r="AB84">
        <f t="shared" si="118"/>
        <v>1.77714028529526</v>
      </c>
      <c r="AC84">
        <f t="shared" si="119"/>
        <v>-62.078497896488678</v>
      </c>
      <c r="AD84">
        <f t="shared" si="120"/>
        <v>-217.91661752652107</v>
      </c>
      <c r="AE84">
        <f t="shared" si="121"/>
        <v>-16.591369930944676</v>
      </c>
      <c r="AF84">
        <f t="shared" si="122"/>
        <v>-0.12173831112784228</v>
      </c>
      <c r="AG84">
        <f t="shared" si="123"/>
        <v>2.7785875652995355</v>
      </c>
      <c r="AH84">
        <f t="shared" si="124"/>
        <v>1.4030198731840047</v>
      </c>
      <c r="AI84">
        <f t="shared" si="125"/>
        <v>2.8351857226293</v>
      </c>
      <c r="AJ84">
        <v>426.26326837732711</v>
      </c>
      <c r="AK84">
        <v>422.82881818181801</v>
      </c>
      <c r="AL84">
        <v>-3.820601311042358E-3</v>
      </c>
      <c r="AM84">
        <v>65.005994502390706</v>
      </c>
      <c r="AN84">
        <f t="shared" si="126"/>
        <v>1.4076756892627817</v>
      </c>
      <c r="AO84">
        <v>14.69757471834229</v>
      </c>
      <c r="AP84">
        <v>16.358878321678329</v>
      </c>
      <c r="AQ84">
        <v>2.4950401787229409E-5</v>
      </c>
      <c r="AR84">
        <v>96.635452157596717</v>
      </c>
      <c r="AS84">
        <v>0</v>
      </c>
      <c r="AT84">
        <v>0</v>
      </c>
      <c r="AU84">
        <f t="shared" si="127"/>
        <v>1</v>
      </c>
      <c r="AV84">
        <f t="shared" si="128"/>
        <v>0</v>
      </c>
      <c r="AW84">
        <f t="shared" si="129"/>
        <v>48717.128696459251</v>
      </c>
      <c r="AX84" t="s">
        <v>692</v>
      </c>
      <c r="AY84">
        <v>5015.32</v>
      </c>
      <c r="AZ84">
        <v>728.58399999999995</v>
      </c>
      <c r="BA84">
        <v>1690.71138267737</v>
      </c>
      <c r="BB84">
        <f t="shared" si="130"/>
        <v>0.56906660269464093</v>
      </c>
      <c r="BC84">
        <v>-2.8602734655613742</v>
      </c>
      <c r="BD84" t="s">
        <v>716</v>
      </c>
      <c r="BE84">
        <v>5055.84</v>
      </c>
      <c r="BF84">
        <v>1401.961153846154</v>
      </c>
      <c r="BG84">
        <v>1599.101022238407</v>
      </c>
      <c r="BH84">
        <f t="shared" si="131"/>
        <v>0.12328168492838454</v>
      </c>
      <c r="BI84">
        <v>0.5</v>
      </c>
      <c r="BJ84">
        <f t="shared" si="132"/>
        <v>1372.9971943961107</v>
      </c>
      <c r="BK84">
        <f t="shared" si="133"/>
        <v>2.8351857226293</v>
      </c>
      <c r="BL84">
        <f t="shared" si="134"/>
        <v>84.632703763548633</v>
      </c>
      <c r="BM84">
        <f t="shared" si="135"/>
        <v>4.148194338223484E-3</v>
      </c>
      <c r="BN84">
        <f t="shared" si="136"/>
        <v>5.7288663545926335E-2</v>
      </c>
      <c r="BO84">
        <f t="shared" si="137"/>
        <v>711.0303678226411</v>
      </c>
      <c r="BP84" t="s">
        <v>717</v>
      </c>
      <c r="BQ84">
        <v>860.53</v>
      </c>
      <c r="BR84">
        <f t="shared" si="138"/>
        <v>860.53</v>
      </c>
      <c r="BS84">
        <f t="shared" si="139"/>
        <v>0.46186639365945881</v>
      </c>
      <c r="BT84">
        <f t="shared" si="140"/>
        <v>0.2669206649819213</v>
      </c>
      <c r="BU84">
        <f t="shared" si="141"/>
        <v>0.11034981312579629</v>
      </c>
      <c r="BV84">
        <f t="shared" si="142"/>
        <v>0.22646296781806366</v>
      </c>
      <c r="BW84">
        <f t="shared" si="143"/>
        <v>9.5216456872928068E-2</v>
      </c>
      <c r="BX84">
        <f t="shared" si="144"/>
        <v>0.16383709292283172</v>
      </c>
      <c r="BY84">
        <f t="shared" si="145"/>
        <v>0.83616290707716834</v>
      </c>
      <c r="BZ84">
        <v>495</v>
      </c>
      <c r="CA84">
        <v>290.00000000000011</v>
      </c>
      <c r="CB84">
        <v>1568.35</v>
      </c>
      <c r="CC84">
        <v>105</v>
      </c>
      <c r="CD84">
        <v>5055.84</v>
      </c>
      <c r="CE84">
        <v>1567.61</v>
      </c>
      <c r="CF84">
        <v>0.74</v>
      </c>
      <c r="CG84">
        <v>300.00000000000011</v>
      </c>
      <c r="CH84">
        <v>23.9</v>
      </c>
      <c r="CI84">
        <v>1599.101022238407</v>
      </c>
      <c r="CJ84">
        <v>1.368163609026074</v>
      </c>
      <c r="CK84">
        <v>-15.92348585604465</v>
      </c>
      <c r="CL84">
        <v>0.61070413950244395</v>
      </c>
      <c r="CM84">
        <v>0.96044372482758611</v>
      </c>
      <c r="CN84">
        <v>-3.6902026696329282E-3</v>
      </c>
      <c r="CO84">
        <v>289.99999999999989</v>
      </c>
      <c r="CP84">
        <v>1565.14</v>
      </c>
      <c r="CQ84">
        <v>635</v>
      </c>
      <c r="CR84">
        <v>5054.21</v>
      </c>
      <c r="CS84">
        <v>1567.6</v>
      </c>
      <c r="CT84">
        <v>-2.46</v>
      </c>
      <c r="DH84">
        <f t="shared" si="146"/>
        <v>1672.3537666666671</v>
      </c>
      <c r="DI84">
        <f t="shared" si="147"/>
        <v>1372.9971943961107</v>
      </c>
      <c r="DJ84">
        <f t="shared" si="148"/>
        <v>0.82099686188572807</v>
      </c>
      <c r="DK84">
        <f t="shared" si="149"/>
        <v>0.17727394343945518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1761689669.349999</v>
      </c>
      <c r="DR84">
        <v>415.96423333333331</v>
      </c>
      <c r="DS84">
        <v>419.99863333333332</v>
      </c>
      <c r="DT84">
        <v>16.354679999999998</v>
      </c>
      <c r="DU84">
        <v>14.698686666666671</v>
      </c>
      <c r="DV84">
        <v>415.13486666666671</v>
      </c>
      <c r="DW84">
        <v>16.17079</v>
      </c>
      <c r="DX84">
        <v>500.02879999999999</v>
      </c>
      <c r="DY84">
        <v>91.163060000000002</v>
      </c>
      <c r="DZ84">
        <v>3.8988113333333331E-2</v>
      </c>
      <c r="EA84">
        <v>24.00526666666666</v>
      </c>
      <c r="EB84">
        <v>23.873730000000009</v>
      </c>
      <c r="EC84">
        <v>999.9000000000002</v>
      </c>
      <c r="ED84">
        <v>0</v>
      </c>
      <c r="EE84">
        <v>0</v>
      </c>
      <c r="EF84">
        <v>10005.703</v>
      </c>
      <c r="EG84">
        <v>0</v>
      </c>
      <c r="EH84">
        <v>1072.346666666667</v>
      </c>
      <c r="EI84">
        <v>-4.0342553333333324</v>
      </c>
      <c r="EJ84">
        <v>422.88043333333337</v>
      </c>
      <c r="EK84">
        <v>426.26409999999998</v>
      </c>
      <c r="EL84">
        <v>1.6559943333333329</v>
      </c>
      <c r="EM84">
        <v>419.99863333333332</v>
      </c>
      <c r="EN84">
        <v>14.698686666666671</v>
      </c>
      <c r="EO84">
        <v>1.4909436666666669</v>
      </c>
      <c r="EP84">
        <v>1.339977666666667</v>
      </c>
      <c r="EQ84">
        <v>12.87561</v>
      </c>
      <c r="ER84">
        <v>11.254903333333329</v>
      </c>
      <c r="ES84">
        <v>600.00710000000004</v>
      </c>
      <c r="ET84">
        <v>0.93298369999999986</v>
      </c>
      <c r="EU84">
        <v>6.7016329999999985E-2</v>
      </c>
      <c r="EV84">
        <v>0</v>
      </c>
      <c r="EW84">
        <v>1401.944666666667</v>
      </c>
      <c r="EX84">
        <v>5.0005600000000019</v>
      </c>
      <c r="EY84">
        <v>8425.9936666666672</v>
      </c>
      <c r="EZ84">
        <v>5081.1603333333333</v>
      </c>
      <c r="FA84">
        <v>37.362299999999998</v>
      </c>
      <c r="FB84">
        <v>39.981099999999977</v>
      </c>
      <c r="FC84">
        <v>38.455899999999993</v>
      </c>
      <c r="FD84">
        <v>38.981099999999991</v>
      </c>
      <c r="FE84">
        <v>38.589299999999987</v>
      </c>
      <c r="FF84">
        <v>555.13233333333324</v>
      </c>
      <c r="FG84">
        <v>39.875000000000007</v>
      </c>
      <c r="FH84">
        <v>0</v>
      </c>
      <c r="FI84">
        <v>67.200000047683716</v>
      </c>
      <c r="FJ84">
        <v>0</v>
      </c>
      <c r="FK84">
        <v>1401.961153846154</v>
      </c>
      <c r="FL84">
        <v>-0.93367521162140221</v>
      </c>
      <c r="FM84">
        <v>-17.871794831622481</v>
      </c>
      <c r="FN84">
        <v>8425.9457692307697</v>
      </c>
      <c r="FO84">
        <v>15</v>
      </c>
      <c r="FP84">
        <v>0</v>
      </c>
      <c r="FQ84" t="s">
        <v>441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-4.0253872499999996</v>
      </c>
      <c r="GD84">
        <v>-0.1786159474671539</v>
      </c>
      <c r="GE84">
        <v>3.5323013177495192E-2</v>
      </c>
      <c r="GF84">
        <v>1</v>
      </c>
      <c r="GG84">
        <v>1402.01</v>
      </c>
      <c r="GH84">
        <v>-0.8006111484241718</v>
      </c>
      <c r="GI84">
        <v>0.22413231386313121</v>
      </c>
      <c r="GJ84">
        <v>1</v>
      </c>
      <c r="GK84">
        <v>1.6545240000000001</v>
      </c>
      <c r="GL84">
        <v>4.0687879924949363E-2</v>
      </c>
      <c r="GM84">
        <v>4.4895098841633164E-3</v>
      </c>
      <c r="GN84">
        <v>1</v>
      </c>
      <c r="GO84">
        <v>3</v>
      </c>
      <c r="GP84">
        <v>3</v>
      </c>
      <c r="GQ84" t="s">
        <v>470</v>
      </c>
      <c r="GR84">
        <v>3.1290499999999999</v>
      </c>
      <c r="GS84">
        <v>2.71685</v>
      </c>
      <c r="GT84">
        <v>8.5559899999999994E-2</v>
      </c>
      <c r="GU84">
        <v>8.67647E-2</v>
      </c>
      <c r="GV84">
        <v>8.2008999999999999E-2</v>
      </c>
      <c r="GW84">
        <v>7.6586399999999999E-2</v>
      </c>
      <c r="GX84">
        <v>27450.2</v>
      </c>
      <c r="GY84">
        <v>26502.6</v>
      </c>
      <c r="GZ84">
        <v>30560.7</v>
      </c>
      <c r="HA84">
        <v>29274.7</v>
      </c>
      <c r="HB84">
        <v>38709</v>
      </c>
      <c r="HC84">
        <v>35587.599999999999</v>
      </c>
      <c r="HD84">
        <v>46731.199999999997</v>
      </c>
      <c r="HE84">
        <v>43517</v>
      </c>
      <c r="HF84">
        <v>1.83325</v>
      </c>
      <c r="HG84">
        <v>1.8581799999999999</v>
      </c>
      <c r="HH84">
        <v>3.5315800000000001E-2</v>
      </c>
      <c r="HI84">
        <v>0</v>
      </c>
      <c r="HJ84">
        <v>23.343800000000002</v>
      </c>
      <c r="HK84">
        <v>999.9</v>
      </c>
      <c r="HL84">
        <v>37.5</v>
      </c>
      <c r="HM84">
        <v>30.5</v>
      </c>
      <c r="HN84">
        <v>18.032399999999999</v>
      </c>
      <c r="HO84">
        <v>63.517000000000003</v>
      </c>
      <c r="HP84">
        <v>18.052900000000001</v>
      </c>
      <c r="HQ84">
        <v>1</v>
      </c>
      <c r="HR84">
        <v>0.147116</v>
      </c>
      <c r="HS84">
        <v>0.97141100000000002</v>
      </c>
      <c r="HT84">
        <v>20.214700000000001</v>
      </c>
      <c r="HU84">
        <v>5.23691</v>
      </c>
      <c r="HV84">
        <v>11.974</v>
      </c>
      <c r="HW84">
        <v>4.9718999999999998</v>
      </c>
      <c r="HX84">
        <v>3.2910300000000001</v>
      </c>
      <c r="HY84">
        <v>9999</v>
      </c>
      <c r="HZ84">
        <v>9999</v>
      </c>
      <c r="IA84">
        <v>9999</v>
      </c>
      <c r="IB84">
        <v>999.9</v>
      </c>
      <c r="IC84">
        <v>4.9729200000000002</v>
      </c>
      <c r="ID84">
        <v>1.8772899999999999</v>
      </c>
      <c r="IE84">
        <v>1.8753299999999999</v>
      </c>
      <c r="IF84">
        <v>1.8782000000000001</v>
      </c>
      <c r="IG84">
        <v>1.8748899999999999</v>
      </c>
      <c r="IH84">
        <v>1.87849</v>
      </c>
      <c r="II84">
        <v>1.87561</v>
      </c>
      <c r="IJ84">
        <v>1.8768199999999999</v>
      </c>
      <c r="IK84">
        <v>0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0.82899999999999996</v>
      </c>
      <c r="IY84">
        <v>0.184</v>
      </c>
      <c r="IZ84">
        <v>6.1933660764125778E-2</v>
      </c>
      <c r="JA84">
        <v>2.058711587971173E-3</v>
      </c>
      <c r="JB84">
        <v>-6.1309262243104059E-7</v>
      </c>
      <c r="JC84">
        <v>2.6183910446277612E-10</v>
      </c>
      <c r="JD84">
        <v>3.5078820932035488E-4</v>
      </c>
      <c r="JE84">
        <v>-4.3284922736758413E-3</v>
      </c>
      <c r="JF84">
        <v>1.4186339569364E-3</v>
      </c>
      <c r="JG84">
        <v>-2.7770646863349432E-5</v>
      </c>
      <c r="JH84">
        <v>2</v>
      </c>
      <c r="JI84">
        <v>2136</v>
      </c>
      <c r="JJ84">
        <v>1</v>
      </c>
      <c r="JK84">
        <v>19</v>
      </c>
      <c r="JL84">
        <v>29361494.600000001</v>
      </c>
      <c r="JM84">
        <v>29361494.600000001</v>
      </c>
      <c r="JN84">
        <v>1.1059600000000001</v>
      </c>
      <c r="JO84">
        <v>2.5476100000000002</v>
      </c>
      <c r="JP84">
        <v>1.39893</v>
      </c>
      <c r="JQ84">
        <v>2.32544</v>
      </c>
      <c r="JR84">
        <v>1.4489700000000001</v>
      </c>
      <c r="JS84">
        <v>2.5939899999999998</v>
      </c>
      <c r="JT84">
        <v>36.340000000000003</v>
      </c>
      <c r="JU84">
        <v>23.921099999999999</v>
      </c>
      <c r="JV84">
        <v>18</v>
      </c>
      <c r="JW84">
        <v>484.01400000000001</v>
      </c>
      <c r="JX84">
        <v>470.65300000000002</v>
      </c>
      <c r="JY84">
        <v>22.465</v>
      </c>
      <c r="JZ84">
        <v>29.126100000000001</v>
      </c>
      <c r="KA84">
        <v>30.0001</v>
      </c>
      <c r="KB84">
        <v>28.859100000000002</v>
      </c>
      <c r="KC84">
        <v>28.935099999999998</v>
      </c>
      <c r="KD84">
        <v>22.162400000000002</v>
      </c>
      <c r="KE84">
        <v>24.804600000000001</v>
      </c>
      <c r="KF84">
        <v>63.9955</v>
      </c>
      <c r="KG84">
        <v>22.496200000000002</v>
      </c>
      <c r="KH84">
        <v>420</v>
      </c>
      <c r="KI84">
        <v>14.69</v>
      </c>
      <c r="KJ84">
        <v>101.006</v>
      </c>
      <c r="KK84">
        <v>100.081</v>
      </c>
    </row>
    <row r="85" spans="1:297" x14ac:dyDescent="0.3">
      <c r="A85">
        <v>69</v>
      </c>
      <c r="B85">
        <v>1761689806.5999999</v>
      </c>
      <c r="C85">
        <v>12356.599999904631</v>
      </c>
      <c r="D85" t="s">
        <v>718</v>
      </c>
      <c r="E85" t="s">
        <v>719</v>
      </c>
      <c r="F85">
        <v>5</v>
      </c>
      <c r="G85" t="s">
        <v>695</v>
      </c>
      <c r="H85" t="s">
        <v>436</v>
      </c>
      <c r="I85">
        <v>1761689798.849999</v>
      </c>
      <c r="J85">
        <f t="shared" si="100"/>
        <v>1.3303699228808317E-3</v>
      </c>
      <c r="K85">
        <f t="shared" si="101"/>
        <v>1.3303699228808317</v>
      </c>
      <c r="L85">
        <f t="shared" si="102"/>
        <v>2.1421048858383642</v>
      </c>
      <c r="M85">
        <f t="shared" si="103"/>
        <v>416.72590000000002</v>
      </c>
      <c r="N85">
        <f t="shared" si="104"/>
        <v>353.56224800227471</v>
      </c>
      <c r="O85">
        <f t="shared" si="105"/>
        <v>32.246610812823583</v>
      </c>
      <c r="P85">
        <f t="shared" si="106"/>
        <v>38.007445616301162</v>
      </c>
      <c r="Q85">
        <f t="shared" si="107"/>
        <v>6.8025349952323538E-2</v>
      </c>
      <c r="R85">
        <f t="shared" si="108"/>
        <v>2.7712699053958385</v>
      </c>
      <c r="S85">
        <f t="shared" si="109"/>
        <v>6.7111141688789858E-2</v>
      </c>
      <c r="T85">
        <f t="shared" si="110"/>
        <v>4.202557790611694E-2</v>
      </c>
      <c r="U85">
        <f t="shared" si="111"/>
        <v>244.54761335747631</v>
      </c>
      <c r="V85">
        <f t="shared" si="112"/>
        <v>25.596357334790156</v>
      </c>
      <c r="W85">
        <f t="shared" si="113"/>
        <v>25.596357334790156</v>
      </c>
      <c r="X85">
        <f t="shared" si="114"/>
        <v>3.2945004425968425</v>
      </c>
      <c r="Y85">
        <f t="shared" si="115"/>
        <v>49.897430017698454</v>
      </c>
      <c r="Z85">
        <f t="shared" si="116"/>
        <v>1.5343729302245344</v>
      </c>
      <c r="AA85">
        <f t="shared" si="117"/>
        <v>3.0750540251878653</v>
      </c>
      <c r="AB85">
        <f t="shared" si="118"/>
        <v>1.7601275123723081</v>
      </c>
      <c r="AC85">
        <f t="shared" si="119"/>
        <v>-58.669313599044678</v>
      </c>
      <c r="AD85">
        <f t="shared" si="120"/>
        <v>-172.76572234341518</v>
      </c>
      <c r="AE85">
        <f t="shared" si="121"/>
        <v>-13.189242656974143</v>
      </c>
      <c r="AF85">
        <f t="shared" si="122"/>
        <v>-7.6665241957670105E-2</v>
      </c>
      <c r="AG85">
        <f t="shared" si="123"/>
        <v>2.1686500505269537</v>
      </c>
      <c r="AH85">
        <f t="shared" si="124"/>
        <v>1.3223632909697705</v>
      </c>
      <c r="AI85">
        <f t="shared" si="125"/>
        <v>2.1421048858383642</v>
      </c>
      <c r="AJ85">
        <v>426.46078384383452</v>
      </c>
      <c r="AK85">
        <v>423.86120606060598</v>
      </c>
      <c r="AL85">
        <v>-2.193425279027899E-3</v>
      </c>
      <c r="AM85">
        <v>65.005994502390706</v>
      </c>
      <c r="AN85">
        <f t="shared" si="126"/>
        <v>1.3303699228808317</v>
      </c>
      <c r="AO85">
        <v>15.262851863236349</v>
      </c>
      <c r="AP85">
        <v>16.83182237762238</v>
      </c>
      <c r="AQ85">
        <v>6.0565083988392447E-5</v>
      </c>
      <c r="AR85">
        <v>96.635452157596717</v>
      </c>
      <c r="AS85">
        <v>0</v>
      </c>
      <c r="AT85">
        <v>0</v>
      </c>
      <c r="AU85">
        <f t="shared" si="127"/>
        <v>1</v>
      </c>
      <c r="AV85">
        <f t="shared" si="128"/>
        <v>0</v>
      </c>
      <c r="AW85">
        <f t="shared" si="129"/>
        <v>48658.054342545744</v>
      </c>
      <c r="AX85" t="s">
        <v>692</v>
      </c>
      <c r="AY85">
        <v>5015.32</v>
      </c>
      <c r="AZ85">
        <v>728.58399999999995</v>
      </c>
      <c r="BA85">
        <v>1690.71138267737</v>
      </c>
      <c r="BB85">
        <f t="shared" si="130"/>
        <v>0.56906660269464093</v>
      </c>
      <c r="BC85">
        <v>-2.8602734655613742</v>
      </c>
      <c r="BD85" t="s">
        <v>720</v>
      </c>
      <c r="BE85">
        <v>5045.82</v>
      </c>
      <c r="BF85">
        <v>1249.820769230769</v>
      </c>
      <c r="BG85">
        <v>1616.2293516216289</v>
      </c>
      <c r="BH85">
        <f t="shared" si="131"/>
        <v>0.22670580881557878</v>
      </c>
      <c r="BI85">
        <v>0.5</v>
      </c>
      <c r="BJ85">
        <f t="shared" si="132"/>
        <v>1127.3533830695042</v>
      </c>
      <c r="BK85">
        <f t="shared" si="133"/>
        <v>2.1421048858383642</v>
      </c>
      <c r="BL85">
        <f t="shared" si="134"/>
        <v>127.78878026487548</v>
      </c>
      <c r="BM85">
        <f t="shared" si="135"/>
        <v>4.4372762139405662E-3</v>
      </c>
      <c r="BN85">
        <f t="shared" si="136"/>
        <v>4.6083825281981329E-2</v>
      </c>
      <c r="BO85">
        <f t="shared" si="137"/>
        <v>714.39675246506533</v>
      </c>
      <c r="BP85" t="s">
        <v>721</v>
      </c>
      <c r="BQ85">
        <v>845.93</v>
      </c>
      <c r="BR85">
        <f t="shared" si="138"/>
        <v>845.93</v>
      </c>
      <c r="BS85">
        <f t="shared" si="139"/>
        <v>0.47660274876752862</v>
      </c>
      <c r="BT85">
        <f t="shared" si="140"/>
        <v>0.47567037622386554</v>
      </c>
      <c r="BU85">
        <f t="shared" si="141"/>
        <v>8.8167225962869619E-2</v>
      </c>
      <c r="BV85">
        <f t="shared" si="142"/>
        <v>0.41278713590002175</v>
      </c>
      <c r="BW85">
        <f t="shared" si="143"/>
        <v>7.7413897989760422E-2</v>
      </c>
      <c r="BX85">
        <f t="shared" si="144"/>
        <v>0.32195323622819211</v>
      </c>
      <c r="BY85">
        <f t="shared" si="145"/>
        <v>0.67804676377180795</v>
      </c>
      <c r="BZ85">
        <v>497</v>
      </c>
      <c r="CA85">
        <v>290.00000000000011</v>
      </c>
      <c r="CB85">
        <v>1584.32</v>
      </c>
      <c r="CC85">
        <v>225</v>
      </c>
      <c r="CD85">
        <v>5045.82</v>
      </c>
      <c r="CE85">
        <v>1583.01</v>
      </c>
      <c r="CF85">
        <v>1.31</v>
      </c>
      <c r="CG85">
        <v>300.00000000000011</v>
      </c>
      <c r="CH85">
        <v>23.9</v>
      </c>
      <c r="CI85">
        <v>1616.2293516216289</v>
      </c>
      <c r="CJ85">
        <v>1.3960027268297299</v>
      </c>
      <c r="CK85">
        <v>-16.762444280506571</v>
      </c>
      <c r="CL85">
        <v>0.61615801919732915</v>
      </c>
      <c r="CM85">
        <v>0.96354641969891008</v>
      </c>
      <c r="CN85">
        <v>-3.931026028921026E-3</v>
      </c>
      <c r="CO85">
        <v>289.99999999999989</v>
      </c>
      <c r="CP85">
        <v>1580.06</v>
      </c>
      <c r="CQ85">
        <v>625</v>
      </c>
      <c r="CR85">
        <v>5045.71</v>
      </c>
      <c r="CS85">
        <v>1583.01</v>
      </c>
      <c r="CT85">
        <v>-2.95</v>
      </c>
      <c r="DH85">
        <f t="shared" si="146"/>
        <v>1372.3534666666667</v>
      </c>
      <c r="DI85">
        <f t="shared" si="147"/>
        <v>1127.3533830695042</v>
      </c>
      <c r="DJ85">
        <f t="shared" si="148"/>
        <v>0.82147450380094311</v>
      </c>
      <c r="DK85">
        <f t="shared" si="149"/>
        <v>0.17819579233582022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1761689798.849999</v>
      </c>
      <c r="DR85">
        <v>416.72590000000002</v>
      </c>
      <c r="DS85">
        <v>419.98919999999998</v>
      </c>
      <c r="DT85">
        <v>16.823360000000001</v>
      </c>
      <c r="DU85">
        <v>15.263389999999999</v>
      </c>
      <c r="DV85">
        <v>415.89506666666671</v>
      </c>
      <c r="DW85">
        <v>16.630379999999999</v>
      </c>
      <c r="DX85">
        <v>500.05450000000002</v>
      </c>
      <c r="DY85">
        <v>91.16625333333333</v>
      </c>
      <c r="DZ85">
        <v>3.8650456666666659E-2</v>
      </c>
      <c r="EA85">
        <v>24.439996666666669</v>
      </c>
      <c r="EB85">
        <v>24.06148</v>
      </c>
      <c r="EC85">
        <v>999.9000000000002</v>
      </c>
      <c r="ED85">
        <v>0</v>
      </c>
      <c r="EE85">
        <v>0</v>
      </c>
      <c r="EF85">
        <v>10007.939</v>
      </c>
      <c r="EG85">
        <v>0</v>
      </c>
      <c r="EH85">
        <v>1072.354</v>
      </c>
      <c r="EI85">
        <v>-3.2633153333333329</v>
      </c>
      <c r="EJ85">
        <v>423.85663333333321</v>
      </c>
      <c r="EK85">
        <v>426.49903333333327</v>
      </c>
      <c r="EL85">
        <v>1.559978333333333</v>
      </c>
      <c r="EM85">
        <v>419.98919999999998</v>
      </c>
      <c r="EN85">
        <v>15.263389999999999</v>
      </c>
      <c r="EO85">
        <v>1.533722333333333</v>
      </c>
      <c r="EP85">
        <v>1.3915059999999999</v>
      </c>
      <c r="EQ85">
        <v>13.30857</v>
      </c>
      <c r="ER85">
        <v>11.82538666666667</v>
      </c>
      <c r="ES85">
        <v>299.99946666666659</v>
      </c>
      <c r="ET85">
        <v>0.90003273333333333</v>
      </c>
      <c r="EU85">
        <v>9.9967446666666668E-2</v>
      </c>
      <c r="EV85">
        <v>0</v>
      </c>
      <c r="EW85">
        <v>1249.830333333334</v>
      </c>
      <c r="EX85">
        <v>5.0005600000000019</v>
      </c>
      <c r="EY85">
        <v>3809.7343333333329</v>
      </c>
      <c r="EZ85">
        <v>2492.431333333333</v>
      </c>
      <c r="FA85">
        <v>36.339299999999987</v>
      </c>
      <c r="FB85">
        <v>39.485299999999981</v>
      </c>
      <c r="FC85">
        <v>37.754033333333318</v>
      </c>
      <c r="FD85">
        <v>38.555799999999991</v>
      </c>
      <c r="FE85">
        <v>37.843499999999992</v>
      </c>
      <c r="FF85">
        <v>265.50866666666673</v>
      </c>
      <c r="FG85">
        <v>29.49</v>
      </c>
      <c r="FH85">
        <v>0</v>
      </c>
      <c r="FI85">
        <v>127.2000000476837</v>
      </c>
      <c r="FJ85">
        <v>0</v>
      </c>
      <c r="FK85">
        <v>1249.820769230769</v>
      </c>
      <c r="FL85">
        <v>5.6608547005308472</v>
      </c>
      <c r="FM85">
        <v>5.5309401799435536</v>
      </c>
      <c r="FN85">
        <v>3809.6761538461528</v>
      </c>
      <c r="FO85">
        <v>15</v>
      </c>
      <c r="FP85">
        <v>0</v>
      </c>
      <c r="FQ85" t="s">
        <v>441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-3.2801737499999999</v>
      </c>
      <c r="GD85">
        <v>0.31342818011257811</v>
      </c>
      <c r="GE85">
        <v>4.6282852261258688E-2</v>
      </c>
      <c r="GF85">
        <v>1</v>
      </c>
      <c r="GG85">
        <v>1249.632647058824</v>
      </c>
      <c r="GH85">
        <v>5.1216195620284033</v>
      </c>
      <c r="GI85">
        <v>0.53452182491915412</v>
      </c>
      <c r="GJ85">
        <v>0</v>
      </c>
      <c r="GK85">
        <v>1.5551937499999999</v>
      </c>
      <c r="GL85">
        <v>0.1001580112570334</v>
      </c>
      <c r="GM85">
        <v>9.8244902380479754E-3</v>
      </c>
      <c r="GN85">
        <v>0</v>
      </c>
      <c r="GO85">
        <v>1</v>
      </c>
      <c r="GP85">
        <v>3</v>
      </c>
      <c r="GQ85" t="s">
        <v>442</v>
      </c>
      <c r="GR85">
        <v>3.1287400000000001</v>
      </c>
      <c r="GS85">
        <v>2.7161900000000001</v>
      </c>
      <c r="GT85">
        <v>8.56933E-2</v>
      </c>
      <c r="GU85">
        <v>8.67753E-2</v>
      </c>
      <c r="GV85">
        <v>8.3706699999999995E-2</v>
      </c>
      <c r="GW85">
        <v>7.8717899999999993E-2</v>
      </c>
      <c r="GX85">
        <v>27448.3</v>
      </c>
      <c r="GY85">
        <v>26504.3</v>
      </c>
      <c r="GZ85">
        <v>30562.9</v>
      </c>
      <c r="HA85">
        <v>29276.7</v>
      </c>
      <c r="HB85">
        <v>38639.5</v>
      </c>
      <c r="HC85">
        <v>35507.4</v>
      </c>
      <c r="HD85">
        <v>46734.400000000001</v>
      </c>
      <c r="HE85">
        <v>43520.2</v>
      </c>
      <c r="HF85">
        <v>1.8327</v>
      </c>
      <c r="HG85">
        <v>1.8609</v>
      </c>
      <c r="HH85">
        <v>2.6095699999999999E-2</v>
      </c>
      <c r="HI85">
        <v>0</v>
      </c>
      <c r="HJ85">
        <v>23.635100000000001</v>
      </c>
      <c r="HK85">
        <v>999.9</v>
      </c>
      <c r="HL85">
        <v>37.4</v>
      </c>
      <c r="HM85">
        <v>30.5</v>
      </c>
      <c r="HN85">
        <v>17.985900000000001</v>
      </c>
      <c r="HO85">
        <v>63.517000000000003</v>
      </c>
      <c r="HP85">
        <v>18.088899999999999</v>
      </c>
      <c r="HQ85">
        <v>1</v>
      </c>
      <c r="HR85">
        <v>0.146202</v>
      </c>
      <c r="HS85">
        <v>1.9353199999999999</v>
      </c>
      <c r="HT85">
        <v>20.207999999999998</v>
      </c>
      <c r="HU85">
        <v>5.23855</v>
      </c>
      <c r="HV85">
        <v>11.974</v>
      </c>
      <c r="HW85">
        <v>4.9729999999999999</v>
      </c>
      <c r="HX85">
        <v>3.2910300000000001</v>
      </c>
      <c r="HY85">
        <v>9999</v>
      </c>
      <c r="HZ85">
        <v>9999</v>
      </c>
      <c r="IA85">
        <v>9999</v>
      </c>
      <c r="IB85">
        <v>999.9</v>
      </c>
      <c r="IC85">
        <v>4.9728899999999996</v>
      </c>
      <c r="ID85">
        <v>1.8772899999999999</v>
      </c>
      <c r="IE85">
        <v>1.87534</v>
      </c>
      <c r="IF85">
        <v>1.8782000000000001</v>
      </c>
      <c r="IG85">
        <v>1.87487</v>
      </c>
      <c r="IH85">
        <v>1.8785000000000001</v>
      </c>
      <c r="II85">
        <v>1.87561</v>
      </c>
      <c r="IJ85">
        <v>1.87676</v>
      </c>
      <c r="IK85">
        <v>0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0.83099999999999996</v>
      </c>
      <c r="IY85">
        <v>0.19320000000000001</v>
      </c>
      <c r="IZ85">
        <v>6.1933660764125778E-2</v>
      </c>
      <c r="JA85">
        <v>2.058711587971173E-3</v>
      </c>
      <c r="JB85">
        <v>-6.1309262243104059E-7</v>
      </c>
      <c r="JC85">
        <v>2.6183910446277612E-10</v>
      </c>
      <c r="JD85">
        <v>3.5078820932035488E-4</v>
      </c>
      <c r="JE85">
        <v>-4.3284922736758413E-3</v>
      </c>
      <c r="JF85">
        <v>1.4186339569364E-3</v>
      </c>
      <c r="JG85">
        <v>-2.7770646863349432E-5</v>
      </c>
      <c r="JH85">
        <v>2</v>
      </c>
      <c r="JI85">
        <v>2136</v>
      </c>
      <c r="JJ85">
        <v>1</v>
      </c>
      <c r="JK85">
        <v>19</v>
      </c>
      <c r="JL85">
        <v>29361496.800000001</v>
      </c>
      <c r="JM85">
        <v>29361496.800000001</v>
      </c>
      <c r="JN85">
        <v>1.1059600000000001</v>
      </c>
      <c r="JO85">
        <v>2.5415000000000001</v>
      </c>
      <c r="JP85">
        <v>1.39893</v>
      </c>
      <c r="JQ85">
        <v>2.32544</v>
      </c>
      <c r="JR85">
        <v>1.4489700000000001</v>
      </c>
      <c r="JS85">
        <v>2.5720200000000002</v>
      </c>
      <c r="JT85">
        <v>36.316499999999998</v>
      </c>
      <c r="JU85">
        <v>23.9299</v>
      </c>
      <c r="JV85">
        <v>18</v>
      </c>
      <c r="JW85">
        <v>483.536</v>
      </c>
      <c r="JX85">
        <v>472.26100000000002</v>
      </c>
      <c r="JY85">
        <v>22.408000000000001</v>
      </c>
      <c r="JZ85">
        <v>29.078900000000001</v>
      </c>
      <c r="KA85">
        <v>29.9999</v>
      </c>
      <c r="KB85">
        <v>28.8325</v>
      </c>
      <c r="KC85">
        <v>28.912800000000001</v>
      </c>
      <c r="KD85">
        <v>22.170999999999999</v>
      </c>
      <c r="KE85">
        <v>21.539200000000001</v>
      </c>
      <c r="KF85">
        <v>63.9955</v>
      </c>
      <c r="KG85">
        <v>22.365300000000001</v>
      </c>
      <c r="KH85">
        <v>420</v>
      </c>
      <c r="KI85">
        <v>15.2852</v>
      </c>
      <c r="KJ85">
        <v>101.01300000000001</v>
      </c>
      <c r="KK85">
        <v>100.08799999999999</v>
      </c>
    </row>
    <row r="86" spans="1:297" x14ac:dyDescent="0.3">
      <c r="A86">
        <v>70</v>
      </c>
      <c r="B86">
        <v>1761689877.5999999</v>
      </c>
      <c r="C86">
        <v>12427.599999904631</v>
      </c>
      <c r="D86" t="s">
        <v>722</v>
      </c>
      <c r="E86" t="s">
        <v>723</v>
      </c>
      <c r="F86">
        <v>5</v>
      </c>
      <c r="G86" t="s">
        <v>695</v>
      </c>
      <c r="H86" t="s">
        <v>436</v>
      </c>
      <c r="I86">
        <v>1761689869.599999</v>
      </c>
      <c r="J86">
        <f t="shared" si="100"/>
        <v>1.3540999568540575E-3</v>
      </c>
      <c r="K86">
        <f t="shared" si="101"/>
        <v>1.3540999568540575</v>
      </c>
      <c r="L86">
        <f t="shared" si="102"/>
        <v>1.3791401539386146</v>
      </c>
      <c r="M86">
        <f t="shared" si="103"/>
        <v>417.65206451612897</v>
      </c>
      <c r="N86">
        <f t="shared" si="104"/>
        <v>374.09328974729442</v>
      </c>
      <c r="O86">
        <f t="shared" si="105"/>
        <v>34.119602355993813</v>
      </c>
      <c r="P86">
        <f t="shared" si="106"/>
        <v>38.092429762844347</v>
      </c>
      <c r="Q86">
        <f t="shared" si="107"/>
        <v>7.1208365426452633E-2</v>
      </c>
      <c r="R86">
        <f t="shared" si="108"/>
        <v>2.7694867128470939</v>
      </c>
      <c r="S86">
        <f t="shared" si="109"/>
        <v>7.0206645095894318E-2</v>
      </c>
      <c r="T86">
        <f t="shared" si="110"/>
        <v>4.3967979795718287E-2</v>
      </c>
      <c r="U86">
        <f t="shared" si="111"/>
        <v>217.76816122840214</v>
      </c>
      <c r="V86">
        <f t="shared" si="112"/>
        <v>25.383077113626378</v>
      </c>
      <c r="W86">
        <f t="shared" si="113"/>
        <v>25.383077113626378</v>
      </c>
      <c r="X86">
        <f t="shared" si="114"/>
        <v>3.2530260870632679</v>
      </c>
      <c r="Y86">
        <f t="shared" si="115"/>
        <v>50.206977710424553</v>
      </c>
      <c r="Z86">
        <f t="shared" si="116"/>
        <v>1.5401252980405349</v>
      </c>
      <c r="AA86">
        <f t="shared" si="117"/>
        <v>3.0675522970600086</v>
      </c>
      <c r="AB86">
        <f t="shared" si="118"/>
        <v>1.712900789022733</v>
      </c>
      <c r="AC86">
        <f t="shared" si="119"/>
        <v>-59.715808097263931</v>
      </c>
      <c r="AD86">
        <f t="shared" si="120"/>
        <v>-146.90031931089212</v>
      </c>
      <c r="AE86">
        <f t="shared" si="121"/>
        <v>-11.207496533813094</v>
      </c>
      <c r="AF86">
        <f t="shared" si="122"/>
        <v>-5.5462713567010269E-2</v>
      </c>
      <c r="AG86">
        <f t="shared" si="123"/>
        <v>1.4083880000142304</v>
      </c>
      <c r="AH86">
        <f t="shared" si="124"/>
        <v>1.3478933578175325</v>
      </c>
      <c r="AI86">
        <f t="shared" si="125"/>
        <v>1.3791401539386146</v>
      </c>
      <c r="AJ86">
        <v>426.59634970463418</v>
      </c>
      <c r="AK86">
        <v>424.91050303030289</v>
      </c>
      <c r="AL86">
        <v>1.0829902741943489E-3</v>
      </c>
      <c r="AM86">
        <v>65.005994502390706</v>
      </c>
      <c r="AN86">
        <f t="shared" si="126"/>
        <v>1.3540999568540575</v>
      </c>
      <c r="AO86">
        <v>15.295513615437359</v>
      </c>
      <c r="AP86">
        <v>16.892640559440569</v>
      </c>
      <c r="AQ86">
        <v>4.5855364195821932E-5</v>
      </c>
      <c r="AR86">
        <v>96.635452157596717</v>
      </c>
      <c r="AS86">
        <v>0</v>
      </c>
      <c r="AT86">
        <v>0</v>
      </c>
      <c r="AU86">
        <f t="shared" si="127"/>
        <v>1</v>
      </c>
      <c r="AV86">
        <f t="shared" si="128"/>
        <v>0</v>
      </c>
      <c r="AW86">
        <f t="shared" si="129"/>
        <v>48615.692569058432</v>
      </c>
      <c r="AX86" t="s">
        <v>692</v>
      </c>
      <c r="AY86">
        <v>5015.32</v>
      </c>
      <c r="AZ86">
        <v>728.58399999999995</v>
      </c>
      <c r="BA86">
        <v>1690.71138267737</v>
      </c>
      <c r="BB86">
        <f t="shared" si="130"/>
        <v>0.56906660269464093</v>
      </c>
      <c r="BC86">
        <v>-2.8602734655613742</v>
      </c>
      <c r="BD86" t="s">
        <v>724</v>
      </c>
      <c r="BE86">
        <v>5031.59</v>
      </c>
      <c r="BF86">
        <v>1046.2596000000001</v>
      </c>
      <c r="BG86">
        <v>1631.8301334667949</v>
      </c>
      <c r="BH86">
        <f t="shared" si="131"/>
        <v>0.3588428240522562</v>
      </c>
      <c r="BI86">
        <v>0.5</v>
      </c>
      <c r="BJ86">
        <f t="shared" si="132"/>
        <v>1004.1388699996739</v>
      </c>
      <c r="BK86">
        <f t="shared" si="133"/>
        <v>1.3791401539386146</v>
      </c>
      <c r="BL86">
        <f t="shared" si="134"/>
        <v>180.16401392566218</v>
      </c>
      <c r="BM86">
        <f t="shared" si="135"/>
        <v>4.221939560512547E-3</v>
      </c>
      <c r="BN86">
        <f t="shared" si="136"/>
        <v>3.6082952510187387E-2</v>
      </c>
      <c r="BO86">
        <f t="shared" si="137"/>
        <v>717.42845435823392</v>
      </c>
      <c r="BP86" t="s">
        <v>725</v>
      </c>
      <c r="BQ86">
        <v>827.93</v>
      </c>
      <c r="BR86">
        <f t="shared" si="138"/>
        <v>827.93</v>
      </c>
      <c r="BS86">
        <f t="shared" si="139"/>
        <v>0.49263714217540711</v>
      </c>
      <c r="BT86">
        <f t="shared" si="140"/>
        <v>0.72841203663139054</v>
      </c>
      <c r="BU86">
        <f t="shared" si="141"/>
        <v>6.824585044690662E-2</v>
      </c>
      <c r="BV86">
        <f t="shared" si="142"/>
        <v>0.64829564364619718</v>
      </c>
      <c r="BW86">
        <f t="shared" si="143"/>
        <v>6.1199016128948222E-2</v>
      </c>
      <c r="BX86">
        <f t="shared" si="144"/>
        <v>0.57640969553658306</v>
      </c>
      <c r="BY86">
        <f t="shared" si="145"/>
        <v>0.42359030446341694</v>
      </c>
      <c r="BZ86">
        <v>499</v>
      </c>
      <c r="CA86">
        <v>290.00000000000011</v>
      </c>
      <c r="CB86">
        <v>1596.52</v>
      </c>
      <c r="CC86">
        <v>215</v>
      </c>
      <c r="CD86">
        <v>5031.59</v>
      </c>
      <c r="CE86">
        <v>1596.78</v>
      </c>
      <c r="CF86">
        <v>-0.26</v>
      </c>
      <c r="CG86">
        <v>300.00000000000011</v>
      </c>
      <c r="CH86">
        <v>23.9</v>
      </c>
      <c r="CI86">
        <v>1631.8301334667949</v>
      </c>
      <c r="CJ86">
        <v>1.411034513369537</v>
      </c>
      <c r="CK86">
        <v>-17.63621294537397</v>
      </c>
      <c r="CL86">
        <v>0.61801474039954929</v>
      </c>
      <c r="CM86">
        <v>0.96675980106273096</v>
      </c>
      <c r="CN86">
        <v>-4.0437708565072361E-3</v>
      </c>
      <c r="CO86">
        <v>289.99999999999989</v>
      </c>
      <c r="CP86">
        <v>1594.37</v>
      </c>
      <c r="CQ86">
        <v>635</v>
      </c>
      <c r="CR86">
        <v>5031.3999999999996</v>
      </c>
      <c r="CS86">
        <v>1596.78</v>
      </c>
      <c r="CT86">
        <v>-2.41</v>
      </c>
      <c r="DH86">
        <f t="shared" si="146"/>
        <v>1222.3981935483876</v>
      </c>
      <c r="DI86">
        <f t="shared" si="147"/>
        <v>1004.1388699996739</v>
      </c>
      <c r="DJ86">
        <f t="shared" si="148"/>
        <v>0.82144989684977476</v>
      </c>
      <c r="DK86">
        <f t="shared" si="149"/>
        <v>0.17814830092006512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1761689869.599999</v>
      </c>
      <c r="DR86">
        <v>417.65206451612897</v>
      </c>
      <c r="DS86">
        <v>420.01764516129037</v>
      </c>
      <c r="DT86">
        <v>16.886203225806451</v>
      </c>
      <c r="DU86">
        <v>15.29606129032258</v>
      </c>
      <c r="DV86">
        <v>416.81961290322579</v>
      </c>
      <c r="DW86">
        <v>16.69199032258064</v>
      </c>
      <c r="DX86">
        <v>500.0053870967742</v>
      </c>
      <c r="DY86">
        <v>91.16723870967742</v>
      </c>
      <c r="DZ86">
        <v>3.8894335483870959E-2</v>
      </c>
      <c r="EA86">
        <v>24.399206451612901</v>
      </c>
      <c r="EB86">
        <v>23.923787096774191</v>
      </c>
      <c r="EC86">
        <v>999.90000000000032</v>
      </c>
      <c r="ED86">
        <v>0</v>
      </c>
      <c r="EE86">
        <v>0</v>
      </c>
      <c r="EF86">
        <v>9997.3119354838709</v>
      </c>
      <c r="EG86">
        <v>0</v>
      </c>
      <c r="EH86">
        <v>1072.3932258064519</v>
      </c>
      <c r="EI86">
        <v>-2.3656719354838711</v>
      </c>
      <c r="EJ86">
        <v>424.82577419354828</v>
      </c>
      <c r="EK86">
        <v>426.54203225806452</v>
      </c>
      <c r="EL86">
        <v>1.5901251612903231</v>
      </c>
      <c r="EM86">
        <v>420.01764516129037</v>
      </c>
      <c r="EN86">
        <v>15.29606129032258</v>
      </c>
      <c r="EO86">
        <v>1.5394677419354841</v>
      </c>
      <c r="EP86">
        <v>1.3945003225806449</v>
      </c>
      <c r="EQ86">
        <v>13.36589032258064</v>
      </c>
      <c r="ER86">
        <v>11.85796129032258</v>
      </c>
      <c r="ES86">
        <v>150.0049677419355</v>
      </c>
      <c r="ET86">
        <v>0.9000213548387096</v>
      </c>
      <c r="EU86">
        <v>9.9978645161290305E-2</v>
      </c>
      <c r="EV86">
        <v>0</v>
      </c>
      <c r="EW86">
        <v>1046.241612903226</v>
      </c>
      <c r="EX86">
        <v>5.0005600000000019</v>
      </c>
      <c r="EY86">
        <v>1679.1016129032259</v>
      </c>
      <c r="EZ86">
        <v>1225.1319354838711</v>
      </c>
      <c r="FA86">
        <v>35.880806451612898</v>
      </c>
      <c r="FB86">
        <v>39.205354838709667</v>
      </c>
      <c r="FC86">
        <v>37.376806451612893</v>
      </c>
      <c r="FD86">
        <v>38.310032258064503</v>
      </c>
      <c r="FE86">
        <v>37.483741935483863</v>
      </c>
      <c r="FF86">
        <v>130.50709677419351</v>
      </c>
      <c r="FG86">
        <v>14.499677419354841</v>
      </c>
      <c r="FH86">
        <v>0</v>
      </c>
      <c r="FI86">
        <v>69</v>
      </c>
      <c r="FJ86">
        <v>0</v>
      </c>
      <c r="FK86">
        <v>1046.2596000000001</v>
      </c>
      <c r="FL86">
        <v>1.0861538380414439</v>
      </c>
      <c r="FM86">
        <v>-3.4253846113038939</v>
      </c>
      <c r="FN86">
        <v>1679.0296000000001</v>
      </c>
      <c r="FO86">
        <v>15</v>
      </c>
      <c r="FP86">
        <v>0</v>
      </c>
      <c r="FQ86" t="s">
        <v>441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-2.3848139024390238</v>
      </c>
      <c r="GD86">
        <v>0.35707108013937039</v>
      </c>
      <c r="GE86">
        <v>4.3523756051937118E-2</v>
      </c>
      <c r="GF86">
        <v>1</v>
      </c>
      <c r="GG86">
        <v>1046.194411764706</v>
      </c>
      <c r="GH86">
        <v>0.87471351936952413</v>
      </c>
      <c r="GI86">
        <v>0.21992232822025781</v>
      </c>
      <c r="GJ86">
        <v>1</v>
      </c>
      <c r="GK86">
        <v>1.586130243902439</v>
      </c>
      <c r="GL86">
        <v>8.2046132404184929E-2</v>
      </c>
      <c r="GM86">
        <v>8.1358008848590093E-3</v>
      </c>
      <c r="GN86">
        <v>1</v>
      </c>
      <c r="GO86">
        <v>3</v>
      </c>
      <c r="GP86">
        <v>3</v>
      </c>
      <c r="GQ86" t="s">
        <v>470</v>
      </c>
      <c r="GR86">
        <v>3.1289799999999999</v>
      </c>
      <c r="GS86">
        <v>2.7166999999999999</v>
      </c>
      <c r="GT86">
        <v>8.5849400000000006E-2</v>
      </c>
      <c r="GU86">
        <v>8.6771399999999999E-2</v>
      </c>
      <c r="GV86">
        <v>8.3919400000000005E-2</v>
      </c>
      <c r="GW86">
        <v>7.8827999999999995E-2</v>
      </c>
      <c r="GX86">
        <v>27446</v>
      </c>
      <c r="GY86">
        <v>26505.5</v>
      </c>
      <c r="GZ86">
        <v>30565.4</v>
      </c>
      <c r="HA86">
        <v>29277.8</v>
      </c>
      <c r="HB86">
        <v>38633.1</v>
      </c>
      <c r="HC86">
        <v>35504.1</v>
      </c>
      <c r="HD86">
        <v>46737.7</v>
      </c>
      <c r="HE86">
        <v>43521.5</v>
      </c>
      <c r="HF86">
        <v>1.8333699999999999</v>
      </c>
      <c r="HG86">
        <v>1.8610800000000001</v>
      </c>
      <c r="HH86">
        <v>1.4770800000000001E-2</v>
      </c>
      <c r="HI86">
        <v>0</v>
      </c>
      <c r="HJ86">
        <v>23.696100000000001</v>
      </c>
      <c r="HK86">
        <v>999.9</v>
      </c>
      <c r="HL86">
        <v>37.4</v>
      </c>
      <c r="HM86">
        <v>30.5</v>
      </c>
      <c r="HN86">
        <v>17.9863</v>
      </c>
      <c r="HO86">
        <v>63.436999999999998</v>
      </c>
      <c r="HP86">
        <v>17.928699999999999</v>
      </c>
      <c r="HQ86">
        <v>1</v>
      </c>
      <c r="HR86">
        <v>0.142096</v>
      </c>
      <c r="HS86">
        <v>1.14127</v>
      </c>
      <c r="HT86">
        <v>20.217199999999998</v>
      </c>
      <c r="HU86">
        <v>5.23855</v>
      </c>
      <c r="HV86">
        <v>11.974</v>
      </c>
      <c r="HW86">
        <v>4.9730499999999997</v>
      </c>
      <c r="HX86">
        <v>3.2909999999999999</v>
      </c>
      <c r="HY86">
        <v>9999</v>
      </c>
      <c r="HZ86">
        <v>9999</v>
      </c>
      <c r="IA86">
        <v>9999</v>
      </c>
      <c r="IB86">
        <v>999.9</v>
      </c>
      <c r="IC86">
        <v>4.9729099999999997</v>
      </c>
      <c r="ID86">
        <v>1.8772899999999999</v>
      </c>
      <c r="IE86">
        <v>1.8753599999999999</v>
      </c>
      <c r="IF86">
        <v>1.8782000000000001</v>
      </c>
      <c r="IG86">
        <v>1.8748899999999999</v>
      </c>
      <c r="IH86">
        <v>1.8785099999999999</v>
      </c>
      <c r="II86">
        <v>1.87561</v>
      </c>
      <c r="IJ86">
        <v>1.8767799999999999</v>
      </c>
      <c r="IK86">
        <v>0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0.83299999999999996</v>
      </c>
      <c r="IY86">
        <v>0.19439999999999999</v>
      </c>
      <c r="IZ86">
        <v>6.1933660764125778E-2</v>
      </c>
      <c r="JA86">
        <v>2.058711587971173E-3</v>
      </c>
      <c r="JB86">
        <v>-6.1309262243104059E-7</v>
      </c>
      <c r="JC86">
        <v>2.6183910446277612E-10</v>
      </c>
      <c r="JD86">
        <v>3.5078820932035488E-4</v>
      </c>
      <c r="JE86">
        <v>-4.3284922736758413E-3</v>
      </c>
      <c r="JF86">
        <v>1.4186339569364E-3</v>
      </c>
      <c r="JG86">
        <v>-2.7770646863349432E-5</v>
      </c>
      <c r="JH86">
        <v>2</v>
      </c>
      <c r="JI86">
        <v>2136</v>
      </c>
      <c r="JJ86">
        <v>1</v>
      </c>
      <c r="JK86">
        <v>19</v>
      </c>
      <c r="JL86">
        <v>29361498</v>
      </c>
      <c r="JM86">
        <v>29361498</v>
      </c>
      <c r="JN86">
        <v>1.1059600000000001</v>
      </c>
      <c r="JO86">
        <v>2.5476100000000002</v>
      </c>
      <c r="JP86">
        <v>1.39893</v>
      </c>
      <c r="JQ86">
        <v>2.32666</v>
      </c>
      <c r="JR86">
        <v>1.4489700000000001</v>
      </c>
      <c r="JS86">
        <v>2.5915499999999998</v>
      </c>
      <c r="JT86">
        <v>36.292900000000003</v>
      </c>
      <c r="JU86">
        <v>23.938700000000001</v>
      </c>
      <c r="JV86">
        <v>18</v>
      </c>
      <c r="JW86">
        <v>483.79500000000002</v>
      </c>
      <c r="JX86">
        <v>472.24700000000001</v>
      </c>
      <c r="JY86">
        <v>22.810400000000001</v>
      </c>
      <c r="JZ86">
        <v>29.058700000000002</v>
      </c>
      <c r="KA86">
        <v>29.9999</v>
      </c>
      <c r="KB86">
        <v>28.815100000000001</v>
      </c>
      <c r="KC86">
        <v>28.896599999999999</v>
      </c>
      <c r="KD86">
        <v>22.1706</v>
      </c>
      <c r="KE86">
        <v>21.539200000000001</v>
      </c>
      <c r="KF86">
        <v>64.367800000000003</v>
      </c>
      <c r="KG86">
        <v>22.840900000000001</v>
      </c>
      <c r="KH86">
        <v>420</v>
      </c>
      <c r="KI86">
        <v>15.2616</v>
      </c>
      <c r="KJ86">
        <v>101.021</v>
      </c>
      <c r="KK86">
        <v>100.092</v>
      </c>
    </row>
    <row r="87" spans="1:297" x14ac:dyDescent="0.3">
      <c r="A87">
        <v>71</v>
      </c>
      <c r="B87">
        <v>1761689968.0999999</v>
      </c>
      <c r="C87">
        <v>12518.099999904631</v>
      </c>
      <c r="D87" t="s">
        <v>726</v>
      </c>
      <c r="E87" t="s">
        <v>727</v>
      </c>
      <c r="F87">
        <v>5</v>
      </c>
      <c r="G87" t="s">
        <v>695</v>
      </c>
      <c r="H87" t="s">
        <v>436</v>
      </c>
      <c r="I87">
        <v>1761689960.349999</v>
      </c>
      <c r="J87">
        <f t="shared" si="100"/>
        <v>1.3869846426271862E-3</v>
      </c>
      <c r="K87">
        <f t="shared" si="101"/>
        <v>1.3869846426271861</v>
      </c>
      <c r="L87">
        <f t="shared" si="102"/>
        <v>-0.38872856061328087</v>
      </c>
      <c r="M87">
        <f t="shared" si="103"/>
        <v>419.75243333333327</v>
      </c>
      <c r="N87">
        <f t="shared" si="104"/>
        <v>415.52420803556356</v>
      </c>
      <c r="O87">
        <f t="shared" si="105"/>
        <v>37.897399889858576</v>
      </c>
      <c r="P87">
        <f t="shared" si="106"/>
        <v>38.283030237826843</v>
      </c>
      <c r="Q87">
        <f t="shared" si="107"/>
        <v>7.3000956588562302E-2</v>
      </c>
      <c r="R87">
        <f t="shared" si="108"/>
        <v>2.7703161411671235</v>
      </c>
      <c r="S87">
        <f t="shared" si="109"/>
        <v>7.1948879134149962E-2</v>
      </c>
      <c r="T87">
        <f t="shared" si="110"/>
        <v>4.5061311290378971E-2</v>
      </c>
      <c r="U87">
        <f t="shared" si="111"/>
        <v>199.74725509577419</v>
      </c>
      <c r="V87">
        <f t="shared" si="112"/>
        <v>25.37600659858575</v>
      </c>
      <c r="W87">
        <f t="shared" si="113"/>
        <v>25.37600659858575</v>
      </c>
      <c r="X87">
        <f t="shared" si="114"/>
        <v>3.2516590066101831</v>
      </c>
      <c r="Y87">
        <f t="shared" si="115"/>
        <v>49.849491881373318</v>
      </c>
      <c r="Z87">
        <f t="shared" si="116"/>
        <v>1.5396717715305954</v>
      </c>
      <c r="AA87">
        <f t="shared" si="117"/>
        <v>3.0886408535407894</v>
      </c>
      <c r="AB87">
        <f t="shared" si="118"/>
        <v>1.7119872350795877</v>
      </c>
      <c r="AC87">
        <f t="shared" si="119"/>
        <v>-61.16602273985891</v>
      </c>
      <c r="AD87">
        <f t="shared" si="120"/>
        <v>-128.79529196334354</v>
      </c>
      <c r="AE87">
        <f t="shared" si="121"/>
        <v>-9.8285699815074601</v>
      </c>
      <c r="AF87">
        <f t="shared" si="122"/>
        <v>-4.2629588935710672E-2</v>
      </c>
      <c r="AG87">
        <f t="shared" si="123"/>
        <v>-0.369013053217567</v>
      </c>
      <c r="AH87">
        <f t="shared" si="124"/>
        <v>1.3863716439466252</v>
      </c>
      <c r="AI87">
        <f t="shared" si="125"/>
        <v>-0.38872856061328087</v>
      </c>
      <c r="AJ87">
        <v>426.56141349841522</v>
      </c>
      <c r="AK87">
        <v>427.03140000000008</v>
      </c>
      <c r="AL87">
        <v>7.7313842819291356E-4</v>
      </c>
      <c r="AM87">
        <v>65.005994502390706</v>
      </c>
      <c r="AN87">
        <f t="shared" si="126"/>
        <v>1.3869846426271861</v>
      </c>
      <c r="AO87">
        <v>15.24572936999229</v>
      </c>
      <c r="AP87">
        <v>16.881955944055949</v>
      </c>
      <c r="AQ87">
        <v>4.6019627563789906E-6</v>
      </c>
      <c r="AR87">
        <v>96.635452157596717</v>
      </c>
      <c r="AS87">
        <v>0</v>
      </c>
      <c r="AT87">
        <v>0</v>
      </c>
      <c r="AU87">
        <f t="shared" si="127"/>
        <v>1</v>
      </c>
      <c r="AV87">
        <f t="shared" si="128"/>
        <v>0</v>
      </c>
      <c r="AW87">
        <f t="shared" si="129"/>
        <v>48619.76223789381</v>
      </c>
      <c r="AX87" t="s">
        <v>692</v>
      </c>
      <c r="AY87">
        <v>5015.32</v>
      </c>
      <c r="AZ87">
        <v>728.58399999999995</v>
      </c>
      <c r="BA87">
        <v>1690.71138267737</v>
      </c>
      <c r="BB87">
        <f t="shared" si="130"/>
        <v>0.56906660269464093</v>
      </c>
      <c r="BC87">
        <v>-2.8602734655613742</v>
      </c>
      <c r="BD87" t="s">
        <v>728</v>
      </c>
      <c r="BE87">
        <v>5022.17</v>
      </c>
      <c r="BF87">
        <v>883.74856</v>
      </c>
      <c r="BG87">
        <v>1660.199067742348</v>
      </c>
      <c r="BH87">
        <f t="shared" si="131"/>
        <v>0.467685184764149</v>
      </c>
      <c r="BI87">
        <v>0.5</v>
      </c>
      <c r="BJ87">
        <f t="shared" si="132"/>
        <v>921.89762414029803</v>
      </c>
      <c r="BK87">
        <f t="shared" si="133"/>
        <v>-0.38872856061328087</v>
      </c>
      <c r="BL87">
        <f t="shared" si="134"/>
        <v>215.57893033984263</v>
      </c>
      <c r="BM87">
        <f t="shared" si="135"/>
        <v>2.6809320690601582E-3</v>
      </c>
      <c r="BN87">
        <f t="shared" si="136"/>
        <v>1.8378708630715432E-2</v>
      </c>
      <c r="BO87">
        <f t="shared" si="137"/>
        <v>722.85895752745557</v>
      </c>
      <c r="BP87" t="s">
        <v>729</v>
      </c>
      <c r="BQ87">
        <v>809.2</v>
      </c>
      <c r="BR87">
        <f t="shared" si="138"/>
        <v>809.2</v>
      </c>
      <c r="BS87">
        <f t="shared" si="139"/>
        <v>0.51258857101973598</v>
      </c>
      <c r="BT87">
        <f t="shared" si="140"/>
        <v>0.9123987759495753</v>
      </c>
      <c r="BU87">
        <f t="shared" si="141"/>
        <v>3.461363691339809E-2</v>
      </c>
      <c r="BV87">
        <f t="shared" si="142"/>
        <v>0.83344563074100786</v>
      </c>
      <c r="BW87">
        <f t="shared" si="143"/>
        <v>3.1713383783042885E-2</v>
      </c>
      <c r="BX87">
        <f t="shared" si="144"/>
        <v>0.83543342859692626</v>
      </c>
      <c r="BY87">
        <f t="shared" si="145"/>
        <v>0.16456657140307374</v>
      </c>
      <c r="BZ87">
        <v>501</v>
      </c>
      <c r="CA87">
        <v>290.00000000000011</v>
      </c>
      <c r="CB87">
        <v>1624.93</v>
      </c>
      <c r="CC87">
        <v>275</v>
      </c>
      <c r="CD87">
        <v>5022.17</v>
      </c>
      <c r="CE87">
        <v>1625.02</v>
      </c>
      <c r="CF87">
        <v>-0.09</v>
      </c>
      <c r="CG87">
        <v>300.00000000000011</v>
      </c>
      <c r="CH87">
        <v>23.9</v>
      </c>
      <c r="CI87">
        <v>1660.199067742348</v>
      </c>
      <c r="CJ87">
        <v>1.143853731285432</v>
      </c>
      <c r="CK87">
        <v>-17.667079764026759</v>
      </c>
      <c r="CL87">
        <v>0.49843752817751807</v>
      </c>
      <c r="CM87">
        <v>0.97819896275021001</v>
      </c>
      <c r="CN87">
        <v>-4.1196360400444967E-3</v>
      </c>
      <c r="CO87">
        <v>289.99999999999989</v>
      </c>
      <c r="CP87">
        <v>1623.29</v>
      </c>
      <c r="CQ87">
        <v>625</v>
      </c>
      <c r="CR87">
        <v>5022.41</v>
      </c>
      <c r="CS87">
        <v>1625.02</v>
      </c>
      <c r="CT87">
        <v>-1.73</v>
      </c>
      <c r="DH87">
        <f t="shared" si="146"/>
        <v>1122.4126200000007</v>
      </c>
      <c r="DI87">
        <f t="shared" si="147"/>
        <v>921.89762414029803</v>
      </c>
      <c r="DJ87">
        <f t="shared" si="148"/>
        <v>0.82135358041528206</v>
      </c>
      <c r="DK87">
        <f t="shared" si="149"/>
        <v>0.17796241020149439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1761689960.349999</v>
      </c>
      <c r="DR87">
        <v>419.75243333333327</v>
      </c>
      <c r="DS87">
        <v>420.00793333333331</v>
      </c>
      <c r="DT87">
        <v>16.881656666666672</v>
      </c>
      <c r="DU87">
        <v>15.246119999999999</v>
      </c>
      <c r="DV87">
        <v>418.91649999999998</v>
      </c>
      <c r="DW87">
        <v>16.687539999999998</v>
      </c>
      <c r="DX87">
        <v>500.00740000000002</v>
      </c>
      <c r="DY87">
        <v>91.165563333333324</v>
      </c>
      <c r="DZ87">
        <v>3.8268253333333328E-2</v>
      </c>
      <c r="EA87">
        <v>24.513653333333341</v>
      </c>
      <c r="EB87">
        <v>23.989863333333339</v>
      </c>
      <c r="EC87">
        <v>999.9000000000002</v>
      </c>
      <c r="ED87">
        <v>0</v>
      </c>
      <c r="EE87">
        <v>0</v>
      </c>
      <c r="EF87">
        <v>10002.387666666669</v>
      </c>
      <c r="EG87">
        <v>0</v>
      </c>
      <c r="EH87">
        <v>1072.435333333334</v>
      </c>
      <c r="EI87">
        <v>-0.25551143333333332</v>
      </c>
      <c r="EJ87">
        <v>426.96019999999999</v>
      </c>
      <c r="EK87">
        <v>426.5105333333334</v>
      </c>
      <c r="EL87">
        <v>1.635540666666667</v>
      </c>
      <c r="EM87">
        <v>420.00793333333331</v>
      </c>
      <c r="EN87">
        <v>15.246119999999999</v>
      </c>
      <c r="EO87">
        <v>1.5390263333333329</v>
      </c>
      <c r="EP87">
        <v>1.3899226666666671</v>
      </c>
      <c r="EQ87">
        <v>13.361496666666669</v>
      </c>
      <c r="ER87">
        <v>11.808120000000001</v>
      </c>
      <c r="ES87">
        <v>49.977286666666657</v>
      </c>
      <c r="ET87">
        <v>0.89974363333333351</v>
      </c>
      <c r="EU87">
        <v>0.1002563433333333</v>
      </c>
      <c r="EV87">
        <v>0</v>
      </c>
      <c r="EW87">
        <v>883.72396666666657</v>
      </c>
      <c r="EX87">
        <v>5.0005600000000019</v>
      </c>
      <c r="EY87">
        <v>563.77139999999997</v>
      </c>
      <c r="EZ87">
        <v>379.97056666666663</v>
      </c>
      <c r="FA87">
        <v>35.287199999999999</v>
      </c>
      <c r="FB87">
        <v>38.828799999999987</v>
      </c>
      <c r="FC87">
        <v>36.908066666666663</v>
      </c>
      <c r="FD87">
        <v>38</v>
      </c>
      <c r="FE87">
        <v>37.028933333333327</v>
      </c>
      <c r="FF87">
        <v>40.468000000000011</v>
      </c>
      <c r="FG87">
        <v>4.5100000000000007</v>
      </c>
      <c r="FH87">
        <v>0</v>
      </c>
      <c r="FI87">
        <v>88.400000095367432</v>
      </c>
      <c r="FJ87">
        <v>0</v>
      </c>
      <c r="FK87">
        <v>883.74856</v>
      </c>
      <c r="FL87">
        <v>0.88415383901574351</v>
      </c>
      <c r="FM87">
        <v>1.8748461304872659</v>
      </c>
      <c r="FN87">
        <v>563.76052000000004</v>
      </c>
      <c r="FO87">
        <v>15</v>
      </c>
      <c r="FP87">
        <v>0</v>
      </c>
      <c r="FQ87" t="s">
        <v>441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-0.28610455000000001</v>
      </c>
      <c r="GD87">
        <v>0.4782112570356481</v>
      </c>
      <c r="GE87">
        <v>5.4814602062292668E-2</v>
      </c>
      <c r="GF87">
        <v>1</v>
      </c>
      <c r="GG87">
        <v>883.71341176470594</v>
      </c>
      <c r="GH87">
        <v>0.55223834838783137</v>
      </c>
      <c r="GI87">
        <v>0.20297784834905039</v>
      </c>
      <c r="GJ87">
        <v>1</v>
      </c>
      <c r="GK87">
        <v>1.6341617500000001</v>
      </c>
      <c r="GL87">
        <v>2.0801088180109312E-2</v>
      </c>
      <c r="GM87">
        <v>2.4519552274664441E-3</v>
      </c>
      <c r="GN87">
        <v>1</v>
      </c>
      <c r="GO87">
        <v>3</v>
      </c>
      <c r="GP87">
        <v>3</v>
      </c>
      <c r="GQ87" t="s">
        <v>470</v>
      </c>
      <c r="GR87">
        <v>3.1289099999999999</v>
      </c>
      <c r="GS87">
        <v>2.7155399999999998</v>
      </c>
      <c r="GT87">
        <v>8.6185800000000007E-2</v>
      </c>
      <c r="GU87">
        <v>8.6773799999999998E-2</v>
      </c>
      <c r="GV87">
        <v>8.3892599999999998E-2</v>
      </c>
      <c r="GW87">
        <v>7.8655500000000003E-2</v>
      </c>
      <c r="GX87">
        <v>27438.5</v>
      </c>
      <c r="GY87">
        <v>26506.7</v>
      </c>
      <c r="GZ87">
        <v>30568.1</v>
      </c>
      <c r="HA87">
        <v>29279</v>
      </c>
      <c r="HB87">
        <v>38637.699999999997</v>
      </c>
      <c r="HC87">
        <v>35512.300000000003</v>
      </c>
      <c r="HD87">
        <v>46741.8</v>
      </c>
      <c r="HE87">
        <v>43523.4</v>
      </c>
      <c r="HF87">
        <v>1.83355</v>
      </c>
      <c r="HG87">
        <v>1.8613999999999999</v>
      </c>
      <c r="HH87">
        <v>1.40816E-2</v>
      </c>
      <c r="HI87">
        <v>0</v>
      </c>
      <c r="HJ87">
        <v>23.777100000000001</v>
      </c>
      <c r="HK87">
        <v>999.9</v>
      </c>
      <c r="HL87">
        <v>37.4</v>
      </c>
      <c r="HM87">
        <v>30.5</v>
      </c>
      <c r="HN87">
        <v>17.984500000000001</v>
      </c>
      <c r="HO87">
        <v>63.756999999999998</v>
      </c>
      <c r="HP87">
        <v>18.105</v>
      </c>
      <c r="HQ87">
        <v>1</v>
      </c>
      <c r="HR87">
        <v>0.13975899999999999</v>
      </c>
      <c r="HS87">
        <v>1.04928</v>
      </c>
      <c r="HT87">
        <v>20.2182</v>
      </c>
      <c r="HU87">
        <v>5.2330100000000002</v>
      </c>
      <c r="HV87">
        <v>11.974</v>
      </c>
      <c r="HW87">
        <v>4.97065</v>
      </c>
      <c r="HX87">
        <v>3.2904</v>
      </c>
      <c r="HY87">
        <v>9999</v>
      </c>
      <c r="HZ87">
        <v>9999</v>
      </c>
      <c r="IA87">
        <v>9999</v>
      </c>
      <c r="IB87">
        <v>999.9</v>
      </c>
      <c r="IC87">
        <v>4.9729099999999997</v>
      </c>
      <c r="ID87">
        <v>1.8772899999999999</v>
      </c>
      <c r="IE87">
        <v>1.87537</v>
      </c>
      <c r="IF87">
        <v>1.8782000000000001</v>
      </c>
      <c r="IG87">
        <v>1.8749199999999999</v>
      </c>
      <c r="IH87">
        <v>1.8785099999999999</v>
      </c>
      <c r="II87">
        <v>1.87561</v>
      </c>
      <c r="IJ87">
        <v>1.8768100000000001</v>
      </c>
      <c r="IK87">
        <v>0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0.83599999999999997</v>
      </c>
      <c r="IY87">
        <v>0.19420000000000001</v>
      </c>
      <c r="IZ87">
        <v>6.1933660764125778E-2</v>
      </c>
      <c r="JA87">
        <v>2.058711587971173E-3</v>
      </c>
      <c r="JB87">
        <v>-6.1309262243104059E-7</v>
      </c>
      <c r="JC87">
        <v>2.6183910446277612E-10</v>
      </c>
      <c r="JD87">
        <v>3.5078820932035488E-4</v>
      </c>
      <c r="JE87">
        <v>-4.3284922736758413E-3</v>
      </c>
      <c r="JF87">
        <v>1.4186339569364E-3</v>
      </c>
      <c r="JG87">
        <v>-2.7770646863349432E-5</v>
      </c>
      <c r="JH87">
        <v>2</v>
      </c>
      <c r="JI87">
        <v>2136</v>
      </c>
      <c r="JJ87">
        <v>1</v>
      </c>
      <c r="JK87">
        <v>19</v>
      </c>
      <c r="JL87">
        <v>29361499.5</v>
      </c>
      <c r="JM87">
        <v>29361499.5</v>
      </c>
      <c r="JN87">
        <v>1.1059600000000001</v>
      </c>
      <c r="JO87">
        <v>2.5439500000000002</v>
      </c>
      <c r="JP87">
        <v>1.39893</v>
      </c>
      <c r="JQ87">
        <v>2.32544</v>
      </c>
      <c r="JR87">
        <v>1.4489700000000001</v>
      </c>
      <c r="JS87">
        <v>2.5293000000000001</v>
      </c>
      <c r="JT87">
        <v>36.292900000000003</v>
      </c>
      <c r="JU87">
        <v>23.938700000000001</v>
      </c>
      <c r="JV87">
        <v>18</v>
      </c>
      <c r="JW87">
        <v>483.74599999999998</v>
      </c>
      <c r="JX87">
        <v>472.29399999999998</v>
      </c>
      <c r="JY87">
        <v>23.354800000000001</v>
      </c>
      <c r="JZ87">
        <v>29.031300000000002</v>
      </c>
      <c r="KA87">
        <v>30</v>
      </c>
      <c r="KB87">
        <v>28.792899999999999</v>
      </c>
      <c r="KC87">
        <v>28.875800000000002</v>
      </c>
      <c r="KD87">
        <v>22.170300000000001</v>
      </c>
      <c r="KE87">
        <v>21.810099999999998</v>
      </c>
      <c r="KF87">
        <v>64.367800000000003</v>
      </c>
      <c r="KG87">
        <v>23.349799999999998</v>
      </c>
      <c r="KH87">
        <v>420</v>
      </c>
      <c r="KI87">
        <v>15.2369</v>
      </c>
      <c r="KJ87">
        <v>101.03</v>
      </c>
      <c r="KK87">
        <v>100.096</v>
      </c>
    </row>
    <row r="88" spans="1:297" x14ac:dyDescent="0.3">
      <c r="A88">
        <v>72</v>
      </c>
      <c r="B88">
        <v>1761690097.5999999</v>
      </c>
      <c r="C88">
        <v>12647.599999904631</v>
      </c>
      <c r="D88" t="s">
        <v>730</v>
      </c>
      <c r="E88" t="s">
        <v>731</v>
      </c>
      <c r="F88">
        <v>5</v>
      </c>
      <c r="G88" t="s">
        <v>695</v>
      </c>
      <c r="H88" t="s">
        <v>436</v>
      </c>
      <c r="I88">
        <v>1761690089.849999</v>
      </c>
      <c r="J88">
        <f t="shared" si="100"/>
        <v>1.3473066435290689E-3</v>
      </c>
      <c r="K88">
        <f t="shared" si="101"/>
        <v>1.347306643529069</v>
      </c>
      <c r="L88">
        <f t="shared" si="102"/>
        <v>-2.4194015152977491</v>
      </c>
      <c r="M88">
        <f t="shared" si="103"/>
        <v>422.09</v>
      </c>
      <c r="N88">
        <f t="shared" si="104"/>
        <v>460.86775421450494</v>
      </c>
      <c r="O88">
        <f t="shared" si="105"/>
        <v>42.035141121825447</v>
      </c>
      <c r="P88">
        <f t="shared" si="106"/>
        <v>38.498273211480161</v>
      </c>
      <c r="Q88">
        <f t="shared" si="107"/>
        <v>7.626933358698329E-2</v>
      </c>
      <c r="R88">
        <f t="shared" si="108"/>
        <v>2.7695997216400157</v>
      </c>
      <c r="S88">
        <f t="shared" si="109"/>
        <v>7.5121447067746761E-2</v>
      </c>
      <c r="T88">
        <f t="shared" si="110"/>
        <v>4.7052598278393837E-2</v>
      </c>
      <c r="U88">
        <f t="shared" si="111"/>
        <v>106.7542094814342</v>
      </c>
      <c r="V88">
        <f t="shared" si="112"/>
        <v>24.839582311844758</v>
      </c>
      <c r="W88">
        <f t="shared" si="113"/>
        <v>24.839582311844758</v>
      </c>
      <c r="X88">
        <f t="shared" si="114"/>
        <v>3.1493940718434752</v>
      </c>
      <c r="Y88">
        <f t="shared" si="115"/>
        <v>50.276014293574491</v>
      </c>
      <c r="Z88">
        <f t="shared" si="116"/>
        <v>1.5557556350435648</v>
      </c>
      <c r="AA88">
        <f t="shared" si="117"/>
        <v>3.0944291366437886</v>
      </c>
      <c r="AB88">
        <f t="shared" si="118"/>
        <v>1.5936384367999104</v>
      </c>
      <c r="AC88">
        <f t="shared" si="119"/>
        <v>-59.416222979631939</v>
      </c>
      <c r="AD88">
        <f t="shared" si="120"/>
        <v>-43.993421240527965</v>
      </c>
      <c r="AE88">
        <f t="shared" si="121"/>
        <v>-3.3495363362889141</v>
      </c>
      <c r="AF88">
        <f t="shared" si="122"/>
        <v>-4.9710750146232385E-3</v>
      </c>
      <c r="AG88">
        <f t="shared" si="123"/>
        <v>-2.3218128818493224</v>
      </c>
      <c r="AH88">
        <f t="shared" si="124"/>
        <v>1.3352656116375932</v>
      </c>
      <c r="AI88">
        <f t="shared" si="125"/>
        <v>-2.4194015152977491</v>
      </c>
      <c r="AJ88">
        <v>426.52869240195491</v>
      </c>
      <c r="AK88">
        <v>429.47526060606037</v>
      </c>
      <c r="AL88">
        <v>4.8909694756032042E-4</v>
      </c>
      <c r="AM88">
        <v>65.005994502390706</v>
      </c>
      <c r="AN88">
        <f t="shared" si="126"/>
        <v>1.347306643529069</v>
      </c>
      <c r="AO88">
        <v>15.46877407148701</v>
      </c>
      <c r="AP88">
        <v>17.058044755244762</v>
      </c>
      <c r="AQ88">
        <v>-1.3517256317907189E-5</v>
      </c>
      <c r="AR88">
        <v>96.635452157596717</v>
      </c>
      <c r="AS88">
        <v>0</v>
      </c>
      <c r="AT88">
        <v>0</v>
      </c>
      <c r="AU88">
        <f t="shared" si="127"/>
        <v>1</v>
      </c>
      <c r="AV88">
        <f t="shared" si="128"/>
        <v>0</v>
      </c>
      <c r="AW88">
        <f t="shared" si="129"/>
        <v>48595.045497159481</v>
      </c>
      <c r="AX88" t="s">
        <v>732</v>
      </c>
      <c r="AY88">
        <v>5019.3599999999997</v>
      </c>
      <c r="AZ88">
        <v>804.81600000000003</v>
      </c>
      <c r="BA88">
        <v>1716.333776349019</v>
      </c>
      <c r="BB88">
        <f t="shared" si="130"/>
        <v>0.53108421503420933</v>
      </c>
      <c r="BC88">
        <v>-2.4194015152978432</v>
      </c>
      <c r="BD88" t="s">
        <v>491</v>
      </c>
      <c r="BE88" t="s">
        <v>491</v>
      </c>
      <c r="BF88">
        <v>0</v>
      </c>
      <c r="BG88">
        <v>0</v>
      </c>
      <c r="BH88" t="e">
        <f t="shared" si="131"/>
        <v>#DIV/0!</v>
      </c>
      <c r="BI88">
        <v>0.5</v>
      </c>
      <c r="BJ88">
        <f t="shared" si="132"/>
        <v>451.51267335343618</v>
      </c>
      <c r="BK88">
        <f t="shared" si="133"/>
        <v>-2.4194015152977491</v>
      </c>
      <c r="BL88" t="e">
        <f t="shared" si="134"/>
        <v>#DIV/0!</v>
      </c>
      <c r="BM88">
        <f t="shared" si="135"/>
        <v>2.0851444055595029E-16</v>
      </c>
      <c r="BN88" t="e">
        <f t="shared" si="136"/>
        <v>#DIV/0!</v>
      </c>
      <c r="BO88" t="e">
        <f t="shared" si="137"/>
        <v>#DIV/0!</v>
      </c>
      <c r="BP88" t="s">
        <v>491</v>
      </c>
      <c r="BQ88">
        <v>0</v>
      </c>
      <c r="BR88" t="e">
        <f t="shared" si="138"/>
        <v>#DIV/0!</v>
      </c>
      <c r="BS88" t="e">
        <f t="shared" si="139"/>
        <v>#DIV/0!</v>
      </c>
      <c r="BT88" t="e">
        <f t="shared" si="140"/>
        <v>#DIV/0!</v>
      </c>
      <c r="BU88" t="e">
        <f t="shared" si="141"/>
        <v>#DIV/0!</v>
      </c>
      <c r="BV88">
        <f t="shared" si="142"/>
        <v>0</v>
      </c>
      <c r="BW88">
        <f t="shared" si="143"/>
        <v>1.8829405425570516</v>
      </c>
      <c r="BX88" t="e">
        <f t="shared" si="144"/>
        <v>#DIV/0!</v>
      </c>
      <c r="BY88" t="e">
        <f t="shared" si="145"/>
        <v>#DIV/0!</v>
      </c>
      <c r="BZ88">
        <v>503</v>
      </c>
      <c r="CA88">
        <v>290.00000000000011</v>
      </c>
      <c r="CB88">
        <v>1682.13</v>
      </c>
      <c r="CC88">
        <v>265</v>
      </c>
      <c r="CD88">
        <v>5019.3599999999997</v>
      </c>
      <c r="CE88">
        <v>1681.36</v>
      </c>
      <c r="CF88">
        <v>0.77</v>
      </c>
      <c r="CG88">
        <v>300.00000000000011</v>
      </c>
      <c r="CH88">
        <v>23.9</v>
      </c>
      <c r="CI88">
        <v>1716.333776349019</v>
      </c>
      <c r="CJ88">
        <v>1.718922441937772</v>
      </c>
      <c r="CK88">
        <v>-17.5564414310501</v>
      </c>
      <c r="CL88">
        <v>0.74748172537564139</v>
      </c>
      <c r="CM88">
        <v>0.95169585663775647</v>
      </c>
      <c r="CN88">
        <v>-4.1548783092324876E-3</v>
      </c>
      <c r="CO88">
        <v>289.99999999999989</v>
      </c>
      <c r="CP88">
        <v>1678.48</v>
      </c>
      <c r="CQ88">
        <v>615</v>
      </c>
      <c r="CR88">
        <v>5019.71</v>
      </c>
      <c r="CS88">
        <v>1681.36</v>
      </c>
      <c r="CT88">
        <v>-2.88</v>
      </c>
      <c r="DH88">
        <f t="shared" si="146"/>
        <v>1072.470667226667</v>
      </c>
      <c r="DI88">
        <f t="shared" si="147"/>
        <v>451.51267335343618</v>
      </c>
      <c r="DJ88">
        <f t="shared" si="148"/>
        <v>0.42100235200000002</v>
      </c>
      <c r="DK88">
        <f t="shared" si="149"/>
        <v>9.9540446879999994E-2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1761690089.849999</v>
      </c>
      <c r="DR88">
        <v>422.09</v>
      </c>
      <c r="DS88">
        <v>419.98016666666678</v>
      </c>
      <c r="DT88">
        <v>17.057099999999998</v>
      </c>
      <c r="DU88">
        <v>15.482126666666669</v>
      </c>
      <c r="DV88">
        <v>421.25009999999992</v>
      </c>
      <c r="DW88">
        <v>16.859586666666669</v>
      </c>
      <c r="DX88">
        <v>500.00459999999998</v>
      </c>
      <c r="DY88">
        <v>91.169920000000005</v>
      </c>
      <c r="DZ88">
        <v>3.8763483333333328E-2</v>
      </c>
      <c r="EA88">
        <v>24.544946666666672</v>
      </c>
      <c r="EB88">
        <v>24.010146666666671</v>
      </c>
      <c r="EC88">
        <v>999.9000000000002</v>
      </c>
      <c r="ED88">
        <v>0</v>
      </c>
      <c r="EE88">
        <v>0</v>
      </c>
      <c r="EF88">
        <v>9997.6843333333327</v>
      </c>
      <c r="EG88">
        <v>0</v>
      </c>
      <c r="EH88">
        <v>1072.4656666666669</v>
      </c>
      <c r="EI88">
        <v>2.1097663333333339</v>
      </c>
      <c r="EJ88">
        <v>429.41449999999998</v>
      </c>
      <c r="EK88">
        <v>426.58456666666672</v>
      </c>
      <c r="EL88">
        <v>1.5749926666666669</v>
      </c>
      <c r="EM88">
        <v>419.98016666666678</v>
      </c>
      <c r="EN88">
        <v>15.482126666666669</v>
      </c>
      <c r="EO88">
        <v>1.5550956666666671</v>
      </c>
      <c r="EP88">
        <v>1.4115033333333331</v>
      </c>
      <c r="EQ88">
        <v>13.520903333333329</v>
      </c>
      <c r="ER88">
        <v>12.04178333333333</v>
      </c>
      <c r="ES88">
        <v>5.0005599999999976E-3</v>
      </c>
      <c r="ET88">
        <v>0</v>
      </c>
      <c r="EU88">
        <v>0</v>
      </c>
      <c r="EV88">
        <v>0</v>
      </c>
      <c r="EW88">
        <v>805.03</v>
      </c>
      <c r="EX88">
        <v>5.0005599999999976E-3</v>
      </c>
      <c r="EY88">
        <v>153.85</v>
      </c>
      <c r="EZ88">
        <v>-1.773333333333333</v>
      </c>
      <c r="FA88">
        <v>34.504066666666667</v>
      </c>
      <c r="FB88">
        <v>38.270666666666664</v>
      </c>
      <c r="FC88">
        <v>36.224799999999988</v>
      </c>
      <c r="FD88">
        <v>37.391533333333342</v>
      </c>
      <c r="FE88">
        <v>36.174666666666667</v>
      </c>
      <c r="FF88">
        <v>0</v>
      </c>
      <c r="FG88">
        <v>0</v>
      </c>
      <c r="FH88">
        <v>0</v>
      </c>
      <c r="FI88">
        <v>127.4000000953674</v>
      </c>
      <c r="FJ88">
        <v>0</v>
      </c>
      <c r="FK88">
        <v>804.81600000000003</v>
      </c>
      <c r="FL88">
        <v>-13.015384261423479</v>
      </c>
      <c r="FM88">
        <v>-16.83076900396587</v>
      </c>
      <c r="FN88">
        <v>151.16399999999999</v>
      </c>
      <c r="FO88">
        <v>15</v>
      </c>
      <c r="FP88">
        <v>0</v>
      </c>
      <c r="FQ88" t="s">
        <v>441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2.0864475609756101</v>
      </c>
      <c r="GD88">
        <v>0.41931303135888581</v>
      </c>
      <c r="GE88">
        <v>5.1581869653764878E-2</v>
      </c>
      <c r="GF88">
        <v>1</v>
      </c>
      <c r="GG88">
        <v>804.33529411764698</v>
      </c>
      <c r="GH88">
        <v>-4.470588021269581</v>
      </c>
      <c r="GI88">
        <v>7.7727231337218514</v>
      </c>
      <c r="GJ88">
        <v>0</v>
      </c>
      <c r="GK88">
        <v>1.5709109756097559</v>
      </c>
      <c r="GL88">
        <v>0.1096848083623677</v>
      </c>
      <c r="GM88">
        <v>1.6827084411147782E-2</v>
      </c>
      <c r="GN88">
        <v>0</v>
      </c>
      <c r="GO88">
        <v>1</v>
      </c>
      <c r="GP88">
        <v>3</v>
      </c>
      <c r="GQ88" t="s">
        <v>442</v>
      </c>
      <c r="GR88">
        <v>3.1289500000000001</v>
      </c>
      <c r="GS88">
        <v>2.7161300000000002</v>
      </c>
      <c r="GT88">
        <v>8.6557300000000004E-2</v>
      </c>
      <c r="GU88">
        <v>8.6790800000000001E-2</v>
      </c>
      <c r="GV88">
        <v>8.4526500000000004E-2</v>
      </c>
      <c r="GW88">
        <v>7.94826E-2</v>
      </c>
      <c r="GX88">
        <v>27429</v>
      </c>
      <c r="GY88">
        <v>26507.3</v>
      </c>
      <c r="GZ88">
        <v>30569.9</v>
      </c>
      <c r="HA88">
        <v>29280.1</v>
      </c>
      <c r="HB88">
        <v>38612.800000000003</v>
      </c>
      <c r="HC88">
        <v>35480.9</v>
      </c>
      <c r="HD88">
        <v>46744.3</v>
      </c>
      <c r="HE88">
        <v>43524.2</v>
      </c>
      <c r="HF88">
        <v>1.8339300000000001</v>
      </c>
      <c r="HG88">
        <v>1.86283</v>
      </c>
      <c r="HH88">
        <v>8.1397599999999994E-3</v>
      </c>
      <c r="HI88">
        <v>0</v>
      </c>
      <c r="HJ88">
        <v>23.874700000000001</v>
      </c>
      <c r="HK88">
        <v>999.9</v>
      </c>
      <c r="HL88">
        <v>37.5</v>
      </c>
      <c r="HM88">
        <v>30.5</v>
      </c>
      <c r="HN88">
        <v>18.034600000000001</v>
      </c>
      <c r="HO88">
        <v>63.366999999999997</v>
      </c>
      <c r="HP88">
        <v>17.912700000000001</v>
      </c>
      <c r="HQ88">
        <v>1</v>
      </c>
      <c r="HR88">
        <v>0.13792699999999999</v>
      </c>
      <c r="HS88">
        <v>1.38639</v>
      </c>
      <c r="HT88">
        <v>20.216999999999999</v>
      </c>
      <c r="HU88">
        <v>5.2384000000000004</v>
      </c>
      <c r="HV88">
        <v>11.974</v>
      </c>
      <c r="HW88">
        <v>4.9729999999999999</v>
      </c>
      <c r="HX88">
        <v>3.2909999999999999</v>
      </c>
      <c r="HY88">
        <v>9999</v>
      </c>
      <c r="HZ88">
        <v>9999</v>
      </c>
      <c r="IA88">
        <v>9999</v>
      </c>
      <c r="IB88">
        <v>999.9</v>
      </c>
      <c r="IC88">
        <v>4.9729000000000001</v>
      </c>
      <c r="ID88">
        <v>1.8772899999999999</v>
      </c>
      <c r="IE88">
        <v>1.8753500000000001</v>
      </c>
      <c r="IF88">
        <v>1.87819</v>
      </c>
      <c r="IG88">
        <v>1.87486</v>
      </c>
      <c r="IH88">
        <v>1.87849</v>
      </c>
      <c r="II88">
        <v>1.87561</v>
      </c>
      <c r="IJ88">
        <v>1.8767799999999999</v>
      </c>
      <c r="IK88">
        <v>0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0.84</v>
      </c>
      <c r="IY88">
        <v>0.1976</v>
      </c>
      <c r="IZ88">
        <v>6.1933660764125778E-2</v>
      </c>
      <c r="JA88">
        <v>2.058711587971173E-3</v>
      </c>
      <c r="JB88">
        <v>-6.1309262243104059E-7</v>
      </c>
      <c r="JC88">
        <v>2.6183910446277612E-10</v>
      </c>
      <c r="JD88">
        <v>3.5078820932035488E-4</v>
      </c>
      <c r="JE88">
        <v>-4.3284922736758413E-3</v>
      </c>
      <c r="JF88">
        <v>1.4186339569364E-3</v>
      </c>
      <c r="JG88">
        <v>-2.7770646863349432E-5</v>
      </c>
      <c r="JH88">
        <v>2</v>
      </c>
      <c r="JI88">
        <v>2136</v>
      </c>
      <c r="JJ88">
        <v>1</v>
      </c>
      <c r="JK88">
        <v>19</v>
      </c>
      <c r="JL88">
        <v>29361501.600000001</v>
      </c>
      <c r="JM88">
        <v>29361501.600000001</v>
      </c>
      <c r="JN88">
        <v>1.1059600000000001</v>
      </c>
      <c r="JO88">
        <v>2.5488300000000002</v>
      </c>
      <c r="JP88">
        <v>1.39893</v>
      </c>
      <c r="JQ88">
        <v>2.32544</v>
      </c>
      <c r="JR88">
        <v>1.4489700000000001</v>
      </c>
      <c r="JS88">
        <v>2.6061999999999999</v>
      </c>
      <c r="JT88">
        <v>36.269399999999997</v>
      </c>
      <c r="JU88">
        <v>23.947399999999998</v>
      </c>
      <c r="JV88">
        <v>18</v>
      </c>
      <c r="JW88">
        <v>483.74200000000002</v>
      </c>
      <c r="JX88">
        <v>472.97300000000001</v>
      </c>
      <c r="JY88">
        <v>23.059899999999999</v>
      </c>
      <c r="JZ88">
        <v>28.994</v>
      </c>
      <c r="KA88">
        <v>30</v>
      </c>
      <c r="KB88">
        <v>28.7608</v>
      </c>
      <c r="KC88">
        <v>28.843800000000002</v>
      </c>
      <c r="KD88">
        <v>22.176100000000002</v>
      </c>
      <c r="KE88">
        <v>21.512899999999998</v>
      </c>
      <c r="KF88">
        <v>65.886399999999995</v>
      </c>
      <c r="KG88">
        <v>23.0549</v>
      </c>
      <c r="KH88">
        <v>420</v>
      </c>
      <c r="KI88">
        <v>15.407299999999999</v>
      </c>
      <c r="KJ88">
        <v>101.036</v>
      </c>
      <c r="KK88">
        <v>100.099</v>
      </c>
    </row>
    <row r="89" spans="1:297" x14ac:dyDescent="0.3">
      <c r="A89">
        <v>73</v>
      </c>
      <c r="B89">
        <v>1761690741.5999999</v>
      </c>
      <c r="C89">
        <v>13291.599999904631</v>
      </c>
      <c r="D89" t="s">
        <v>733</v>
      </c>
      <c r="E89" t="s">
        <v>734</v>
      </c>
      <c r="F89">
        <v>5</v>
      </c>
      <c r="G89" t="s">
        <v>735</v>
      </c>
      <c r="H89" t="s">
        <v>436</v>
      </c>
      <c r="I89">
        <v>1761690733.849999</v>
      </c>
      <c r="J89">
        <f t="shared" si="100"/>
        <v>1.3388664913799888E-3</v>
      </c>
      <c r="K89">
        <f t="shared" si="101"/>
        <v>1.3388664913799888</v>
      </c>
      <c r="L89">
        <f t="shared" si="102"/>
        <v>4.9874091924354698</v>
      </c>
      <c r="M89">
        <f t="shared" si="103"/>
        <v>413.35126666666662</v>
      </c>
      <c r="N89">
        <f t="shared" si="104"/>
        <v>269.68611335411538</v>
      </c>
      <c r="O89">
        <f t="shared" si="105"/>
        <v>24.598255614057798</v>
      </c>
      <c r="P89">
        <f t="shared" si="106"/>
        <v>37.702052914049595</v>
      </c>
      <c r="Q89">
        <f t="shared" si="107"/>
        <v>6.1274802161255332E-2</v>
      </c>
      <c r="R89">
        <f t="shared" si="108"/>
        <v>2.7696869508481265</v>
      </c>
      <c r="S89">
        <f t="shared" si="109"/>
        <v>6.0531547854642175E-2</v>
      </c>
      <c r="T89">
        <f t="shared" si="110"/>
        <v>3.7898244613467455E-2</v>
      </c>
      <c r="U89">
        <f t="shared" si="111"/>
        <v>539.28734342702398</v>
      </c>
      <c r="V89">
        <f t="shared" si="112"/>
        <v>26.043927734139221</v>
      </c>
      <c r="W89">
        <f t="shared" si="113"/>
        <v>26.043927734139221</v>
      </c>
      <c r="X89">
        <f t="shared" si="114"/>
        <v>3.3830392754117304</v>
      </c>
      <c r="Y89">
        <f t="shared" si="115"/>
        <v>50.156094418660523</v>
      </c>
      <c r="Z89">
        <f t="shared" si="116"/>
        <v>1.4187001432447983</v>
      </c>
      <c r="AA89">
        <f t="shared" si="117"/>
        <v>2.8285698072953869</v>
      </c>
      <c r="AB89">
        <f t="shared" si="118"/>
        <v>1.9643391321669321</v>
      </c>
      <c r="AC89">
        <f t="shared" si="119"/>
        <v>-59.044012269857504</v>
      </c>
      <c r="AD89">
        <f t="shared" si="120"/>
        <v>-446.78658880918567</v>
      </c>
      <c r="AE89">
        <f t="shared" si="121"/>
        <v>-33.967382558445877</v>
      </c>
      <c r="AF89">
        <f t="shared" si="122"/>
        <v>-0.51064021046505559</v>
      </c>
      <c r="AG89">
        <f t="shared" si="123"/>
        <v>4.991750216186845</v>
      </c>
      <c r="AH89">
        <f t="shared" si="124"/>
        <v>1.3380704075414993</v>
      </c>
      <c r="AI89">
        <f t="shared" si="125"/>
        <v>4.9874091924354698</v>
      </c>
      <c r="AJ89">
        <v>425.95758045009501</v>
      </c>
      <c r="AK89">
        <v>419.88739393939397</v>
      </c>
      <c r="AL89">
        <v>1.0223381294195041E-4</v>
      </c>
      <c r="AM89">
        <v>64.997845316365996</v>
      </c>
      <c r="AN89">
        <f t="shared" si="126"/>
        <v>1.3388664913799888</v>
      </c>
      <c r="AO89">
        <v>13.972856309428771</v>
      </c>
      <c r="AP89">
        <v>15.554525874125879</v>
      </c>
      <c r="AQ89">
        <v>-3.2340019872732151E-6</v>
      </c>
      <c r="AR89">
        <v>96.643177331047141</v>
      </c>
      <c r="AS89">
        <v>0</v>
      </c>
      <c r="AT89">
        <v>0</v>
      </c>
      <c r="AU89">
        <f t="shared" si="127"/>
        <v>1</v>
      </c>
      <c r="AV89">
        <f t="shared" si="128"/>
        <v>0</v>
      </c>
      <c r="AW89">
        <f t="shared" si="129"/>
        <v>48842.595630184704</v>
      </c>
      <c r="AX89" t="s">
        <v>732</v>
      </c>
      <c r="AY89">
        <v>5019.3599999999997</v>
      </c>
      <c r="AZ89">
        <v>804.81600000000003</v>
      </c>
      <c r="BA89">
        <v>1716.333776349019</v>
      </c>
      <c r="BB89">
        <f t="shared" si="130"/>
        <v>0.53108421503420933</v>
      </c>
      <c r="BC89">
        <v>-2.4194015152978432</v>
      </c>
      <c r="BD89" t="s">
        <v>736</v>
      </c>
      <c r="BE89">
        <v>5043.2700000000004</v>
      </c>
      <c r="BF89">
        <v>1707.3815999999999</v>
      </c>
      <c r="BG89">
        <v>1826.744763915221</v>
      </c>
      <c r="BH89">
        <f t="shared" si="131"/>
        <v>6.5342004133841169E-2</v>
      </c>
      <c r="BI89">
        <v>0.5</v>
      </c>
      <c r="BJ89">
        <f t="shared" si="132"/>
        <v>2514.5389820865407</v>
      </c>
      <c r="BK89">
        <f t="shared" si="133"/>
        <v>4.9874091924354698</v>
      </c>
      <c r="BL89">
        <f t="shared" si="134"/>
        <v>82.15250828110176</v>
      </c>
      <c r="BM89">
        <f t="shared" si="135"/>
        <v>2.9455939082667199E-3</v>
      </c>
      <c r="BN89">
        <f t="shared" si="136"/>
        <v>-6.0441387186221163E-2</v>
      </c>
      <c r="BO89">
        <f t="shared" si="137"/>
        <v>828.29136812005004</v>
      </c>
      <c r="BP89" t="s">
        <v>737</v>
      </c>
      <c r="BQ89">
        <v>1028.73</v>
      </c>
      <c r="BR89">
        <f t="shared" si="138"/>
        <v>1028.73</v>
      </c>
      <c r="BS89">
        <f t="shared" si="139"/>
        <v>0.43685071920220198</v>
      </c>
      <c r="BT89">
        <f t="shared" si="140"/>
        <v>0.14957513233163933</v>
      </c>
      <c r="BU89">
        <f t="shared" si="141"/>
        <v>-0.16057356193192113</v>
      </c>
      <c r="BV89">
        <f t="shared" si="142"/>
        <v>0.11680184385643091</v>
      </c>
      <c r="BW89">
        <f t="shared" si="143"/>
        <v>-0.12112872664803173</v>
      </c>
      <c r="BX89">
        <f t="shared" si="144"/>
        <v>9.0121871925717911E-2</v>
      </c>
      <c r="BY89">
        <f t="shared" si="145"/>
        <v>0.90987812807428203</v>
      </c>
      <c r="BZ89">
        <v>504</v>
      </c>
      <c r="CA89">
        <v>290.00000000000011</v>
      </c>
      <c r="CB89">
        <v>1773.43</v>
      </c>
      <c r="CC89">
        <v>155</v>
      </c>
      <c r="CD89">
        <v>5043.2700000000004</v>
      </c>
      <c r="CE89">
        <v>1772.03</v>
      </c>
      <c r="CF89">
        <v>1.4</v>
      </c>
      <c r="CG89">
        <v>300.00000000000011</v>
      </c>
      <c r="CH89">
        <v>23.9</v>
      </c>
      <c r="CI89">
        <v>1826.744763915221</v>
      </c>
      <c r="CJ89">
        <v>2.6711713864288771</v>
      </c>
      <c r="CK89">
        <v>-27.596042306847679</v>
      </c>
      <c r="CL89">
        <v>1.241236494880229</v>
      </c>
      <c r="CM89">
        <v>0.9463902529067203</v>
      </c>
      <c r="CN89">
        <v>-2.52269922135707E-3</v>
      </c>
      <c r="CO89">
        <v>289.99999999999989</v>
      </c>
      <c r="CP89">
        <v>1771.11</v>
      </c>
      <c r="CQ89">
        <v>685</v>
      </c>
      <c r="CR89">
        <v>5042.24</v>
      </c>
      <c r="CS89">
        <v>1772.02</v>
      </c>
      <c r="CT89">
        <v>-0.91</v>
      </c>
      <c r="DH89">
        <f t="shared" si="146"/>
        <v>3065.3919999999998</v>
      </c>
      <c r="DI89">
        <f t="shared" si="147"/>
        <v>2514.5389820865407</v>
      </c>
      <c r="DJ89">
        <f t="shared" si="148"/>
        <v>0.8202993229207034</v>
      </c>
      <c r="DK89">
        <f t="shared" si="149"/>
        <v>0.17592769323695764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1761690733.849999</v>
      </c>
      <c r="DR89">
        <v>413.35126666666662</v>
      </c>
      <c r="DS89">
        <v>420.00506666666661</v>
      </c>
      <c r="DT89">
        <v>15.5541</v>
      </c>
      <c r="DU89">
        <v>13.97339333333333</v>
      </c>
      <c r="DV89">
        <v>412.52613333333329</v>
      </c>
      <c r="DW89">
        <v>15.385669999999999</v>
      </c>
      <c r="DX89">
        <v>500.0009</v>
      </c>
      <c r="DY89">
        <v>91.171963333333352</v>
      </c>
      <c r="DZ89">
        <v>3.8723446666666668E-2</v>
      </c>
      <c r="EA89">
        <v>23.05177333333333</v>
      </c>
      <c r="EB89">
        <v>24.00400333333333</v>
      </c>
      <c r="EC89">
        <v>999.9000000000002</v>
      </c>
      <c r="ED89">
        <v>0</v>
      </c>
      <c r="EE89">
        <v>0</v>
      </c>
      <c r="EF89">
        <v>9997.974666666667</v>
      </c>
      <c r="EG89">
        <v>0</v>
      </c>
      <c r="EH89">
        <v>1065.378666666667</v>
      </c>
      <c r="EI89">
        <v>-6.6535873333333324</v>
      </c>
      <c r="EJ89">
        <v>419.88233333333329</v>
      </c>
      <c r="EK89">
        <v>425.95700000000011</v>
      </c>
      <c r="EL89">
        <v>1.5807033333333329</v>
      </c>
      <c r="EM89">
        <v>420.00506666666661</v>
      </c>
      <c r="EN89">
        <v>13.97339333333333</v>
      </c>
      <c r="EO89">
        <v>1.4180973333333331</v>
      </c>
      <c r="EP89">
        <v>1.2739823333333331</v>
      </c>
      <c r="EQ89">
        <v>12.11255666666667</v>
      </c>
      <c r="ER89">
        <v>10.495369999999999</v>
      </c>
      <c r="ES89">
        <v>2000.0133333333331</v>
      </c>
      <c r="ET89">
        <v>0.97999559999999974</v>
      </c>
      <c r="EU89">
        <v>2.000408E-2</v>
      </c>
      <c r="EV89">
        <v>0</v>
      </c>
      <c r="EW89">
        <v>1707.4656666666669</v>
      </c>
      <c r="EX89">
        <v>5.0005600000000019</v>
      </c>
      <c r="EY89">
        <v>34209.556666666656</v>
      </c>
      <c r="EZ89">
        <v>17294.97</v>
      </c>
      <c r="FA89">
        <v>39.25</v>
      </c>
      <c r="FB89">
        <v>40.245800000000003</v>
      </c>
      <c r="FC89">
        <v>39.186999999999991</v>
      </c>
      <c r="FD89">
        <v>39.087199999999989</v>
      </c>
      <c r="FE89">
        <v>39.686999999999983</v>
      </c>
      <c r="FF89">
        <v>1955.103333333333</v>
      </c>
      <c r="FG89">
        <v>39.909999999999997</v>
      </c>
      <c r="FH89">
        <v>0</v>
      </c>
      <c r="FI89">
        <v>643.19999980926514</v>
      </c>
      <c r="FJ89">
        <v>0</v>
      </c>
      <c r="FK89">
        <v>1707.3815999999999</v>
      </c>
      <c r="FL89">
        <v>-12.5169230878549</v>
      </c>
      <c r="FM89">
        <v>-206.1769234185883</v>
      </c>
      <c r="FN89">
        <v>34207.831999999988</v>
      </c>
      <c r="FO89">
        <v>15</v>
      </c>
      <c r="FP89">
        <v>0</v>
      </c>
      <c r="FQ89" t="s">
        <v>441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-6.6487227500000001</v>
      </c>
      <c r="GD89">
        <v>-0.22698180112569891</v>
      </c>
      <c r="GE89">
        <v>3.2416421917563637E-2</v>
      </c>
      <c r="GF89">
        <v>1</v>
      </c>
      <c r="GG89">
        <v>1708.1252941176469</v>
      </c>
      <c r="GH89">
        <v>-11.762566826235529</v>
      </c>
      <c r="GI89">
        <v>1.180304634889602</v>
      </c>
      <c r="GJ89">
        <v>0</v>
      </c>
      <c r="GK89">
        <v>1.5779384999999999</v>
      </c>
      <c r="GL89">
        <v>4.7671294559096918E-2</v>
      </c>
      <c r="GM89">
        <v>4.7704085516861033E-3</v>
      </c>
      <c r="GN89">
        <v>1</v>
      </c>
      <c r="GO89">
        <v>2</v>
      </c>
      <c r="GP89">
        <v>3</v>
      </c>
      <c r="GQ89" t="s">
        <v>479</v>
      </c>
      <c r="GR89">
        <v>3.1292</v>
      </c>
      <c r="GS89">
        <v>2.71678</v>
      </c>
      <c r="GT89">
        <v>8.5149199999999994E-2</v>
      </c>
      <c r="GU89">
        <v>8.6756200000000006E-2</v>
      </c>
      <c r="GV89">
        <v>7.9083200000000006E-2</v>
      </c>
      <c r="GW89">
        <v>7.3802800000000002E-2</v>
      </c>
      <c r="GX89">
        <v>27457.3</v>
      </c>
      <c r="GY89">
        <v>26499.5</v>
      </c>
      <c r="GZ89">
        <v>30555.5</v>
      </c>
      <c r="HA89">
        <v>29271.599999999999</v>
      </c>
      <c r="HB89">
        <v>38827.699999999997</v>
      </c>
      <c r="HC89">
        <v>35692.400000000001</v>
      </c>
      <c r="HD89">
        <v>46724.3</v>
      </c>
      <c r="HE89">
        <v>43512.9</v>
      </c>
      <c r="HF89">
        <v>1.8330500000000001</v>
      </c>
      <c r="HG89">
        <v>1.8553200000000001</v>
      </c>
      <c r="HH89">
        <v>8.3912200000000006E-2</v>
      </c>
      <c r="HI89">
        <v>0</v>
      </c>
      <c r="HJ89">
        <v>22.6296</v>
      </c>
      <c r="HK89">
        <v>999.9</v>
      </c>
      <c r="HL89">
        <v>37</v>
      </c>
      <c r="HM89">
        <v>30.5</v>
      </c>
      <c r="HN89">
        <v>17.793399999999998</v>
      </c>
      <c r="HO89">
        <v>63.496899999999997</v>
      </c>
      <c r="HP89">
        <v>18.165099999999999</v>
      </c>
      <c r="HQ89">
        <v>1</v>
      </c>
      <c r="HR89">
        <v>0.16369700000000001</v>
      </c>
      <c r="HS89">
        <v>3.8801299999999999</v>
      </c>
      <c r="HT89">
        <v>20.163900000000002</v>
      </c>
      <c r="HU89">
        <v>5.2352600000000002</v>
      </c>
      <c r="HV89">
        <v>11.9796</v>
      </c>
      <c r="HW89">
        <v>4.9724000000000004</v>
      </c>
      <c r="HX89">
        <v>3.2910300000000001</v>
      </c>
      <c r="HY89">
        <v>9999</v>
      </c>
      <c r="HZ89">
        <v>9999</v>
      </c>
      <c r="IA89">
        <v>9999</v>
      </c>
      <c r="IB89">
        <v>999.9</v>
      </c>
      <c r="IC89">
        <v>4.9729099999999997</v>
      </c>
      <c r="ID89">
        <v>1.8772899999999999</v>
      </c>
      <c r="IE89">
        <v>1.87534</v>
      </c>
      <c r="IF89">
        <v>1.8782000000000001</v>
      </c>
      <c r="IG89">
        <v>1.8748800000000001</v>
      </c>
      <c r="IH89">
        <v>1.87849</v>
      </c>
      <c r="II89">
        <v>1.87558</v>
      </c>
      <c r="IJ89">
        <v>1.8767499999999999</v>
      </c>
      <c r="IK89">
        <v>0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0.82499999999999996</v>
      </c>
      <c r="IY89">
        <v>0.16839999999999999</v>
      </c>
      <c r="IZ89">
        <v>6.1933660764125778E-2</v>
      </c>
      <c r="JA89">
        <v>2.058711587971173E-3</v>
      </c>
      <c r="JB89">
        <v>-6.1309262243104059E-7</v>
      </c>
      <c r="JC89">
        <v>2.6183910446277612E-10</v>
      </c>
      <c r="JD89">
        <v>3.5078820932035488E-4</v>
      </c>
      <c r="JE89">
        <v>-4.3284922736758413E-3</v>
      </c>
      <c r="JF89">
        <v>1.4186339569364E-3</v>
      </c>
      <c r="JG89">
        <v>-2.7770646863349432E-5</v>
      </c>
      <c r="JH89">
        <v>2</v>
      </c>
      <c r="JI89">
        <v>2136</v>
      </c>
      <c r="JJ89">
        <v>1</v>
      </c>
      <c r="JK89">
        <v>19</v>
      </c>
      <c r="JL89">
        <v>29361512.399999999</v>
      </c>
      <c r="JM89">
        <v>29361512.399999999</v>
      </c>
      <c r="JN89">
        <v>1.1047400000000001</v>
      </c>
      <c r="JO89">
        <v>2.5476100000000002</v>
      </c>
      <c r="JP89">
        <v>1.39893</v>
      </c>
      <c r="JQ89">
        <v>2.32666</v>
      </c>
      <c r="JR89">
        <v>1.4489700000000001</v>
      </c>
      <c r="JS89">
        <v>2.6037599999999999</v>
      </c>
      <c r="JT89">
        <v>36.340000000000003</v>
      </c>
      <c r="JU89">
        <v>23.772300000000001</v>
      </c>
      <c r="JV89">
        <v>18</v>
      </c>
      <c r="JW89">
        <v>484.089</v>
      </c>
      <c r="JX89">
        <v>468.90800000000002</v>
      </c>
      <c r="JY89">
        <v>18.3139</v>
      </c>
      <c r="JZ89">
        <v>29.2378</v>
      </c>
      <c r="KA89">
        <v>30.0001</v>
      </c>
      <c r="KB89">
        <v>28.8873</v>
      </c>
      <c r="KC89">
        <v>28.9499</v>
      </c>
      <c r="KD89">
        <v>22.151199999999999</v>
      </c>
      <c r="KE89">
        <v>27.3733</v>
      </c>
      <c r="KF89">
        <v>63.677</v>
      </c>
      <c r="KG89">
        <v>18.309899999999999</v>
      </c>
      <c r="KH89">
        <v>420</v>
      </c>
      <c r="KI89">
        <v>13.881600000000001</v>
      </c>
      <c r="KJ89">
        <v>100.991</v>
      </c>
      <c r="KK89">
        <v>100.071</v>
      </c>
    </row>
    <row r="90" spans="1:297" x14ac:dyDescent="0.3">
      <c r="A90">
        <v>74</v>
      </c>
      <c r="B90">
        <v>1761690871.5</v>
      </c>
      <c r="C90">
        <v>13421.5</v>
      </c>
      <c r="D90" t="s">
        <v>738</v>
      </c>
      <c r="E90" t="s">
        <v>739</v>
      </c>
      <c r="F90">
        <v>5</v>
      </c>
      <c r="G90" t="s">
        <v>735</v>
      </c>
      <c r="H90" t="s">
        <v>436</v>
      </c>
      <c r="I90">
        <v>1761690863.5580649</v>
      </c>
      <c r="J90">
        <f t="shared" si="100"/>
        <v>1.4035646898082823E-3</v>
      </c>
      <c r="K90">
        <f t="shared" si="101"/>
        <v>1.4035646898082823</v>
      </c>
      <c r="L90">
        <f t="shared" si="102"/>
        <v>5.1745681036101923</v>
      </c>
      <c r="M90">
        <f t="shared" si="103"/>
        <v>413.17835483870971</v>
      </c>
      <c r="N90">
        <f t="shared" si="104"/>
        <v>272.70124146215136</v>
      </c>
      <c r="O90">
        <f t="shared" si="105"/>
        <v>24.8744623381948</v>
      </c>
      <c r="P90">
        <f t="shared" si="106"/>
        <v>37.688091815376708</v>
      </c>
      <c r="Q90">
        <f t="shared" si="107"/>
        <v>6.513940636572281E-2</v>
      </c>
      <c r="R90">
        <f t="shared" si="108"/>
        <v>2.7698818041735422</v>
      </c>
      <c r="S90">
        <f t="shared" si="109"/>
        <v>6.4300192092031083E-2</v>
      </c>
      <c r="T90">
        <f t="shared" si="110"/>
        <v>4.0262119281046713E-2</v>
      </c>
      <c r="U90">
        <f t="shared" si="111"/>
        <v>504.30722608646056</v>
      </c>
      <c r="V90">
        <f t="shared" si="112"/>
        <v>26.006888411686475</v>
      </c>
      <c r="W90">
        <f t="shared" si="113"/>
        <v>26.006888411686475</v>
      </c>
      <c r="X90">
        <f t="shared" si="114"/>
        <v>3.3756340651248999</v>
      </c>
      <c r="Y90">
        <f t="shared" si="115"/>
        <v>50.197899716209868</v>
      </c>
      <c r="Z90">
        <f t="shared" si="116"/>
        <v>1.4370898685851339</v>
      </c>
      <c r="AA90">
        <f t="shared" si="117"/>
        <v>2.8628485986657126</v>
      </c>
      <c r="AB90">
        <f t="shared" si="118"/>
        <v>1.9385441965397661</v>
      </c>
      <c r="AC90">
        <f t="shared" si="119"/>
        <v>-61.897202820545246</v>
      </c>
      <c r="AD90">
        <f t="shared" si="120"/>
        <v>-411.53308029725235</v>
      </c>
      <c r="AE90">
        <f t="shared" si="121"/>
        <v>-31.310468835335406</v>
      </c>
      <c r="AF90">
        <f t="shared" si="122"/>
        <v>-0.43352586667248261</v>
      </c>
      <c r="AG90">
        <f t="shared" si="123"/>
        <v>5.1194628275391745</v>
      </c>
      <c r="AH90">
        <f t="shared" si="124"/>
        <v>1.3916190391151997</v>
      </c>
      <c r="AI90">
        <f t="shared" si="125"/>
        <v>5.1745681036101923</v>
      </c>
      <c r="AJ90">
        <v>426.01070850870309</v>
      </c>
      <c r="AK90">
        <v>419.73077575757571</v>
      </c>
      <c r="AL90">
        <v>-3.8895083283994629E-3</v>
      </c>
      <c r="AM90">
        <v>64.997845316365996</v>
      </c>
      <c r="AN90">
        <f t="shared" si="126"/>
        <v>1.4035646898082823</v>
      </c>
      <c r="AO90">
        <v>14.11182180076019</v>
      </c>
      <c r="AP90">
        <v>15.767985314685321</v>
      </c>
      <c r="AQ90">
        <v>2.279954865546913E-4</v>
      </c>
      <c r="AR90">
        <v>96.643177331047141</v>
      </c>
      <c r="AS90">
        <v>0</v>
      </c>
      <c r="AT90">
        <v>0</v>
      </c>
      <c r="AU90">
        <f t="shared" si="127"/>
        <v>1</v>
      </c>
      <c r="AV90">
        <f t="shared" si="128"/>
        <v>0</v>
      </c>
      <c r="AW90">
        <f t="shared" si="129"/>
        <v>48815.220915118152</v>
      </c>
      <c r="AX90" t="s">
        <v>732</v>
      </c>
      <c r="AY90">
        <v>5019.3599999999997</v>
      </c>
      <c r="AZ90">
        <v>804.81600000000003</v>
      </c>
      <c r="BA90">
        <v>1716.333776349019</v>
      </c>
      <c r="BB90">
        <f t="shared" si="130"/>
        <v>0.53108421503420933</v>
      </c>
      <c r="BC90">
        <v>-2.4194015152978432</v>
      </c>
      <c r="BD90" t="s">
        <v>740</v>
      </c>
      <c r="BE90">
        <v>5042.8999999999996</v>
      </c>
      <c r="BF90">
        <v>1678.653846153846</v>
      </c>
      <c r="BG90">
        <v>1810.2951881521769</v>
      </c>
      <c r="BH90">
        <f t="shared" si="131"/>
        <v>7.2718163788912937E-2</v>
      </c>
      <c r="BI90">
        <v>0.5</v>
      </c>
      <c r="BJ90">
        <f t="shared" si="132"/>
        <v>2350.7536801551109</v>
      </c>
      <c r="BK90">
        <f t="shared" si="133"/>
        <v>5.1745681036101923</v>
      </c>
      <c r="BL90">
        <f t="shared" si="134"/>
        <v>85.471245570454613</v>
      </c>
      <c r="BM90">
        <f t="shared" si="135"/>
        <v>3.2304403830208865E-3</v>
      </c>
      <c r="BN90">
        <f t="shared" si="136"/>
        <v>-5.1903917337960334E-2</v>
      </c>
      <c r="BO90">
        <f t="shared" si="137"/>
        <v>824.89270567661015</v>
      </c>
      <c r="BP90" t="s">
        <v>741</v>
      </c>
      <c r="BQ90">
        <v>1044.5999999999999</v>
      </c>
      <c r="BR90">
        <f t="shared" si="138"/>
        <v>1044.5999999999999</v>
      </c>
      <c r="BS90">
        <f t="shared" si="139"/>
        <v>0.42296703496944343</v>
      </c>
      <c r="BT90">
        <f t="shared" si="140"/>
        <v>0.1719239509863135</v>
      </c>
      <c r="BU90">
        <f t="shared" si="141"/>
        <v>-0.13987894477162263</v>
      </c>
      <c r="BV90">
        <f t="shared" si="142"/>
        <v>0.13092398485169576</v>
      </c>
      <c r="BW90">
        <f t="shared" si="143"/>
        <v>-0.10308236903454557</v>
      </c>
      <c r="BX90">
        <f t="shared" si="144"/>
        <v>0.10698558229368497</v>
      </c>
      <c r="BY90">
        <f t="shared" si="145"/>
        <v>0.89301441770631507</v>
      </c>
      <c r="BZ90">
        <v>506</v>
      </c>
      <c r="CA90">
        <v>290.00000000000011</v>
      </c>
      <c r="CB90">
        <v>1755.94</v>
      </c>
      <c r="CC90">
        <v>215</v>
      </c>
      <c r="CD90">
        <v>5042.8999999999996</v>
      </c>
      <c r="CE90">
        <v>1754.76</v>
      </c>
      <c r="CF90">
        <v>1.18</v>
      </c>
      <c r="CG90">
        <v>300.00000000000011</v>
      </c>
      <c r="CH90">
        <v>23.9</v>
      </c>
      <c r="CI90">
        <v>1810.2951881521769</v>
      </c>
      <c r="CJ90">
        <v>2.3866039320584118</v>
      </c>
      <c r="CK90">
        <v>-28.006926052980049</v>
      </c>
      <c r="CL90">
        <v>1.1025511800373691</v>
      </c>
      <c r="CM90">
        <v>0.95841118627990107</v>
      </c>
      <c r="CN90">
        <v>-2.6881063403782022E-3</v>
      </c>
      <c r="CO90">
        <v>289.99999999999989</v>
      </c>
      <c r="CP90">
        <v>1753.8</v>
      </c>
      <c r="CQ90">
        <v>795</v>
      </c>
      <c r="CR90">
        <v>5041.9799999999996</v>
      </c>
      <c r="CS90">
        <v>1754.75</v>
      </c>
      <c r="CT90">
        <v>-0.95</v>
      </c>
      <c r="DH90">
        <f t="shared" si="146"/>
        <v>2865.6225806451612</v>
      </c>
      <c r="DI90">
        <f t="shared" si="147"/>
        <v>2350.7536801551109</v>
      </c>
      <c r="DJ90">
        <f t="shared" si="148"/>
        <v>0.82032913058141321</v>
      </c>
      <c r="DK90">
        <f t="shared" si="149"/>
        <v>0.17598522202212746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1761690863.5580649</v>
      </c>
      <c r="DR90">
        <v>413.17835483870971</v>
      </c>
      <c r="DS90">
        <v>420.01200000000011</v>
      </c>
      <c r="DT90">
        <v>15.75496129032258</v>
      </c>
      <c r="DU90">
        <v>14.11125483870968</v>
      </c>
      <c r="DV90">
        <v>412.35338709677421</v>
      </c>
      <c r="DW90">
        <v>15.58266129032258</v>
      </c>
      <c r="DX90">
        <v>499.97764516129041</v>
      </c>
      <c r="DY90">
        <v>91.176280645161285</v>
      </c>
      <c r="DZ90">
        <v>3.878755483870968E-2</v>
      </c>
      <c r="EA90">
        <v>23.25102258064517</v>
      </c>
      <c r="EB90">
        <v>24.010638709677409</v>
      </c>
      <c r="EC90">
        <v>999.90000000000032</v>
      </c>
      <c r="ED90">
        <v>0</v>
      </c>
      <c r="EE90">
        <v>0</v>
      </c>
      <c r="EF90">
        <v>9998.6503225806464</v>
      </c>
      <c r="EG90">
        <v>0</v>
      </c>
      <c r="EH90">
        <v>1065.630322580645</v>
      </c>
      <c r="EI90">
        <v>-6.8336664516129044</v>
      </c>
      <c r="EJ90">
        <v>419.79209677419368</v>
      </c>
      <c r="EK90">
        <v>426.02370967741928</v>
      </c>
      <c r="EL90">
        <v>1.6436941935483871</v>
      </c>
      <c r="EM90">
        <v>420.01200000000011</v>
      </c>
      <c r="EN90">
        <v>14.11125483870968</v>
      </c>
      <c r="EO90">
        <v>1.436478064516129</v>
      </c>
      <c r="EP90">
        <v>1.2866125806451609</v>
      </c>
      <c r="EQ90">
        <v>12.308277419354839</v>
      </c>
      <c r="ER90">
        <v>10.64336774193549</v>
      </c>
      <c r="ES90">
        <v>1799.9922580645159</v>
      </c>
      <c r="ET90">
        <v>0.97799716129032266</v>
      </c>
      <c r="EU90">
        <v>2.200285483870967E-2</v>
      </c>
      <c r="EV90">
        <v>0</v>
      </c>
      <c r="EW90">
        <v>1678.727419354838</v>
      </c>
      <c r="EX90">
        <v>5.0005600000000019</v>
      </c>
      <c r="EY90">
        <v>30266.90967741936</v>
      </c>
      <c r="EZ90">
        <v>15551.09032258064</v>
      </c>
      <c r="FA90">
        <v>39.125</v>
      </c>
      <c r="FB90">
        <v>40.299999999999983</v>
      </c>
      <c r="FC90">
        <v>39.191064516129018</v>
      </c>
      <c r="FD90">
        <v>39.128999999999998</v>
      </c>
      <c r="FE90">
        <v>39.625</v>
      </c>
      <c r="FF90">
        <v>1755.4954838709671</v>
      </c>
      <c r="FG90">
        <v>39.495483870967753</v>
      </c>
      <c r="FH90">
        <v>0</v>
      </c>
      <c r="FI90">
        <v>127.7999999523163</v>
      </c>
      <c r="FJ90">
        <v>0</v>
      </c>
      <c r="FK90">
        <v>1678.653846153846</v>
      </c>
      <c r="FL90">
        <v>-7.3449572331864061</v>
      </c>
      <c r="FM90">
        <v>-159.79829067725791</v>
      </c>
      <c r="FN90">
        <v>30266.242307692301</v>
      </c>
      <c r="FO90">
        <v>15</v>
      </c>
      <c r="FP90">
        <v>0</v>
      </c>
      <c r="FQ90" t="s">
        <v>441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-6.8124253658536604</v>
      </c>
      <c r="GD90">
        <v>-0.24839021469903769</v>
      </c>
      <c r="GE90">
        <v>3.811066236424876E-2</v>
      </c>
      <c r="GF90">
        <v>1</v>
      </c>
      <c r="GG90">
        <v>1679.161470588235</v>
      </c>
      <c r="GH90">
        <v>-8.2589763054582992</v>
      </c>
      <c r="GI90">
        <v>0.88062856012035573</v>
      </c>
      <c r="GJ90">
        <v>0</v>
      </c>
      <c r="GK90">
        <v>1.6366092682926829</v>
      </c>
      <c r="GL90">
        <v>0.1167823554187583</v>
      </c>
      <c r="GM90">
        <v>1.162619653223133E-2</v>
      </c>
      <c r="GN90">
        <v>0</v>
      </c>
      <c r="GO90">
        <v>1</v>
      </c>
      <c r="GP90">
        <v>3</v>
      </c>
      <c r="GQ90" t="s">
        <v>442</v>
      </c>
      <c r="GR90">
        <v>3.1289699999999998</v>
      </c>
      <c r="GS90">
        <v>2.7165400000000002</v>
      </c>
      <c r="GT90">
        <v>8.5127499999999995E-2</v>
      </c>
      <c r="GU90">
        <v>8.6777000000000007E-2</v>
      </c>
      <c r="GV90">
        <v>7.9883399999999993E-2</v>
      </c>
      <c r="GW90">
        <v>7.4380500000000002E-2</v>
      </c>
      <c r="GX90">
        <v>27462.7</v>
      </c>
      <c r="GY90">
        <v>26502.5</v>
      </c>
      <c r="GZ90">
        <v>30560.400000000001</v>
      </c>
      <c r="HA90">
        <v>29275.1</v>
      </c>
      <c r="HB90">
        <v>38799.1</v>
      </c>
      <c r="HC90">
        <v>35673.9</v>
      </c>
      <c r="HD90">
        <v>46731</v>
      </c>
      <c r="HE90">
        <v>43517.8</v>
      </c>
      <c r="HF90">
        <v>1.83342</v>
      </c>
      <c r="HG90">
        <v>1.85693</v>
      </c>
      <c r="HH90">
        <v>8.0086299999999999E-2</v>
      </c>
      <c r="HI90">
        <v>0</v>
      </c>
      <c r="HJ90">
        <v>22.695699999999999</v>
      </c>
      <c r="HK90">
        <v>999.9</v>
      </c>
      <c r="HL90">
        <v>36.9</v>
      </c>
      <c r="HM90">
        <v>30.5</v>
      </c>
      <c r="HN90">
        <v>17.743500000000001</v>
      </c>
      <c r="HO90">
        <v>63.276899999999998</v>
      </c>
      <c r="HP90">
        <v>18.3293</v>
      </c>
      <c r="HQ90">
        <v>1</v>
      </c>
      <c r="HR90">
        <v>0.15559500000000001</v>
      </c>
      <c r="HS90">
        <v>3.4233199999999999</v>
      </c>
      <c r="HT90">
        <v>20.174600000000002</v>
      </c>
      <c r="HU90">
        <v>5.2384000000000004</v>
      </c>
      <c r="HV90">
        <v>11.976900000000001</v>
      </c>
      <c r="HW90">
        <v>4.9732500000000002</v>
      </c>
      <c r="HX90">
        <v>3.2909999999999999</v>
      </c>
      <c r="HY90">
        <v>9999</v>
      </c>
      <c r="HZ90">
        <v>9999</v>
      </c>
      <c r="IA90">
        <v>9999</v>
      </c>
      <c r="IB90">
        <v>999.9</v>
      </c>
      <c r="IC90">
        <v>4.9729099999999997</v>
      </c>
      <c r="ID90">
        <v>1.8772899999999999</v>
      </c>
      <c r="IE90">
        <v>1.87534</v>
      </c>
      <c r="IF90">
        <v>1.8781699999999999</v>
      </c>
      <c r="IG90">
        <v>1.8748499999999999</v>
      </c>
      <c r="IH90">
        <v>1.8784700000000001</v>
      </c>
      <c r="II90">
        <v>1.87561</v>
      </c>
      <c r="IJ90">
        <v>1.8767100000000001</v>
      </c>
      <c r="IK90">
        <v>0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0.82499999999999996</v>
      </c>
      <c r="IY90">
        <v>0.1726</v>
      </c>
      <c r="IZ90">
        <v>6.1933660764125778E-2</v>
      </c>
      <c r="JA90">
        <v>2.058711587971173E-3</v>
      </c>
      <c r="JB90">
        <v>-6.1309262243104059E-7</v>
      </c>
      <c r="JC90">
        <v>2.6183910446277612E-10</v>
      </c>
      <c r="JD90">
        <v>3.5078820932035488E-4</v>
      </c>
      <c r="JE90">
        <v>-4.3284922736758413E-3</v>
      </c>
      <c r="JF90">
        <v>1.4186339569364E-3</v>
      </c>
      <c r="JG90">
        <v>-2.7770646863349432E-5</v>
      </c>
      <c r="JH90">
        <v>2</v>
      </c>
      <c r="JI90">
        <v>2136</v>
      </c>
      <c r="JJ90">
        <v>1</v>
      </c>
      <c r="JK90">
        <v>19</v>
      </c>
      <c r="JL90">
        <v>29361514.5</v>
      </c>
      <c r="JM90">
        <v>29361514.5</v>
      </c>
      <c r="JN90">
        <v>1.1047400000000001</v>
      </c>
      <c r="JO90">
        <v>2.5585900000000001</v>
      </c>
      <c r="JP90">
        <v>1.39893</v>
      </c>
      <c r="JQ90">
        <v>2.32544</v>
      </c>
      <c r="JR90">
        <v>1.4489700000000001</v>
      </c>
      <c r="JS90">
        <v>2.4584999999999999</v>
      </c>
      <c r="JT90">
        <v>36.340000000000003</v>
      </c>
      <c r="JU90">
        <v>23.772300000000001</v>
      </c>
      <c r="JV90">
        <v>18</v>
      </c>
      <c r="JW90">
        <v>484.09899999999999</v>
      </c>
      <c r="JX90">
        <v>469.77699999999999</v>
      </c>
      <c r="JY90">
        <v>18.911200000000001</v>
      </c>
      <c r="JZ90">
        <v>29.155799999999999</v>
      </c>
      <c r="KA90">
        <v>30</v>
      </c>
      <c r="KB90">
        <v>28.857299999999999</v>
      </c>
      <c r="KC90">
        <v>28.927600000000002</v>
      </c>
      <c r="KD90">
        <v>22.145</v>
      </c>
      <c r="KE90">
        <v>25.588799999999999</v>
      </c>
      <c r="KF90">
        <v>62.935899999999997</v>
      </c>
      <c r="KG90">
        <v>18.903199999999998</v>
      </c>
      <c r="KH90">
        <v>420</v>
      </c>
      <c r="KI90">
        <v>14.123100000000001</v>
      </c>
      <c r="KJ90">
        <v>101.006</v>
      </c>
      <c r="KK90">
        <v>100.083</v>
      </c>
    </row>
    <row r="91" spans="1:297" x14ac:dyDescent="0.3">
      <c r="A91">
        <v>75</v>
      </c>
      <c r="B91">
        <v>1761691001</v>
      </c>
      <c r="C91">
        <v>13551</v>
      </c>
      <c r="D91" t="s">
        <v>742</v>
      </c>
      <c r="E91" t="s">
        <v>743</v>
      </c>
      <c r="F91">
        <v>5</v>
      </c>
      <c r="G91" t="s">
        <v>735</v>
      </c>
      <c r="H91" t="s">
        <v>436</v>
      </c>
      <c r="I91">
        <v>1761690993.25</v>
      </c>
      <c r="J91">
        <f t="shared" si="100"/>
        <v>1.4944099324329322E-3</v>
      </c>
      <c r="K91">
        <f t="shared" si="101"/>
        <v>1.4944099324329323</v>
      </c>
      <c r="L91">
        <f t="shared" si="102"/>
        <v>5.1473127487984387</v>
      </c>
      <c r="M91">
        <f t="shared" si="103"/>
        <v>413.12336666666658</v>
      </c>
      <c r="N91">
        <f t="shared" si="104"/>
        <v>283.59598899867143</v>
      </c>
      <c r="O91">
        <f t="shared" si="105"/>
        <v>25.871386014853261</v>
      </c>
      <c r="P91">
        <f t="shared" si="106"/>
        <v>37.687677207730772</v>
      </c>
      <c r="Q91">
        <f t="shared" si="107"/>
        <v>7.0864617103850697E-2</v>
      </c>
      <c r="R91">
        <f t="shared" si="108"/>
        <v>2.7698896497337402</v>
      </c>
      <c r="S91">
        <f t="shared" si="109"/>
        <v>6.9872614249162121E-2</v>
      </c>
      <c r="T91">
        <f t="shared" si="110"/>
        <v>4.3758354515125789E-2</v>
      </c>
      <c r="U91">
        <f t="shared" si="111"/>
        <v>451.90319673385068</v>
      </c>
      <c r="V91">
        <f t="shared" si="112"/>
        <v>25.899898096683032</v>
      </c>
      <c r="W91">
        <f t="shared" si="113"/>
        <v>25.899898096683032</v>
      </c>
      <c r="X91">
        <f t="shared" si="114"/>
        <v>3.3543231195240599</v>
      </c>
      <c r="Y91">
        <f t="shared" si="115"/>
        <v>50.06552874594837</v>
      </c>
      <c r="Z91">
        <f t="shared" si="116"/>
        <v>1.4546365151005487</v>
      </c>
      <c r="AA91">
        <f t="shared" si="117"/>
        <v>2.9054652003815447</v>
      </c>
      <c r="AB91">
        <f t="shared" si="118"/>
        <v>1.8996866044235112</v>
      </c>
      <c r="AC91">
        <f t="shared" si="119"/>
        <v>-65.903478020292312</v>
      </c>
      <c r="AD91">
        <f t="shared" si="120"/>
        <v>-358.99769913395494</v>
      </c>
      <c r="AE91">
        <f t="shared" si="121"/>
        <v>-27.332205557576291</v>
      </c>
      <c r="AF91">
        <f t="shared" si="122"/>
        <v>-0.3301859779728602</v>
      </c>
      <c r="AG91">
        <f t="shared" si="123"/>
        <v>5.1395266241514008</v>
      </c>
      <c r="AH91">
        <f t="shared" si="124"/>
        <v>1.4811344094617938</v>
      </c>
      <c r="AI91">
        <f t="shared" si="125"/>
        <v>5.1473127487984387</v>
      </c>
      <c r="AJ91">
        <v>426.08527005846429</v>
      </c>
      <c r="AK91">
        <v>419.81982424242409</v>
      </c>
      <c r="AL91">
        <v>-4.5412491840782537E-5</v>
      </c>
      <c r="AM91">
        <v>64.997845316365996</v>
      </c>
      <c r="AN91">
        <f t="shared" si="126"/>
        <v>1.4944099324329323</v>
      </c>
      <c r="AO91">
        <v>14.197049271564589</v>
      </c>
      <c r="AP91">
        <v>15.95994195804197</v>
      </c>
      <c r="AQ91">
        <v>2.4641794981764058E-4</v>
      </c>
      <c r="AR91">
        <v>96.643177331047141</v>
      </c>
      <c r="AS91">
        <v>0</v>
      </c>
      <c r="AT91">
        <v>0</v>
      </c>
      <c r="AU91">
        <f t="shared" si="127"/>
        <v>1</v>
      </c>
      <c r="AV91">
        <f t="shared" si="128"/>
        <v>0</v>
      </c>
      <c r="AW91">
        <f t="shared" si="129"/>
        <v>48775.373078732489</v>
      </c>
      <c r="AX91" t="s">
        <v>732</v>
      </c>
      <c r="AY91">
        <v>5019.3599999999997</v>
      </c>
      <c r="AZ91">
        <v>804.81600000000003</v>
      </c>
      <c r="BA91">
        <v>1716.333776349019</v>
      </c>
      <c r="BB91">
        <f t="shared" si="130"/>
        <v>0.53108421503420933</v>
      </c>
      <c r="BC91">
        <v>-2.4194015152978432</v>
      </c>
      <c r="BD91" t="s">
        <v>744</v>
      </c>
      <c r="BE91">
        <v>5045.1899999999996</v>
      </c>
      <c r="BF91">
        <v>1646.521153846154</v>
      </c>
      <c r="BG91">
        <v>1799.100529339117</v>
      </c>
      <c r="BH91">
        <f t="shared" si="131"/>
        <v>8.4808699127564391E-2</v>
      </c>
      <c r="BI91">
        <v>0.5</v>
      </c>
      <c r="BJ91">
        <f t="shared" si="132"/>
        <v>2104.952175509768</v>
      </c>
      <c r="BK91">
        <f t="shared" si="133"/>
        <v>5.1473127487984387</v>
      </c>
      <c r="BL91">
        <f t="shared" si="134"/>
        <v>89.259127865360014</v>
      </c>
      <c r="BM91">
        <f t="shared" si="135"/>
        <v>3.5947202754208932E-3</v>
      </c>
      <c r="BN91">
        <f t="shared" si="136"/>
        <v>-4.6004518169143992E-2</v>
      </c>
      <c r="BO91">
        <f t="shared" si="137"/>
        <v>822.56047590733851</v>
      </c>
      <c r="BP91" t="s">
        <v>745</v>
      </c>
      <c r="BQ91">
        <v>1037.27</v>
      </c>
      <c r="BR91">
        <f t="shared" si="138"/>
        <v>1037.27</v>
      </c>
      <c r="BS91">
        <f t="shared" si="139"/>
        <v>0.42345078383083379</v>
      </c>
      <c r="BT91">
        <f t="shared" si="140"/>
        <v>0.20027994365797416</v>
      </c>
      <c r="BU91">
        <f t="shared" si="141"/>
        <v>-0.1218836225296728</v>
      </c>
      <c r="BV91">
        <f t="shared" si="142"/>
        <v>0.15345645133831032</v>
      </c>
      <c r="BW91">
        <f t="shared" si="143"/>
        <v>-9.0801030037626726E-2</v>
      </c>
      <c r="BX91">
        <f t="shared" si="144"/>
        <v>0.12617170248486093</v>
      </c>
      <c r="BY91">
        <f t="shared" si="145"/>
        <v>0.87382829751513902</v>
      </c>
      <c r="BZ91">
        <v>508</v>
      </c>
      <c r="CA91">
        <v>290.00000000000011</v>
      </c>
      <c r="CB91">
        <v>1746.51</v>
      </c>
      <c r="CC91">
        <v>175</v>
      </c>
      <c r="CD91">
        <v>5045.1899999999996</v>
      </c>
      <c r="CE91">
        <v>1744.87</v>
      </c>
      <c r="CF91">
        <v>1.64</v>
      </c>
      <c r="CG91">
        <v>300.00000000000011</v>
      </c>
      <c r="CH91">
        <v>23.9</v>
      </c>
      <c r="CI91">
        <v>1799.100529339117</v>
      </c>
      <c r="CJ91">
        <v>2.0568058430109191</v>
      </c>
      <c r="CK91">
        <v>-27.360099921810349</v>
      </c>
      <c r="CL91">
        <v>0.94210942316810542</v>
      </c>
      <c r="CM91">
        <v>0.96786773207860821</v>
      </c>
      <c r="CN91">
        <v>-2.9380834260289259E-3</v>
      </c>
      <c r="CO91">
        <v>289.99999999999989</v>
      </c>
      <c r="CP91">
        <v>1743.23</v>
      </c>
      <c r="CQ91">
        <v>765</v>
      </c>
      <c r="CR91">
        <v>5043.99</v>
      </c>
      <c r="CS91">
        <v>1744.86</v>
      </c>
      <c r="CT91">
        <v>-1.63</v>
      </c>
      <c r="DH91">
        <f t="shared" si="146"/>
        <v>2565.7520000000013</v>
      </c>
      <c r="DI91">
        <f t="shared" si="147"/>
        <v>2104.952175509768</v>
      </c>
      <c r="DJ91">
        <f t="shared" si="148"/>
        <v>0.82040359922150197</v>
      </c>
      <c r="DK91">
        <f t="shared" si="149"/>
        <v>0.17612894649749877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1761690993.25</v>
      </c>
      <c r="DR91">
        <v>413.12336666666658</v>
      </c>
      <c r="DS91">
        <v>420.02499999999998</v>
      </c>
      <c r="DT91">
        <v>15.94538</v>
      </c>
      <c r="DU91">
        <v>14.196376666666669</v>
      </c>
      <c r="DV91">
        <v>412.2984666666668</v>
      </c>
      <c r="DW91">
        <v>15.769403333333329</v>
      </c>
      <c r="DX91">
        <v>500.00493333333333</v>
      </c>
      <c r="DY91">
        <v>91.187436666666684</v>
      </c>
      <c r="DZ91">
        <v>3.8768986666666658E-2</v>
      </c>
      <c r="EA91">
        <v>23.495846666666662</v>
      </c>
      <c r="EB91">
        <v>24.003073333333329</v>
      </c>
      <c r="EC91">
        <v>999.9000000000002</v>
      </c>
      <c r="ED91">
        <v>0</v>
      </c>
      <c r="EE91">
        <v>0</v>
      </c>
      <c r="EF91">
        <v>9997.4733333333334</v>
      </c>
      <c r="EG91">
        <v>0</v>
      </c>
      <c r="EH91">
        <v>1065.7496666666671</v>
      </c>
      <c r="EI91">
        <v>-6.901715666666667</v>
      </c>
      <c r="EJ91">
        <v>419.81756666666672</v>
      </c>
      <c r="EK91">
        <v>426.07386666666662</v>
      </c>
      <c r="EL91">
        <v>1.749001333333333</v>
      </c>
      <c r="EM91">
        <v>420.02499999999998</v>
      </c>
      <c r="EN91">
        <v>14.196376666666669</v>
      </c>
      <c r="EO91">
        <v>1.454018666666667</v>
      </c>
      <c r="EP91">
        <v>1.294532</v>
      </c>
      <c r="EQ91">
        <v>12.49301</v>
      </c>
      <c r="ER91">
        <v>10.73551333333333</v>
      </c>
      <c r="ES91">
        <v>1500.002333333334</v>
      </c>
      <c r="ET91">
        <v>0.97300540000000002</v>
      </c>
      <c r="EU91">
        <v>2.6994233333333329E-2</v>
      </c>
      <c r="EV91">
        <v>0</v>
      </c>
      <c r="EW91">
        <v>1646.517333333333</v>
      </c>
      <c r="EX91">
        <v>5.0005600000000019</v>
      </c>
      <c r="EY91">
        <v>24715.683333333331</v>
      </c>
      <c r="EZ91">
        <v>12931.553333333341</v>
      </c>
      <c r="FA91">
        <v>38.445599999999992</v>
      </c>
      <c r="FB91">
        <v>40.241599999999998</v>
      </c>
      <c r="FC91">
        <v>39.070466666666647</v>
      </c>
      <c r="FD91">
        <v>39.170533333333317</v>
      </c>
      <c r="FE91">
        <v>39.48299999999999</v>
      </c>
      <c r="FF91">
        <v>1454.642333333333</v>
      </c>
      <c r="FG91">
        <v>40.359999999999992</v>
      </c>
      <c r="FH91">
        <v>0</v>
      </c>
      <c r="FI91">
        <v>127.2000000476837</v>
      </c>
      <c r="FJ91">
        <v>0</v>
      </c>
      <c r="FK91">
        <v>1646.521153846154</v>
      </c>
      <c r="FL91">
        <v>-5.7261538151613331</v>
      </c>
      <c r="FM91">
        <v>-92.006837496937194</v>
      </c>
      <c r="FN91">
        <v>24715.446153846151</v>
      </c>
      <c r="FO91">
        <v>15</v>
      </c>
      <c r="FP91">
        <v>0</v>
      </c>
      <c r="FQ91" t="s">
        <v>441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-6.8914260975609762</v>
      </c>
      <c r="GD91">
        <v>-9.9645156794445106E-2</v>
      </c>
      <c r="GE91">
        <v>2.9737179724071E-2</v>
      </c>
      <c r="GF91">
        <v>1</v>
      </c>
      <c r="GG91">
        <v>1646.792058823529</v>
      </c>
      <c r="GH91">
        <v>-6.3469824210322257</v>
      </c>
      <c r="GI91">
        <v>0.69584810467162295</v>
      </c>
      <c r="GJ91">
        <v>0</v>
      </c>
      <c r="GK91">
        <v>1.740141219512195</v>
      </c>
      <c r="GL91">
        <v>0.17279184668989561</v>
      </c>
      <c r="GM91">
        <v>1.733215230116672E-2</v>
      </c>
      <c r="GN91">
        <v>0</v>
      </c>
      <c r="GO91">
        <v>1</v>
      </c>
      <c r="GP91">
        <v>3</v>
      </c>
      <c r="GQ91" t="s">
        <v>442</v>
      </c>
      <c r="GR91">
        <v>3.1290900000000001</v>
      </c>
      <c r="GS91">
        <v>2.7166000000000001</v>
      </c>
      <c r="GT91">
        <v>8.5144899999999996E-2</v>
      </c>
      <c r="GU91">
        <v>8.6783299999999994E-2</v>
      </c>
      <c r="GV91">
        <v>8.0596600000000004E-2</v>
      </c>
      <c r="GW91">
        <v>7.4708300000000005E-2</v>
      </c>
      <c r="GX91">
        <v>27467.3</v>
      </c>
      <c r="GY91">
        <v>26504.2</v>
      </c>
      <c r="GZ91">
        <v>30565.599999999999</v>
      </c>
      <c r="HA91">
        <v>29276.799999999999</v>
      </c>
      <c r="HB91">
        <v>38775.199999999997</v>
      </c>
      <c r="HC91">
        <v>35663.199999999997</v>
      </c>
      <c r="HD91">
        <v>46738.7</v>
      </c>
      <c r="HE91">
        <v>43520.3</v>
      </c>
      <c r="HF91">
        <v>1.8337699999999999</v>
      </c>
      <c r="HG91">
        <v>1.8582799999999999</v>
      </c>
      <c r="HH91">
        <v>7.1208900000000006E-2</v>
      </c>
      <c r="HI91">
        <v>0</v>
      </c>
      <c r="HJ91">
        <v>22.843</v>
      </c>
      <c r="HK91">
        <v>999.9</v>
      </c>
      <c r="HL91">
        <v>36.700000000000003</v>
      </c>
      <c r="HM91">
        <v>30.5</v>
      </c>
      <c r="HN91">
        <v>17.645700000000001</v>
      </c>
      <c r="HO91">
        <v>63.596899999999998</v>
      </c>
      <c r="HP91">
        <v>18.036899999999999</v>
      </c>
      <c r="HQ91">
        <v>1</v>
      </c>
      <c r="HR91">
        <v>0.147843</v>
      </c>
      <c r="HS91">
        <v>2.8822999999999999</v>
      </c>
      <c r="HT91">
        <v>20.186900000000001</v>
      </c>
      <c r="HU91">
        <v>5.2352600000000002</v>
      </c>
      <c r="HV91">
        <v>11.9755</v>
      </c>
      <c r="HW91">
        <v>4.9720000000000004</v>
      </c>
      <c r="HX91">
        <v>3.2910300000000001</v>
      </c>
      <c r="HY91">
        <v>9999</v>
      </c>
      <c r="HZ91">
        <v>9999</v>
      </c>
      <c r="IA91">
        <v>9999</v>
      </c>
      <c r="IB91">
        <v>999.9</v>
      </c>
      <c r="IC91">
        <v>4.9729299999999999</v>
      </c>
      <c r="ID91">
        <v>1.8772899999999999</v>
      </c>
      <c r="IE91">
        <v>1.8753200000000001</v>
      </c>
      <c r="IF91">
        <v>1.87819</v>
      </c>
      <c r="IG91">
        <v>1.8748499999999999</v>
      </c>
      <c r="IH91">
        <v>1.87846</v>
      </c>
      <c r="II91">
        <v>1.8755999999999999</v>
      </c>
      <c r="IJ91">
        <v>1.87673</v>
      </c>
      <c r="IK91">
        <v>0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0.82399999999999995</v>
      </c>
      <c r="IY91">
        <v>0.1762</v>
      </c>
      <c r="IZ91">
        <v>6.1933660764125778E-2</v>
      </c>
      <c r="JA91">
        <v>2.058711587971173E-3</v>
      </c>
      <c r="JB91">
        <v>-6.1309262243104059E-7</v>
      </c>
      <c r="JC91">
        <v>2.6183910446277612E-10</v>
      </c>
      <c r="JD91">
        <v>3.5078820932035488E-4</v>
      </c>
      <c r="JE91">
        <v>-4.3284922736758413E-3</v>
      </c>
      <c r="JF91">
        <v>1.4186339569364E-3</v>
      </c>
      <c r="JG91">
        <v>-2.7770646863349432E-5</v>
      </c>
      <c r="JH91">
        <v>2</v>
      </c>
      <c r="JI91">
        <v>2136</v>
      </c>
      <c r="JJ91">
        <v>1</v>
      </c>
      <c r="JK91">
        <v>19</v>
      </c>
      <c r="JL91">
        <v>29361516.699999999</v>
      </c>
      <c r="JM91">
        <v>29361516.699999999</v>
      </c>
      <c r="JN91">
        <v>1.1047400000000001</v>
      </c>
      <c r="JO91">
        <v>2.5390600000000001</v>
      </c>
      <c r="JP91">
        <v>1.39893</v>
      </c>
      <c r="JQ91">
        <v>2.32544</v>
      </c>
      <c r="JR91">
        <v>1.4489700000000001</v>
      </c>
      <c r="JS91">
        <v>2.6000999999999999</v>
      </c>
      <c r="JT91">
        <v>36.340000000000003</v>
      </c>
      <c r="JU91">
        <v>23.816099999999999</v>
      </c>
      <c r="JV91">
        <v>18</v>
      </c>
      <c r="JW91">
        <v>484.01600000000002</v>
      </c>
      <c r="JX91">
        <v>470.37200000000001</v>
      </c>
      <c r="JY91">
        <v>19.782399999999999</v>
      </c>
      <c r="JZ91">
        <v>29.075600000000001</v>
      </c>
      <c r="KA91">
        <v>30.0001</v>
      </c>
      <c r="KB91">
        <v>28.815100000000001</v>
      </c>
      <c r="KC91">
        <v>28.891400000000001</v>
      </c>
      <c r="KD91">
        <v>22.1462</v>
      </c>
      <c r="KE91">
        <v>25.037299999999998</v>
      </c>
      <c r="KF91">
        <v>62.565100000000001</v>
      </c>
      <c r="KG91">
        <v>19.7651</v>
      </c>
      <c r="KH91">
        <v>420</v>
      </c>
      <c r="KI91">
        <v>14.0969</v>
      </c>
      <c r="KJ91">
        <v>101.023</v>
      </c>
      <c r="KK91">
        <v>100.089</v>
      </c>
    </row>
    <row r="92" spans="1:297" x14ac:dyDescent="0.3">
      <c r="A92">
        <v>76</v>
      </c>
      <c r="B92">
        <v>1761691130.5</v>
      </c>
      <c r="C92">
        <v>13680.5</v>
      </c>
      <c r="D92" t="s">
        <v>746</v>
      </c>
      <c r="E92" t="s">
        <v>747</v>
      </c>
      <c r="F92">
        <v>5</v>
      </c>
      <c r="G92" t="s">
        <v>735</v>
      </c>
      <c r="H92" t="s">
        <v>436</v>
      </c>
      <c r="I92">
        <v>1761691122.75</v>
      </c>
      <c r="J92">
        <f t="shared" si="100"/>
        <v>1.5565414453451764E-3</v>
      </c>
      <c r="K92">
        <f t="shared" si="101"/>
        <v>1.5565414453451765</v>
      </c>
      <c r="L92">
        <f t="shared" si="102"/>
        <v>5.0260129581013242</v>
      </c>
      <c r="M92">
        <f t="shared" si="103"/>
        <v>413.20906666666667</v>
      </c>
      <c r="N92">
        <f t="shared" si="104"/>
        <v>293.47806726788554</v>
      </c>
      <c r="O92">
        <f t="shared" si="105"/>
        <v>26.772131918627693</v>
      </c>
      <c r="P92">
        <f t="shared" si="106"/>
        <v>37.694427204589815</v>
      </c>
      <c r="Q92">
        <f t="shared" si="107"/>
        <v>7.5479040808265133E-2</v>
      </c>
      <c r="R92">
        <f t="shared" si="108"/>
        <v>2.7688948602592909</v>
      </c>
      <c r="S92">
        <f t="shared" si="109"/>
        <v>7.4354348826135924E-2</v>
      </c>
      <c r="T92">
        <f t="shared" si="110"/>
        <v>4.6571121034079906E-2</v>
      </c>
      <c r="U92">
        <f t="shared" si="111"/>
        <v>399.49644202500394</v>
      </c>
      <c r="V92">
        <f t="shared" si="112"/>
        <v>25.80359568829623</v>
      </c>
      <c r="W92">
        <f t="shared" si="113"/>
        <v>25.80359568829623</v>
      </c>
      <c r="X92">
        <f t="shared" si="114"/>
        <v>3.3352416392779878</v>
      </c>
      <c r="Y92">
        <f t="shared" si="115"/>
        <v>50.048151121486008</v>
      </c>
      <c r="Z92">
        <f t="shared" si="116"/>
        <v>1.4759157790447528</v>
      </c>
      <c r="AA92">
        <f t="shared" si="117"/>
        <v>2.9489916130211098</v>
      </c>
      <c r="AB92">
        <f t="shared" si="118"/>
        <v>1.859325860233235</v>
      </c>
      <c r="AC92">
        <f t="shared" si="119"/>
        <v>-68.643477739722272</v>
      </c>
      <c r="AD92">
        <f t="shared" si="120"/>
        <v>-307.6471074740341</v>
      </c>
      <c r="AE92">
        <f t="shared" si="121"/>
        <v>-23.448729926336092</v>
      </c>
      <c r="AF92">
        <f t="shared" si="122"/>
        <v>-0.24287311508851417</v>
      </c>
      <c r="AG92">
        <f t="shared" si="123"/>
        <v>5.0199916691595687</v>
      </c>
      <c r="AH92">
        <f t="shared" si="124"/>
        <v>1.5435641976245786</v>
      </c>
      <c r="AI92">
        <f t="shared" si="125"/>
        <v>5.0260129581013242</v>
      </c>
      <c r="AJ92">
        <v>426.10724149667192</v>
      </c>
      <c r="AK92">
        <v>419.99052727272721</v>
      </c>
      <c r="AL92">
        <v>-5.2067903586297114E-4</v>
      </c>
      <c r="AM92">
        <v>64.997845316365996</v>
      </c>
      <c r="AN92">
        <f t="shared" si="126"/>
        <v>1.5565414453451765</v>
      </c>
      <c r="AO92">
        <v>14.35763796099358</v>
      </c>
      <c r="AP92">
        <v>16.193089510489521</v>
      </c>
      <c r="AQ92">
        <v>3.07650156096281E-4</v>
      </c>
      <c r="AR92">
        <v>96.643177331047141</v>
      </c>
      <c r="AS92">
        <v>0</v>
      </c>
      <c r="AT92">
        <v>0</v>
      </c>
      <c r="AU92">
        <f t="shared" si="127"/>
        <v>1</v>
      </c>
      <c r="AV92">
        <f t="shared" si="128"/>
        <v>0</v>
      </c>
      <c r="AW92">
        <f t="shared" si="129"/>
        <v>48707.327793943819</v>
      </c>
      <c r="AX92" t="s">
        <v>732</v>
      </c>
      <c r="AY92">
        <v>5019.3599999999997</v>
      </c>
      <c r="AZ92">
        <v>804.81600000000003</v>
      </c>
      <c r="BA92">
        <v>1716.333776349019</v>
      </c>
      <c r="BB92">
        <f t="shared" si="130"/>
        <v>0.53108421503420933</v>
      </c>
      <c r="BC92">
        <v>-2.4194015152978432</v>
      </c>
      <c r="BD92" t="s">
        <v>748</v>
      </c>
      <c r="BE92">
        <v>5044.93</v>
      </c>
      <c r="BF92">
        <v>1611.5547999999999</v>
      </c>
      <c r="BG92">
        <v>1802.1499011087531</v>
      </c>
      <c r="BH92">
        <f t="shared" si="131"/>
        <v>0.10575984882916323</v>
      </c>
      <c r="BI92">
        <v>0.5</v>
      </c>
      <c r="BJ92">
        <f t="shared" si="132"/>
        <v>1859.2242979835939</v>
      </c>
      <c r="BK92">
        <f t="shared" si="133"/>
        <v>5.0260129581013242</v>
      </c>
      <c r="BL92">
        <f t="shared" si="134"/>
        <v>98.315640347126006</v>
      </c>
      <c r="BM92">
        <f t="shared" si="135"/>
        <v>4.0045810941014646E-3</v>
      </c>
      <c r="BN92">
        <f t="shared" si="136"/>
        <v>-4.7618749531843405E-2</v>
      </c>
      <c r="BO92">
        <f t="shared" si="137"/>
        <v>823.19732395160258</v>
      </c>
      <c r="BP92" t="s">
        <v>749</v>
      </c>
      <c r="BQ92">
        <v>1031.5999999999999</v>
      </c>
      <c r="BR92">
        <f t="shared" si="138"/>
        <v>1031.5999999999999</v>
      </c>
      <c r="BS92">
        <f t="shared" si="139"/>
        <v>0.42757259017947435</v>
      </c>
      <c r="BT92">
        <f t="shared" si="140"/>
        <v>0.24734945891823967</v>
      </c>
      <c r="BU92">
        <f t="shared" si="141"/>
        <v>-0.12532772257460875</v>
      </c>
      <c r="BV92">
        <f t="shared" si="142"/>
        <v>0.19110460488394646</v>
      </c>
      <c r="BW92">
        <f t="shared" si="143"/>
        <v>-9.4146408316314809E-2</v>
      </c>
      <c r="BX92">
        <f t="shared" si="144"/>
        <v>0.15833510707799453</v>
      </c>
      <c r="BY92">
        <f t="shared" si="145"/>
        <v>0.84166489292200541</v>
      </c>
      <c r="BZ92">
        <v>510</v>
      </c>
      <c r="CA92">
        <v>290.00000000000011</v>
      </c>
      <c r="CB92">
        <v>1743.31</v>
      </c>
      <c r="CC92">
        <v>295</v>
      </c>
      <c r="CD92">
        <v>5044.93</v>
      </c>
      <c r="CE92">
        <v>1742.25</v>
      </c>
      <c r="CF92">
        <v>1.06</v>
      </c>
      <c r="CG92">
        <v>300.00000000000011</v>
      </c>
      <c r="CH92">
        <v>23.9</v>
      </c>
      <c r="CI92">
        <v>1802.1499011087531</v>
      </c>
      <c r="CJ92">
        <v>1.7089481382153859</v>
      </c>
      <c r="CK92">
        <v>-30.21838429324108</v>
      </c>
      <c r="CL92">
        <v>0.7757824928096867</v>
      </c>
      <c r="CM92">
        <v>0.98188017528310523</v>
      </c>
      <c r="CN92">
        <v>-3.186141268075642E-3</v>
      </c>
      <c r="CO92">
        <v>289.99999999999989</v>
      </c>
      <c r="CP92">
        <v>1739.92</v>
      </c>
      <c r="CQ92">
        <v>695</v>
      </c>
      <c r="CR92">
        <v>5044.63</v>
      </c>
      <c r="CS92">
        <v>1742.25</v>
      </c>
      <c r="CT92">
        <v>-2.33</v>
      </c>
      <c r="DH92">
        <f t="shared" si="146"/>
        <v>2265.9843333333329</v>
      </c>
      <c r="DI92">
        <f t="shared" si="147"/>
        <v>1859.2242979835939</v>
      </c>
      <c r="DJ92">
        <f t="shared" si="148"/>
        <v>0.82049300634334821</v>
      </c>
      <c r="DK92">
        <f t="shared" si="149"/>
        <v>0.17630150224266217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1761691122.75</v>
      </c>
      <c r="DR92">
        <v>413.20906666666667</v>
      </c>
      <c r="DS92">
        <v>419.99860000000012</v>
      </c>
      <c r="DT92">
        <v>16.17909666666667</v>
      </c>
      <c r="DU92">
        <v>14.356743333333331</v>
      </c>
      <c r="DV92">
        <v>412.38403333333332</v>
      </c>
      <c r="DW92">
        <v>15.99859333333333</v>
      </c>
      <c r="DX92">
        <v>499.98779999999999</v>
      </c>
      <c r="DY92">
        <v>91.185186666666638</v>
      </c>
      <c r="DZ92">
        <v>3.8434123333333327E-2</v>
      </c>
      <c r="EA92">
        <v>23.742676666666672</v>
      </c>
      <c r="EB92">
        <v>24.020900000000001</v>
      </c>
      <c r="EC92">
        <v>999.9000000000002</v>
      </c>
      <c r="ED92">
        <v>0</v>
      </c>
      <c r="EE92">
        <v>0</v>
      </c>
      <c r="EF92">
        <v>9991.8549999999996</v>
      </c>
      <c r="EG92">
        <v>0</v>
      </c>
      <c r="EH92">
        <v>1066.0003333333329</v>
      </c>
      <c r="EI92">
        <v>-6.78965</v>
      </c>
      <c r="EJ92">
        <v>420.00436666666673</v>
      </c>
      <c r="EK92">
        <v>426.11633333333322</v>
      </c>
      <c r="EL92">
        <v>1.8223499999999999</v>
      </c>
      <c r="EM92">
        <v>419.99860000000012</v>
      </c>
      <c r="EN92">
        <v>14.356743333333331</v>
      </c>
      <c r="EO92">
        <v>1.475293</v>
      </c>
      <c r="EP92">
        <v>1.309121666666667</v>
      </c>
      <c r="EQ92">
        <v>12.71447666666667</v>
      </c>
      <c r="ER92">
        <v>10.90399</v>
      </c>
      <c r="ES92">
        <v>1199.9839999999999</v>
      </c>
      <c r="ET92">
        <v>0.96699706666666685</v>
      </c>
      <c r="EU92">
        <v>3.3003256666666668E-2</v>
      </c>
      <c r="EV92">
        <v>0</v>
      </c>
      <c r="EW92">
        <v>1611.5440000000001</v>
      </c>
      <c r="EX92">
        <v>5.0005600000000019</v>
      </c>
      <c r="EY92">
        <v>19332.783333333329</v>
      </c>
      <c r="EZ92">
        <v>10316.67333333334</v>
      </c>
      <c r="FA92">
        <v>38.162199999999999</v>
      </c>
      <c r="FB92">
        <v>40.061999999999983</v>
      </c>
      <c r="FC92">
        <v>38.758266666666671</v>
      </c>
      <c r="FD92">
        <v>39</v>
      </c>
      <c r="FE92">
        <v>39.061999999999991</v>
      </c>
      <c r="FF92">
        <v>1155.5440000000001</v>
      </c>
      <c r="FG92">
        <v>39.440000000000012</v>
      </c>
      <c r="FH92">
        <v>0</v>
      </c>
      <c r="FI92">
        <v>127.2000000476837</v>
      </c>
      <c r="FJ92">
        <v>0</v>
      </c>
      <c r="FK92">
        <v>1611.5547999999999</v>
      </c>
      <c r="FL92">
        <v>-2.3030769266800282</v>
      </c>
      <c r="FM92">
        <v>-36.430769395200919</v>
      </c>
      <c r="FN92">
        <v>19332.712</v>
      </c>
      <c r="FO92">
        <v>15</v>
      </c>
      <c r="FP92">
        <v>0</v>
      </c>
      <c r="FQ92" t="s">
        <v>441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-6.7990165853658544</v>
      </c>
      <c r="GD92">
        <v>0.1102306620208969</v>
      </c>
      <c r="GE92">
        <v>2.47586855525792E-2</v>
      </c>
      <c r="GF92">
        <v>1</v>
      </c>
      <c r="GG92">
        <v>1611.664705882353</v>
      </c>
      <c r="GH92">
        <v>-2.0696715022728531</v>
      </c>
      <c r="GI92">
        <v>0.3426989357346068</v>
      </c>
      <c r="GJ92">
        <v>0</v>
      </c>
      <c r="GK92">
        <v>1.8144</v>
      </c>
      <c r="GL92">
        <v>0.1388830662020907</v>
      </c>
      <c r="GM92">
        <v>1.3865647144353101E-2</v>
      </c>
      <c r="GN92">
        <v>0</v>
      </c>
      <c r="GO92">
        <v>1</v>
      </c>
      <c r="GP92">
        <v>3</v>
      </c>
      <c r="GQ92" t="s">
        <v>442</v>
      </c>
      <c r="GR92">
        <v>3.1290900000000001</v>
      </c>
      <c r="GS92">
        <v>2.71611</v>
      </c>
      <c r="GT92">
        <v>8.5164799999999999E-2</v>
      </c>
      <c r="GU92">
        <v>8.6789900000000003E-2</v>
      </c>
      <c r="GV92">
        <v>8.1447099999999995E-2</v>
      </c>
      <c r="GW92">
        <v>7.5332099999999999E-2</v>
      </c>
      <c r="GX92">
        <v>27470</v>
      </c>
      <c r="GY92">
        <v>26508</v>
      </c>
      <c r="GZ92">
        <v>30569</v>
      </c>
      <c r="HA92">
        <v>29280.799999999999</v>
      </c>
      <c r="HB92">
        <v>38742.5</v>
      </c>
      <c r="HC92">
        <v>35644</v>
      </c>
      <c r="HD92">
        <v>46743</v>
      </c>
      <c r="HE92">
        <v>43526.5</v>
      </c>
      <c r="HF92">
        <v>1.8345499999999999</v>
      </c>
      <c r="HG92">
        <v>1.8597699999999999</v>
      </c>
      <c r="HH92">
        <v>5.9366200000000001E-2</v>
      </c>
      <c r="HI92">
        <v>0</v>
      </c>
      <c r="HJ92">
        <v>23.046500000000002</v>
      </c>
      <c r="HK92">
        <v>999.9</v>
      </c>
      <c r="HL92">
        <v>36.700000000000003</v>
      </c>
      <c r="HM92">
        <v>30.5</v>
      </c>
      <c r="HN92">
        <v>17.6464</v>
      </c>
      <c r="HO92">
        <v>63.116900000000001</v>
      </c>
      <c r="HP92">
        <v>18.120999999999999</v>
      </c>
      <c r="HQ92">
        <v>1</v>
      </c>
      <c r="HR92">
        <v>0.142736</v>
      </c>
      <c r="HS92">
        <v>2.7226599999999999</v>
      </c>
      <c r="HT92">
        <v>20.191400000000002</v>
      </c>
      <c r="HU92">
        <v>5.23766</v>
      </c>
      <c r="HV92">
        <v>11.974600000000001</v>
      </c>
      <c r="HW92">
        <v>4.9726999999999997</v>
      </c>
      <c r="HX92">
        <v>3.2909999999999999</v>
      </c>
      <c r="HY92">
        <v>9999</v>
      </c>
      <c r="HZ92">
        <v>9999</v>
      </c>
      <c r="IA92">
        <v>9999</v>
      </c>
      <c r="IB92">
        <v>999.9</v>
      </c>
      <c r="IC92">
        <v>4.9729099999999997</v>
      </c>
      <c r="ID92">
        <v>1.8772899999999999</v>
      </c>
      <c r="IE92">
        <v>1.87534</v>
      </c>
      <c r="IF92">
        <v>1.8782000000000001</v>
      </c>
      <c r="IG92">
        <v>1.87487</v>
      </c>
      <c r="IH92">
        <v>1.87849</v>
      </c>
      <c r="II92">
        <v>1.8755999999999999</v>
      </c>
      <c r="IJ92">
        <v>1.87677</v>
      </c>
      <c r="IK92">
        <v>0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0.82499999999999996</v>
      </c>
      <c r="IY92">
        <v>0.1807</v>
      </c>
      <c r="IZ92">
        <v>6.1933660764125778E-2</v>
      </c>
      <c r="JA92">
        <v>2.058711587971173E-3</v>
      </c>
      <c r="JB92">
        <v>-6.1309262243104059E-7</v>
      </c>
      <c r="JC92">
        <v>2.6183910446277612E-10</v>
      </c>
      <c r="JD92">
        <v>3.5078820932035488E-4</v>
      </c>
      <c r="JE92">
        <v>-4.3284922736758413E-3</v>
      </c>
      <c r="JF92">
        <v>1.4186339569364E-3</v>
      </c>
      <c r="JG92">
        <v>-2.7770646863349432E-5</v>
      </c>
      <c r="JH92">
        <v>2</v>
      </c>
      <c r="JI92">
        <v>2136</v>
      </c>
      <c r="JJ92">
        <v>1</v>
      </c>
      <c r="JK92">
        <v>19</v>
      </c>
      <c r="JL92">
        <v>29361518.800000001</v>
      </c>
      <c r="JM92">
        <v>29361518.800000001</v>
      </c>
      <c r="JN92">
        <v>1.1047400000000001</v>
      </c>
      <c r="JO92">
        <v>2.5451700000000002</v>
      </c>
      <c r="JP92">
        <v>1.39893</v>
      </c>
      <c r="JQ92">
        <v>2.32544</v>
      </c>
      <c r="JR92">
        <v>1.4489700000000001</v>
      </c>
      <c r="JS92">
        <v>2.6184099999999999</v>
      </c>
      <c r="JT92">
        <v>36.340000000000003</v>
      </c>
      <c r="JU92">
        <v>23.833600000000001</v>
      </c>
      <c r="JV92">
        <v>18</v>
      </c>
      <c r="JW92">
        <v>484.13600000000002</v>
      </c>
      <c r="JX92">
        <v>471.012</v>
      </c>
      <c r="JY92">
        <v>20.293500000000002</v>
      </c>
      <c r="JZ92">
        <v>29.005500000000001</v>
      </c>
      <c r="KA92">
        <v>30</v>
      </c>
      <c r="KB92">
        <v>28.7682</v>
      </c>
      <c r="KC92">
        <v>28.848700000000001</v>
      </c>
      <c r="KD92">
        <v>22.1448</v>
      </c>
      <c r="KE92">
        <v>23.213000000000001</v>
      </c>
      <c r="KF92">
        <v>62.193600000000004</v>
      </c>
      <c r="KG92">
        <v>20.2837</v>
      </c>
      <c r="KH92">
        <v>420</v>
      </c>
      <c r="KI92">
        <v>14.3729</v>
      </c>
      <c r="KJ92">
        <v>101.033</v>
      </c>
      <c r="KK92">
        <v>100.10299999999999</v>
      </c>
    </row>
    <row r="93" spans="1:297" x14ac:dyDescent="0.3">
      <c r="A93">
        <v>77</v>
      </c>
      <c r="B93">
        <v>1761691260</v>
      </c>
      <c r="C93">
        <v>13810</v>
      </c>
      <c r="D93" t="s">
        <v>750</v>
      </c>
      <c r="E93" t="s">
        <v>751</v>
      </c>
      <c r="F93">
        <v>5</v>
      </c>
      <c r="G93" t="s">
        <v>735</v>
      </c>
      <c r="H93" t="s">
        <v>436</v>
      </c>
      <c r="I93">
        <v>1761691252.25</v>
      </c>
      <c r="J93">
        <f t="shared" si="100"/>
        <v>1.6309454848062615E-3</v>
      </c>
      <c r="K93">
        <f t="shared" si="101"/>
        <v>1.6309454848062614</v>
      </c>
      <c r="L93">
        <f t="shared" si="102"/>
        <v>4.7626803682157846</v>
      </c>
      <c r="M93">
        <f t="shared" si="103"/>
        <v>413.46543333333341</v>
      </c>
      <c r="N93">
        <f t="shared" si="104"/>
        <v>306.13026350670867</v>
      </c>
      <c r="O93">
        <f t="shared" si="105"/>
        <v>27.925050863819919</v>
      </c>
      <c r="P93">
        <f t="shared" si="106"/>
        <v>37.716111840774133</v>
      </c>
      <c r="Q93">
        <f t="shared" si="107"/>
        <v>8.0848081511229575E-2</v>
      </c>
      <c r="R93">
        <f t="shared" si="108"/>
        <v>2.7711506843663778</v>
      </c>
      <c r="S93">
        <f t="shared" si="109"/>
        <v>7.9560197815727762E-2</v>
      </c>
      <c r="T93">
        <f t="shared" si="110"/>
        <v>4.9839125919121353E-2</v>
      </c>
      <c r="U93">
        <f t="shared" si="111"/>
        <v>347.22851101365512</v>
      </c>
      <c r="V93">
        <f t="shared" si="112"/>
        <v>25.672685957250202</v>
      </c>
      <c r="W93">
        <f t="shared" si="113"/>
        <v>25.672685957250202</v>
      </c>
      <c r="X93">
        <f t="shared" si="114"/>
        <v>3.3094551001264145</v>
      </c>
      <c r="Y93">
        <f t="shared" si="115"/>
        <v>49.827447020750704</v>
      </c>
      <c r="Z93">
        <f t="shared" si="116"/>
        <v>1.4886791999293312</v>
      </c>
      <c r="AA93">
        <f t="shared" si="117"/>
        <v>2.9876690236795973</v>
      </c>
      <c r="AB93">
        <f t="shared" si="118"/>
        <v>1.8207759001970834</v>
      </c>
      <c r="AC93">
        <f t="shared" si="119"/>
        <v>-71.924695879956133</v>
      </c>
      <c r="AD93">
        <f t="shared" si="120"/>
        <v>-255.96943770038055</v>
      </c>
      <c r="AE93">
        <f t="shared" si="121"/>
        <v>-19.502349336240151</v>
      </c>
      <c r="AF93">
        <f t="shared" si="122"/>
        <v>-0.16797190292172104</v>
      </c>
      <c r="AG93">
        <f t="shared" si="123"/>
        <v>4.7861188578040208</v>
      </c>
      <c r="AH93">
        <f t="shared" si="124"/>
        <v>1.5931065559976312</v>
      </c>
      <c r="AI93">
        <f t="shared" si="125"/>
        <v>4.7626803682157846</v>
      </c>
      <c r="AJ93">
        <v>426.16775533954842</v>
      </c>
      <c r="AK93">
        <v>420.3639272727271</v>
      </c>
      <c r="AL93">
        <v>1.0247273825087051E-3</v>
      </c>
      <c r="AM93">
        <v>64.997845316365996</v>
      </c>
      <c r="AN93">
        <f t="shared" si="126"/>
        <v>1.6309454848062614</v>
      </c>
      <c r="AO93">
        <v>14.439917827434639</v>
      </c>
      <c r="AP93">
        <v>16.35164475524477</v>
      </c>
      <c r="AQ93">
        <v>1.877113393984924E-3</v>
      </c>
      <c r="AR93">
        <v>96.643177331047141</v>
      </c>
      <c r="AS93">
        <v>0</v>
      </c>
      <c r="AT93">
        <v>0</v>
      </c>
      <c r="AU93">
        <f t="shared" si="127"/>
        <v>1</v>
      </c>
      <c r="AV93">
        <f t="shared" si="128"/>
        <v>0</v>
      </c>
      <c r="AW93">
        <f t="shared" si="129"/>
        <v>48733.855411361736</v>
      </c>
      <c r="AX93" t="s">
        <v>732</v>
      </c>
      <c r="AY93">
        <v>5019.3599999999997</v>
      </c>
      <c r="AZ93">
        <v>804.81600000000003</v>
      </c>
      <c r="BA93">
        <v>1716.333776349019</v>
      </c>
      <c r="BB93">
        <f t="shared" si="130"/>
        <v>0.53108421503420933</v>
      </c>
      <c r="BC93">
        <v>-2.4194015152978432</v>
      </c>
      <c r="BD93" t="s">
        <v>752</v>
      </c>
      <c r="BE93">
        <v>5046.5</v>
      </c>
      <c r="BF93">
        <v>1565.2231999999999</v>
      </c>
      <c r="BG93">
        <v>1801.295304741263</v>
      </c>
      <c r="BH93">
        <f t="shared" si="131"/>
        <v>0.13105685898358144</v>
      </c>
      <c r="BI93">
        <v>0.5</v>
      </c>
      <c r="BJ93">
        <f t="shared" si="132"/>
        <v>1613.413163456989</v>
      </c>
      <c r="BK93">
        <f t="shared" si="133"/>
        <v>4.7626803682157846</v>
      </c>
      <c r="BL93">
        <f t="shared" si="134"/>
        <v>105.72443072271831</v>
      </c>
      <c r="BM93">
        <f t="shared" si="135"/>
        <v>4.4514833808129463E-3</v>
      </c>
      <c r="BN93">
        <f t="shared" si="136"/>
        <v>-4.7166907152099521E-2</v>
      </c>
      <c r="BO93">
        <f t="shared" si="137"/>
        <v>823.01896331855971</v>
      </c>
      <c r="BP93" t="s">
        <v>753</v>
      </c>
      <c r="BQ93">
        <v>1022.53</v>
      </c>
      <c r="BR93">
        <f t="shared" si="138"/>
        <v>1022.53</v>
      </c>
      <c r="BS93">
        <f t="shared" si="139"/>
        <v>0.43233627639590411</v>
      </c>
      <c r="BT93">
        <f t="shared" si="140"/>
        <v>0.30313639206062942</v>
      </c>
      <c r="BU93">
        <f t="shared" si="141"/>
        <v>-0.1224575755977205</v>
      </c>
      <c r="BV93">
        <f t="shared" si="142"/>
        <v>0.2369061792031491</v>
      </c>
      <c r="BW93">
        <f t="shared" si="143"/>
        <v>-9.3208855160837045E-2</v>
      </c>
      <c r="BX93">
        <f t="shared" si="144"/>
        <v>0.19803313353249261</v>
      </c>
      <c r="BY93">
        <f t="shared" si="145"/>
        <v>0.80196686646750737</v>
      </c>
      <c r="BZ93">
        <v>512</v>
      </c>
      <c r="CA93">
        <v>290.00000000000011</v>
      </c>
      <c r="CB93">
        <v>1744.41</v>
      </c>
      <c r="CC93">
        <v>245</v>
      </c>
      <c r="CD93">
        <v>5046.5</v>
      </c>
      <c r="CE93">
        <v>1743.74</v>
      </c>
      <c r="CF93">
        <v>0.67</v>
      </c>
      <c r="CG93">
        <v>300.00000000000011</v>
      </c>
      <c r="CH93">
        <v>23.9</v>
      </c>
      <c r="CI93">
        <v>1801.295304741263</v>
      </c>
      <c r="CJ93">
        <v>1.6268272548554941</v>
      </c>
      <c r="CK93">
        <v>-29.045180662525642</v>
      </c>
      <c r="CL93">
        <v>0.73191417224061517</v>
      </c>
      <c r="CM93">
        <v>0.98253066813092094</v>
      </c>
      <c r="CN93">
        <v>-3.4354213570633989E-3</v>
      </c>
      <c r="CO93">
        <v>289.99999999999989</v>
      </c>
      <c r="CP93">
        <v>1741.44</v>
      </c>
      <c r="CQ93">
        <v>635</v>
      </c>
      <c r="CR93">
        <v>5046.3999999999996</v>
      </c>
      <c r="CS93">
        <v>1743.74</v>
      </c>
      <c r="CT93">
        <v>-2.2999999999999998</v>
      </c>
      <c r="DH93">
        <f t="shared" si="146"/>
        <v>1966.0038333333334</v>
      </c>
      <c r="DI93">
        <f t="shared" si="147"/>
        <v>1613.413163456989</v>
      </c>
      <c r="DJ93">
        <f t="shared" si="148"/>
        <v>0.82065616358512805</v>
      </c>
      <c r="DK93">
        <f t="shared" si="149"/>
        <v>0.17661639571929713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1761691252.25</v>
      </c>
      <c r="DR93">
        <v>413.46543333333341</v>
      </c>
      <c r="DS93">
        <v>419.99916666666661</v>
      </c>
      <c r="DT93">
        <v>16.319746666666671</v>
      </c>
      <c r="DU93">
        <v>14.43923</v>
      </c>
      <c r="DV93">
        <v>412.64006666666671</v>
      </c>
      <c r="DW93">
        <v>16.13653</v>
      </c>
      <c r="DX93">
        <v>500.00326666666672</v>
      </c>
      <c r="DY93">
        <v>91.181313333333321</v>
      </c>
      <c r="DZ93">
        <v>3.8190886666666667E-2</v>
      </c>
      <c r="EA93">
        <v>23.959350000000011</v>
      </c>
      <c r="EB93">
        <v>24.006216666666671</v>
      </c>
      <c r="EC93">
        <v>999.9000000000002</v>
      </c>
      <c r="ED93">
        <v>0</v>
      </c>
      <c r="EE93">
        <v>0</v>
      </c>
      <c r="EF93">
        <v>10005.582666666671</v>
      </c>
      <c r="EG93">
        <v>0</v>
      </c>
      <c r="EH93">
        <v>1065.9966666666669</v>
      </c>
      <c r="EI93">
        <v>-6.5337146666666666</v>
      </c>
      <c r="EJ93">
        <v>420.32503333333329</v>
      </c>
      <c r="EK93">
        <v>426.15266666666668</v>
      </c>
      <c r="EL93">
        <v>1.880524333333333</v>
      </c>
      <c r="EM93">
        <v>419.99916666666661</v>
      </c>
      <c r="EN93">
        <v>14.43923</v>
      </c>
      <c r="EO93">
        <v>1.488056333333333</v>
      </c>
      <c r="EP93">
        <v>1.3165880000000001</v>
      </c>
      <c r="EQ93">
        <v>12.845976666666671</v>
      </c>
      <c r="ER93">
        <v>10.989549999999999</v>
      </c>
      <c r="ES93">
        <v>900.00716666666654</v>
      </c>
      <c r="ET93">
        <v>0.95600840000000031</v>
      </c>
      <c r="EU93">
        <v>4.3991543333333327E-2</v>
      </c>
      <c r="EV93">
        <v>0</v>
      </c>
      <c r="EW93">
        <v>1565.2296666666671</v>
      </c>
      <c r="EX93">
        <v>5.0005600000000019</v>
      </c>
      <c r="EY93">
        <v>14070.78666666667</v>
      </c>
      <c r="EZ93">
        <v>7699.7969999999996</v>
      </c>
      <c r="FA93">
        <v>37.485299999999988</v>
      </c>
      <c r="FB93">
        <v>39.807866666666648</v>
      </c>
      <c r="FC93">
        <v>38.347699999999989</v>
      </c>
      <c r="FD93">
        <v>38.791333333333327</v>
      </c>
      <c r="FE93">
        <v>38.589299999999987</v>
      </c>
      <c r="FF93">
        <v>855.63366666666673</v>
      </c>
      <c r="FG93">
        <v>39.369999999999983</v>
      </c>
      <c r="FH93">
        <v>0</v>
      </c>
      <c r="FI93">
        <v>127.2000000476837</v>
      </c>
      <c r="FJ93">
        <v>0</v>
      </c>
      <c r="FK93">
        <v>1565.2231999999999</v>
      </c>
      <c r="FL93">
        <v>8.6153831396243635E-2</v>
      </c>
      <c r="FM93">
        <v>-1.523076983884232</v>
      </c>
      <c r="FN93">
        <v>14070.871999999999</v>
      </c>
      <c r="FO93">
        <v>15</v>
      </c>
      <c r="FP93">
        <v>0</v>
      </c>
      <c r="FQ93" t="s">
        <v>441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-6.5064125000000006</v>
      </c>
      <c r="GD93">
        <v>-0.39171196998123681</v>
      </c>
      <c r="GE93">
        <v>5.46589439501899E-2</v>
      </c>
      <c r="GF93">
        <v>1</v>
      </c>
      <c r="GG93">
        <v>1565.1797058823529</v>
      </c>
      <c r="GH93">
        <v>0.67211611368642121</v>
      </c>
      <c r="GI93">
        <v>0.1709916629222743</v>
      </c>
      <c r="GJ93">
        <v>1</v>
      </c>
      <c r="GK93">
        <v>1.8651934999999999</v>
      </c>
      <c r="GL93">
        <v>0.30367924953095438</v>
      </c>
      <c r="GM93">
        <v>2.982321357181349E-2</v>
      </c>
      <c r="GN93">
        <v>0</v>
      </c>
      <c r="GO93">
        <v>2</v>
      </c>
      <c r="GP93">
        <v>3</v>
      </c>
      <c r="GQ93" t="s">
        <v>479</v>
      </c>
      <c r="GR93">
        <v>3.1290800000000001</v>
      </c>
      <c r="GS93">
        <v>2.7163200000000001</v>
      </c>
      <c r="GT93">
        <v>8.52184E-2</v>
      </c>
      <c r="GU93">
        <v>8.6793499999999996E-2</v>
      </c>
      <c r="GV93">
        <v>8.2027900000000001E-2</v>
      </c>
      <c r="GW93">
        <v>7.5661000000000006E-2</v>
      </c>
      <c r="GX93">
        <v>27472.3</v>
      </c>
      <c r="GY93">
        <v>26510.9</v>
      </c>
      <c r="GZ93">
        <v>30573</v>
      </c>
      <c r="HA93">
        <v>29283.9</v>
      </c>
      <c r="HB93">
        <v>38723</v>
      </c>
      <c r="HC93">
        <v>35634.800000000003</v>
      </c>
      <c r="HD93">
        <v>46749.3</v>
      </c>
      <c r="HE93">
        <v>43530.9</v>
      </c>
      <c r="HF93">
        <v>1.8348199999999999</v>
      </c>
      <c r="HG93">
        <v>1.8603499999999999</v>
      </c>
      <c r="HH93">
        <v>4.6100500000000003E-2</v>
      </c>
      <c r="HI93">
        <v>0</v>
      </c>
      <c r="HJ93">
        <v>23.2422</v>
      </c>
      <c r="HK93">
        <v>999.9</v>
      </c>
      <c r="HL93">
        <v>36.700000000000003</v>
      </c>
      <c r="HM93">
        <v>30.5</v>
      </c>
      <c r="HN93">
        <v>17.648</v>
      </c>
      <c r="HO93">
        <v>63.616900000000001</v>
      </c>
      <c r="HP93">
        <v>18.2212</v>
      </c>
      <c r="HQ93">
        <v>1</v>
      </c>
      <c r="HR93">
        <v>0.13711100000000001</v>
      </c>
      <c r="HS93">
        <v>2.0790099999999998</v>
      </c>
      <c r="HT93">
        <v>20.202400000000001</v>
      </c>
      <c r="HU93">
        <v>5.2358599999999997</v>
      </c>
      <c r="HV93">
        <v>11.9748</v>
      </c>
      <c r="HW93">
        <v>4.9720500000000003</v>
      </c>
      <c r="HX93">
        <v>3.2909999999999999</v>
      </c>
      <c r="HY93">
        <v>9999</v>
      </c>
      <c r="HZ93">
        <v>9999</v>
      </c>
      <c r="IA93">
        <v>9999</v>
      </c>
      <c r="IB93">
        <v>999.9</v>
      </c>
      <c r="IC93">
        <v>4.9729000000000001</v>
      </c>
      <c r="ID93">
        <v>1.8772800000000001</v>
      </c>
      <c r="IE93">
        <v>1.8753299999999999</v>
      </c>
      <c r="IF93">
        <v>1.87818</v>
      </c>
      <c r="IG93">
        <v>1.87486</v>
      </c>
      <c r="IH93">
        <v>1.8784700000000001</v>
      </c>
      <c r="II93">
        <v>1.8755999999999999</v>
      </c>
      <c r="IJ93">
        <v>1.87673</v>
      </c>
      <c r="IK93">
        <v>0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0.82599999999999996</v>
      </c>
      <c r="IY93">
        <v>0.18390000000000001</v>
      </c>
      <c r="IZ93">
        <v>6.1933660764125778E-2</v>
      </c>
      <c r="JA93">
        <v>2.058711587971173E-3</v>
      </c>
      <c r="JB93">
        <v>-6.1309262243104059E-7</v>
      </c>
      <c r="JC93">
        <v>2.6183910446277612E-10</v>
      </c>
      <c r="JD93">
        <v>3.5078820932035488E-4</v>
      </c>
      <c r="JE93">
        <v>-4.3284922736758413E-3</v>
      </c>
      <c r="JF93">
        <v>1.4186339569364E-3</v>
      </c>
      <c r="JG93">
        <v>-2.7770646863349432E-5</v>
      </c>
      <c r="JH93">
        <v>2</v>
      </c>
      <c r="JI93">
        <v>2136</v>
      </c>
      <c r="JJ93">
        <v>1</v>
      </c>
      <c r="JK93">
        <v>19</v>
      </c>
      <c r="JL93">
        <v>29361521</v>
      </c>
      <c r="JM93">
        <v>29361521</v>
      </c>
      <c r="JN93">
        <v>1.1047400000000001</v>
      </c>
      <c r="JO93">
        <v>2.5561500000000001</v>
      </c>
      <c r="JP93">
        <v>1.39893</v>
      </c>
      <c r="JQ93">
        <v>2.32544</v>
      </c>
      <c r="JR93">
        <v>1.4489700000000001</v>
      </c>
      <c r="JS93">
        <v>2.5720200000000002</v>
      </c>
      <c r="JT93">
        <v>36.363500000000002</v>
      </c>
      <c r="JU93">
        <v>23.842300000000002</v>
      </c>
      <c r="JV93">
        <v>18</v>
      </c>
      <c r="JW93">
        <v>483.99599999999998</v>
      </c>
      <c r="JX93">
        <v>471.05500000000001</v>
      </c>
      <c r="JY93">
        <v>20.991</v>
      </c>
      <c r="JZ93">
        <v>28.949300000000001</v>
      </c>
      <c r="KA93">
        <v>29.999700000000001</v>
      </c>
      <c r="KB93">
        <v>28.723700000000001</v>
      </c>
      <c r="KC93">
        <v>28.806799999999999</v>
      </c>
      <c r="KD93">
        <v>22.143899999999999</v>
      </c>
      <c r="KE93">
        <v>22.917400000000001</v>
      </c>
      <c r="KF93">
        <v>62.193600000000004</v>
      </c>
      <c r="KG93">
        <v>21.073799999999999</v>
      </c>
      <c r="KH93">
        <v>420</v>
      </c>
      <c r="KI93">
        <v>14.442299999999999</v>
      </c>
      <c r="KJ93">
        <v>101.04600000000001</v>
      </c>
      <c r="KK93">
        <v>100.113</v>
      </c>
    </row>
    <row r="94" spans="1:297" x14ac:dyDescent="0.3">
      <c r="A94">
        <v>78</v>
      </c>
      <c r="B94">
        <v>1761691389.5</v>
      </c>
      <c r="C94">
        <v>13939.5</v>
      </c>
      <c r="D94" t="s">
        <v>754</v>
      </c>
      <c r="E94" t="s">
        <v>755</v>
      </c>
      <c r="F94">
        <v>5</v>
      </c>
      <c r="G94" t="s">
        <v>735</v>
      </c>
      <c r="H94" t="s">
        <v>436</v>
      </c>
      <c r="I94">
        <v>1761691381.75</v>
      </c>
      <c r="J94">
        <f t="shared" si="100"/>
        <v>1.6742880484536054E-3</v>
      </c>
      <c r="K94">
        <f t="shared" si="101"/>
        <v>1.6742880484536053</v>
      </c>
      <c r="L94">
        <f t="shared" si="102"/>
        <v>4.1041504422435091</v>
      </c>
      <c r="M94">
        <f t="shared" si="103"/>
        <v>414.31299999999999</v>
      </c>
      <c r="N94">
        <f t="shared" si="104"/>
        <v>324.26040666127477</v>
      </c>
      <c r="O94">
        <f t="shared" si="105"/>
        <v>29.580568899088995</v>
      </c>
      <c r="P94">
        <f t="shared" si="106"/>
        <v>37.795592648752141</v>
      </c>
      <c r="Q94">
        <f t="shared" si="107"/>
        <v>8.5130598558336115E-2</v>
      </c>
      <c r="R94">
        <f t="shared" si="108"/>
        <v>2.7703397196391153</v>
      </c>
      <c r="S94">
        <f t="shared" si="109"/>
        <v>8.3703550839150195E-2</v>
      </c>
      <c r="T94">
        <f t="shared" si="110"/>
        <v>5.2440941243299455E-2</v>
      </c>
      <c r="U94">
        <f t="shared" si="111"/>
        <v>295.34333989387852</v>
      </c>
      <c r="V94">
        <f t="shared" si="112"/>
        <v>25.57753700393674</v>
      </c>
      <c r="W94">
        <f t="shared" si="113"/>
        <v>25.57753700393674</v>
      </c>
      <c r="X94">
        <f t="shared" si="114"/>
        <v>3.2908221615087916</v>
      </c>
      <c r="Y94">
        <f t="shared" si="115"/>
        <v>49.956373745015696</v>
      </c>
      <c r="Z94">
        <f t="shared" si="116"/>
        <v>1.5141468958076452</v>
      </c>
      <c r="AA94">
        <f t="shared" si="117"/>
        <v>3.0309383614112231</v>
      </c>
      <c r="AB94">
        <f t="shared" si="118"/>
        <v>1.7766752657011464</v>
      </c>
      <c r="AC94">
        <f t="shared" si="119"/>
        <v>-73.836102936803996</v>
      </c>
      <c r="AD94">
        <f t="shared" si="120"/>
        <v>-205.91169036370667</v>
      </c>
      <c r="AE94">
        <f t="shared" si="121"/>
        <v>-15.704401956930244</v>
      </c>
      <c r="AF94">
        <f t="shared" si="122"/>
        <v>-0.10885536356241232</v>
      </c>
      <c r="AG94">
        <f t="shared" si="123"/>
        <v>4.0640524620396583</v>
      </c>
      <c r="AH94">
        <f t="shared" si="124"/>
        <v>1.6528588245082936</v>
      </c>
      <c r="AI94">
        <f t="shared" si="125"/>
        <v>4.1041504422435091</v>
      </c>
      <c r="AJ94">
        <v>426.30101080647188</v>
      </c>
      <c r="AK94">
        <v>421.30333333333323</v>
      </c>
      <c r="AL94">
        <v>-9.6714334978355082E-5</v>
      </c>
      <c r="AM94">
        <v>64.997845316365996</v>
      </c>
      <c r="AN94">
        <f t="shared" si="126"/>
        <v>1.6742880484536053</v>
      </c>
      <c r="AO94">
        <v>14.649152936186139</v>
      </c>
      <c r="AP94">
        <v>16.621675524475531</v>
      </c>
      <c r="AQ94">
        <v>4.4994179949505982E-4</v>
      </c>
      <c r="AR94">
        <v>96.643177331047141</v>
      </c>
      <c r="AS94">
        <v>0</v>
      </c>
      <c r="AT94">
        <v>0</v>
      </c>
      <c r="AU94">
        <f t="shared" si="127"/>
        <v>1</v>
      </c>
      <c r="AV94">
        <f t="shared" si="128"/>
        <v>0</v>
      </c>
      <c r="AW94">
        <f t="shared" si="129"/>
        <v>48672.374472385622</v>
      </c>
      <c r="AX94" t="s">
        <v>732</v>
      </c>
      <c r="AY94">
        <v>5019.3599999999997</v>
      </c>
      <c r="AZ94">
        <v>804.81600000000003</v>
      </c>
      <c r="BA94">
        <v>1716.333776349019</v>
      </c>
      <c r="BB94">
        <f t="shared" si="130"/>
        <v>0.53108421503420933</v>
      </c>
      <c r="BC94">
        <v>-2.4194015152978432</v>
      </c>
      <c r="BD94" t="s">
        <v>756</v>
      </c>
      <c r="BE94">
        <v>5049.32</v>
      </c>
      <c r="BF94">
        <v>1490.5432000000001</v>
      </c>
      <c r="BG94">
        <v>1806.2039257497449</v>
      </c>
      <c r="BH94">
        <f t="shared" si="131"/>
        <v>0.17476472133051968</v>
      </c>
      <c r="BI94">
        <v>0.5</v>
      </c>
      <c r="BJ94">
        <f t="shared" si="132"/>
        <v>1367.8052110849112</v>
      </c>
      <c r="BK94">
        <f t="shared" si="133"/>
        <v>4.1041504422435091</v>
      </c>
      <c r="BL94">
        <f t="shared" si="134"/>
        <v>119.52204827484357</v>
      </c>
      <c r="BM94">
        <f t="shared" si="135"/>
        <v>4.7693574382327601E-3</v>
      </c>
      <c r="BN94">
        <f t="shared" si="136"/>
        <v>-4.9756369211422992E-2</v>
      </c>
      <c r="BO94">
        <f t="shared" si="137"/>
        <v>824.04217876265773</v>
      </c>
      <c r="BP94" t="s">
        <v>757</v>
      </c>
      <c r="BQ94">
        <v>1013.8</v>
      </c>
      <c r="BR94">
        <f t="shared" si="138"/>
        <v>1013.8</v>
      </c>
      <c r="BS94">
        <f t="shared" si="139"/>
        <v>0.43871232614048417</v>
      </c>
      <c r="BT94">
        <f t="shared" si="140"/>
        <v>0.39835835675735415</v>
      </c>
      <c r="BU94">
        <f t="shared" si="141"/>
        <v>-0.12792288773327024</v>
      </c>
      <c r="BV94">
        <f t="shared" si="142"/>
        <v>0.31522321932672381</v>
      </c>
      <c r="BW94">
        <f t="shared" si="143"/>
        <v>-9.8593962435588073E-2</v>
      </c>
      <c r="BX94">
        <f t="shared" si="144"/>
        <v>0.27094531851247627</v>
      </c>
      <c r="BY94">
        <f t="shared" si="145"/>
        <v>0.72905468148752373</v>
      </c>
      <c r="BZ94">
        <v>514</v>
      </c>
      <c r="CA94">
        <v>290.00000000000011</v>
      </c>
      <c r="CB94">
        <v>1750.76</v>
      </c>
      <c r="CC94">
        <v>155</v>
      </c>
      <c r="CD94">
        <v>5049.32</v>
      </c>
      <c r="CE94">
        <v>1750.21</v>
      </c>
      <c r="CF94">
        <v>0.55000000000000004</v>
      </c>
      <c r="CG94">
        <v>300.00000000000011</v>
      </c>
      <c r="CH94">
        <v>23.9</v>
      </c>
      <c r="CI94">
        <v>1806.2039257497449</v>
      </c>
      <c r="CJ94">
        <v>1.8407292422788879</v>
      </c>
      <c r="CK94">
        <v>-28.272957000044951</v>
      </c>
      <c r="CL94">
        <v>0.82070961574390822</v>
      </c>
      <c r="CM94">
        <v>0.97695020651615927</v>
      </c>
      <c r="CN94">
        <v>-3.6859439377085741E-3</v>
      </c>
      <c r="CO94">
        <v>289.99999999999989</v>
      </c>
      <c r="CP94">
        <v>1748.43</v>
      </c>
      <c r="CQ94">
        <v>635</v>
      </c>
      <c r="CR94">
        <v>5048.4799999999996</v>
      </c>
      <c r="CS94">
        <v>1750.2</v>
      </c>
      <c r="CT94">
        <v>-1.77</v>
      </c>
      <c r="DH94">
        <f t="shared" si="146"/>
        <v>1666.03</v>
      </c>
      <c r="DI94">
        <f t="shared" si="147"/>
        <v>1367.8052110849112</v>
      </c>
      <c r="DJ94">
        <f t="shared" si="148"/>
        <v>0.82099674740845674</v>
      </c>
      <c r="DK94">
        <f t="shared" si="149"/>
        <v>0.17727372249832149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1761691381.75</v>
      </c>
      <c r="DR94">
        <v>414.31299999999999</v>
      </c>
      <c r="DS94">
        <v>420.01156666666662</v>
      </c>
      <c r="DT94">
        <v>16.597986666666671</v>
      </c>
      <c r="DU94">
        <v>14.647496666666671</v>
      </c>
      <c r="DV94">
        <v>413.48613333333333</v>
      </c>
      <c r="DW94">
        <v>16.409373333333331</v>
      </c>
      <c r="DX94">
        <v>500.0050333333333</v>
      </c>
      <c r="DY94">
        <v>91.186859999999996</v>
      </c>
      <c r="DZ94">
        <v>3.7872626666666673E-2</v>
      </c>
      <c r="EA94">
        <v>24.198859999999989</v>
      </c>
      <c r="EB94">
        <v>24.00916333333333</v>
      </c>
      <c r="EC94">
        <v>999.9000000000002</v>
      </c>
      <c r="ED94">
        <v>0</v>
      </c>
      <c r="EE94">
        <v>0</v>
      </c>
      <c r="EF94">
        <v>10000.190666666669</v>
      </c>
      <c r="EG94">
        <v>0</v>
      </c>
      <c r="EH94">
        <v>1066.03</v>
      </c>
      <c r="EI94">
        <v>-5.6984966666666672</v>
      </c>
      <c r="EJ94">
        <v>421.30579999999992</v>
      </c>
      <c r="EK94">
        <v>426.25513333333328</v>
      </c>
      <c r="EL94">
        <v>1.950498333333333</v>
      </c>
      <c r="EM94">
        <v>420.01156666666662</v>
      </c>
      <c r="EN94">
        <v>14.647496666666671</v>
      </c>
      <c r="EO94">
        <v>1.513518666666666</v>
      </c>
      <c r="EP94">
        <v>1.3356583333333329</v>
      </c>
      <c r="EQ94">
        <v>13.105409999999999</v>
      </c>
      <c r="ER94">
        <v>11.20622333333333</v>
      </c>
      <c r="ES94">
        <v>600</v>
      </c>
      <c r="ET94">
        <v>0.93299319999999974</v>
      </c>
      <c r="EU94">
        <v>6.7006419999999997E-2</v>
      </c>
      <c r="EV94">
        <v>0</v>
      </c>
      <c r="EW94">
        <v>1490.544666666666</v>
      </c>
      <c r="EX94">
        <v>5.0005600000000019</v>
      </c>
      <c r="EY94">
        <v>8934.5340000000015</v>
      </c>
      <c r="EZ94">
        <v>5081.1159999999982</v>
      </c>
      <c r="FA94">
        <v>36.760333333333328</v>
      </c>
      <c r="FB94">
        <v>39.493699999999997</v>
      </c>
      <c r="FC94">
        <v>37.864499999999992</v>
      </c>
      <c r="FD94">
        <v>38.510333333333328</v>
      </c>
      <c r="FE94">
        <v>38.068299999999986</v>
      </c>
      <c r="FF94">
        <v>555.13099999999997</v>
      </c>
      <c r="FG94">
        <v>39.869999999999983</v>
      </c>
      <c r="FH94">
        <v>0</v>
      </c>
      <c r="FI94">
        <v>127.2000000476837</v>
      </c>
      <c r="FJ94">
        <v>0</v>
      </c>
      <c r="FK94">
        <v>1490.5432000000001</v>
      </c>
      <c r="FL94">
        <v>2.81076922363828</v>
      </c>
      <c r="FM94">
        <v>2.6146153212085022</v>
      </c>
      <c r="FN94">
        <v>8934.601200000001</v>
      </c>
      <c r="FO94">
        <v>15</v>
      </c>
      <c r="FP94">
        <v>0</v>
      </c>
      <c r="FQ94" t="s">
        <v>441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-5.6988052500000004</v>
      </c>
      <c r="GD94">
        <v>-2.3780150093810681E-2</v>
      </c>
      <c r="GE94">
        <v>3.5650697678131088E-2</v>
      </c>
      <c r="GF94">
        <v>1</v>
      </c>
      <c r="GG94">
        <v>1490.4364705882349</v>
      </c>
      <c r="GH94">
        <v>2.588846448295774</v>
      </c>
      <c r="GI94">
        <v>0.29460723956742751</v>
      </c>
      <c r="GJ94">
        <v>0</v>
      </c>
      <c r="GK94">
        <v>1.9394530000000001</v>
      </c>
      <c r="GL94">
        <v>0.23810791744840359</v>
      </c>
      <c r="GM94">
        <v>2.319077782222926E-2</v>
      </c>
      <c r="GN94">
        <v>0</v>
      </c>
      <c r="GO94">
        <v>1</v>
      </c>
      <c r="GP94">
        <v>3</v>
      </c>
      <c r="GQ94" t="s">
        <v>442</v>
      </c>
      <c r="GR94">
        <v>3.12921</v>
      </c>
      <c r="GS94">
        <v>2.7157200000000001</v>
      </c>
      <c r="GT94">
        <v>8.5363300000000003E-2</v>
      </c>
      <c r="GU94">
        <v>8.6812299999999995E-2</v>
      </c>
      <c r="GV94">
        <v>8.3005599999999999E-2</v>
      </c>
      <c r="GW94">
        <v>7.6457499999999998E-2</v>
      </c>
      <c r="GX94">
        <v>27470.9</v>
      </c>
      <c r="GY94">
        <v>26512</v>
      </c>
      <c r="GZ94">
        <v>30576.1</v>
      </c>
      <c r="HA94">
        <v>29285.5</v>
      </c>
      <c r="HB94">
        <v>38685</v>
      </c>
      <c r="HC94">
        <v>35605.699999999997</v>
      </c>
      <c r="HD94">
        <v>46753.599999999999</v>
      </c>
      <c r="HE94">
        <v>43533.2</v>
      </c>
      <c r="HF94">
        <v>1.8357300000000001</v>
      </c>
      <c r="HG94">
        <v>1.86147</v>
      </c>
      <c r="HH94">
        <v>3.2752799999999999E-2</v>
      </c>
      <c r="HI94">
        <v>0</v>
      </c>
      <c r="HJ94">
        <v>23.4649</v>
      </c>
      <c r="HK94">
        <v>999.9</v>
      </c>
      <c r="HL94">
        <v>36.700000000000003</v>
      </c>
      <c r="HM94">
        <v>30.5</v>
      </c>
      <c r="HN94">
        <v>17.645800000000001</v>
      </c>
      <c r="HO94">
        <v>63.166899999999998</v>
      </c>
      <c r="HP94">
        <v>17.936699999999998</v>
      </c>
      <c r="HQ94">
        <v>1</v>
      </c>
      <c r="HR94">
        <v>0.13292399999999999</v>
      </c>
      <c r="HS94">
        <v>1.9790399999999999</v>
      </c>
      <c r="HT94">
        <v>20.205500000000001</v>
      </c>
      <c r="HU94">
        <v>5.2378099999999996</v>
      </c>
      <c r="HV94">
        <v>11.974500000000001</v>
      </c>
      <c r="HW94">
        <v>4.9726499999999998</v>
      </c>
      <c r="HX94">
        <v>3.2909999999999999</v>
      </c>
      <c r="HY94">
        <v>9999</v>
      </c>
      <c r="HZ94">
        <v>9999</v>
      </c>
      <c r="IA94">
        <v>9999</v>
      </c>
      <c r="IB94">
        <v>999.9</v>
      </c>
      <c r="IC94">
        <v>4.9729099999999997</v>
      </c>
      <c r="ID94">
        <v>1.8772899999999999</v>
      </c>
      <c r="IE94">
        <v>1.8753899999999999</v>
      </c>
      <c r="IF94">
        <v>1.8782000000000001</v>
      </c>
      <c r="IG94">
        <v>1.8749</v>
      </c>
      <c r="IH94">
        <v>1.8785099999999999</v>
      </c>
      <c r="II94">
        <v>1.87561</v>
      </c>
      <c r="IJ94">
        <v>1.8767499999999999</v>
      </c>
      <c r="IK94">
        <v>0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0.82699999999999996</v>
      </c>
      <c r="IY94">
        <v>0.18909999999999999</v>
      </c>
      <c r="IZ94">
        <v>6.1933660764125778E-2</v>
      </c>
      <c r="JA94">
        <v>2.058711587971173E-3</v>
      </c>
      <c r="JB94">
        <v>-6.1309262243104059E-7</v>
      </c>
      <c r="JC94">
        <v>2.6183910446277612E-10</v>
      </c>
      <c r="JD94">
        <v>3.5078820932035488E-4</v>
      </c>
      <c r="JE94">
        <v>-4.3284922736758413E-3</v>
      </c>
      <c r="JF94">
        <v>1.4186339569364E-3</v>
      </c>
      <c r="JG94">
        <v>-2.7770646863349432E-5</v>
      </c>
      <c r="JH94">
        <v>2</v>
      </c>
      <c r="JI94">
        <v>2136</v>
      </c>
      <c r="JJ94">
        <v>1</v>
      </c>
      <c r="JK94">
        <v>19</v>
      </c>
      <c r="JL94">
        <v>29361523.199999999</v>
      </c>
      <c r="JM94">
        <v>29361523.199999999</v>
      </c>
      <c r="JN94">
        <v>1.1047400000000001</v>
      </c>
      <c r="JO94">
        <v>2.5427200000000001</v>
      </c>
      <c r="JP94">
        <v>1.39893</v>
      </c>
      <c r="JQ94">
        <v>2.32544</v>
      </c>
      <c r="JR94">
        <v>1.4489700000000001</v>
      </c>
      <c r="JS94">
        <v>2.5793499999999998</v>
      </c>
      <c r="JT94">
        <v>36.363500000000002</v>
      </c>
      <c r="JU94">
        <v>23.8598</v>
      </c>
      <c r="JV94">
        <v>18</v>
      </c>
      <c r="JW94">
        <v>484.23500000000001</v>
      </c>
      <c r="JX94">
        <v>471.48200000000003</v>
      </c>
      <c r="JY94">
        <v>21.698</v>
      </c>
      <c r="JZ94">
        <v>28.9072</v>
      </c>
      <c r="KA94">
        <v>29.9999</v>
      </c>
      <c r="KB94">
        <v>28.6844</v>
      </c>
      <c r="KC94">
        <v>28.768000000000001</v>
      </c>
      <c r="KD94">
        <v>22.1465</v>
      </c>
      <c r="KE94">
        <v>21.7285</v>
      </c>
      <c r="KF94">
        <v>62.193600000000004</v>
      </c>
      <c r="KG94">
        <v>21.697800000000001</v>
      </c>
      <c r="KH94">
        <v>420</v>
      </c>
      <c r="KI94">
        <v>14.686299999999999</v>
      </c>
      <c r="KJ94">
        <v>101.056</v>
      </c>
      <c r="KK94">
        <v>100.11799999999999</v>
      </c>
    </row>
    <row r="95" spans="1:297" x14ac:dyDescent="0.3">
      <c r="A95">
        <v>79</v>
      </c>
      <c r="B95">
        <v>1761691519</v>
      </c>
      <c r="C95">
        <v>14069</v>
      </c>
      <c r="D95" t="s">
        <v>758</v>
      </c>
      <c r="E95" t="s">
        <v>759</v>
      </c>
      <c r="F95">
        <v>5</v>
      </c>
      <c r="G95" t="s">
        <v>735</v>
      </c>
      <c r="H95" t="s">
        <v>436</v>
      </c>
      <c r="I95">
        <v>1761691511.25</v>
      </c>
      <c r="J95">
        <f t="shared" si="100"/>
        <v>1.7102279322415489E-3</v>
      </c>
      <c r="K95">
        <f t="shared" si="101"/>
        <v>1.7102279322415488</v>
      </c>
      <c r="L95">
        <f t="shared" si="102"/>
        <v>2.5192025844447916</v>
      </c>
      <c r="M95">
        <f t="shared" si="103"/>
        <v>416.16050000000001</v>
      </c>
      <c r="N95">
        <f t="shared" si="104"/>
        <v>358.06328494131077</v>
      </c>
      <c r="O95">
        <f t="shared" si="105"/>
        <v>32.664635106343646</v>
      </c>
      <c r="P95">
        <f t="shared" si="106"/>
        <v>37.964604163204385</v>
      </c>
      <c r="Q95">
        <f t="shared" si="107"/>
        <v>8.8948117708370106E-2</v>
      </c>
      <c r="R95">
        <f t="shared" si="108"/>
        <v>2.7707913810324989</v>
      </c>
      <c r="S95">
        <f t="shared" si="109"/>
        <v>8.7391724273628929E-2</v>
      </c>
      <c r="T95">
        <f t="shared" si="110"/>
        <v>5.47573950427283E-2</v>
      </c>
      <c r="U95">
        <f t="shared" si="111"/>
        <v>243.43881975043962</v>
      </c>
      <c r="V95">
        <f t="shared" si="112"/>
        <v>25.466537669586849</v>
      </c>
      <c r="W95">
        <f t="shared" si="113"/>
        <v>25.466537669586849</v>
      </c>
      <c r="X95">
        <f t="shared" si="114"/>
        <v>3.2692011310044475</v>
      </c>
      <c r="Y95">
        <f t="shared" si="115"/>
        <v>49.841107421636117</v>
      </c>
      <c r="Z95">
        <f t="shared" si="116"/>
        <v>1.5309084776383557</v>
      </c>
      <c r="AA95">
        <f t="shared" si="117"/>
        <v>3.0715779741558982</v>
      </c>
      <c r="AB95">
        <f t="shared" si="118"/>
        <v>1.7382926533660918</v>
      </c>
      <c r="AC95">
        <f t="shared" si="119"/>
        <v>-75.421051811852308</v>
      </c>
      <c r="AD95">
        <f t="shared" si="120"/>
        <v>-156.16533840050391</v>
      </c>
      <c r="AE95">
        <f t="shared" si="121"/>
        <v>-11.915067789482869</v>
      </c>
      <c r="AF95">
        <f t="shared" si="122"/>
        <v>-6.2638251399448563E-2</v>
      </c>
      <c r="AG95">
        <f t="shared" si="123"/>
        <v>2.4876411918583203</v>
      </c>
      <c r="AH95">
        <f t="shared" si="124"/>
        <v>1.6708970566443571</v>
      </c>
      <c r="AI95">
        <f t="shared" si="125"/>
        <v>2.5192025844447916</v>
      </c>
      <c r="AJ95">
        <v>426.32025872575139</v>
      </c>
      <c r="AK95">
        <v>423.2529696969695</v>
      </c>
      <c r="AL95">
        <v>-2.496536308576939E-4</v>
      </c>
      <c r="AM95">
        <v>64.997845316365996</v>
      </c>
      <c r="AN95">
        <f t="shared" si="126"/>
        <v>1.7102279322415488</v>
      </c>
      <c r="AO95">
        <v>14.81731619856742</v>
      </c>
      <c r="AP95">
        <v>16.816437762237769</v>
      </c>
      <c r="AQ95">
        <v>2.616206455606636E-3</v>
      </c>
      <c r="AR95">
        <v>96.643177331047141</v>
      </c>
      <c r="AS95">
        <v>0</v>
      </c>
      <c r="AT95">
        <v>0</v>
      </c>
      <c r="AU95">
        <f t="shared" si="127"/>
        <v>1</v>
      </c>
      <c r="AV95">
        <f t="shared" si="128"/>
        <v>0</v>
      </c>
      <c r="AW95">
        <f t="shared" si="129"/>
        <v>48648.450924484132</v>
      </c>
      <c r="AX95" t="s">
        <v>732</v>
      </c>
      <c r="AY95">
        <v>5019.3599999999997</v>
      </c>
      <c r="AZ95">
        <v>804.81600000000003</v>
      </c>
      <c r="BA95">
        <v>1716.333776349019</v>
      </c>
      <c r="BB95">
        <f t="shared" si="130"/>
        <v>0.53108421503420933</v>
      </c>
      <c r="BC95">
        <v>-2.4194015152978432</v>
      </c>
      <c r="BD95" t="s">
        <v>760</v>
      </c>
      <c r="BE95">
        <v>5039.6400000000003</v>
      </c>
      <c r="BF95">
        <v>1344.343076923077</v>
      </c>
      <c r="BG95">
        <v>1822.6808649743371</v>
      </c>
      <c r="BH95">
        <f t="shared" si="131"/>
        <v>0.26243639094658244</v>
      </c>
      <c r="BI95">
        <v>0.5</v>
      </c>
      <c r="BJ95">
        <f t="shared" si="132"/>
        <v>1122.2424782040273</v>
      </c>
      <c r="BK95">
        <f t="shared" si="133"/>
        <v>2.5192025844447916</v>
      </c>
      <c r="BL95">
        <f t="shared" si="134"/>
        <v>147.25863287340681</v>
      </c>
      <c r="BM95">
        <f t="shared" si="135"/>
        <v>4.4006568951534385E-3</v>
      </c>
      <c r="BN95">
        <f t="shared" si="136"/>
        <v>-5.8346521691725453E-2</v>
      </c>
      <c r="BO95">
        <f t="shared" si="137"/>
        <v>827.45483752584994</v>
      </c>
      <c r="BP95" t="s">
        <v>761</v>
      </c>
      <c r="BQ95">
        <v>1007.67</v>
      </c>
      <c r="BR95">
        <f t="shared" si="138"/>
        <v>1007.67</v>
      </c>
      <c r="BS95">
        <f t="shared" si="139"/>
        <v>0.44714951511043177</v>
      </c>
      <c r="BT95">
        <f t="shared" si="140"/>
        <v>0.58690970710718304</v>
      </c>
      <c r="BU95">
        <f t="shared" si="141"/>
        <v>-0.15006705884306665</v>
      </c>
      <c r="BV95">
        <f t="shared" si="142"/>
        <v>0.46994233174884192</v>
      </c>
      <c r="BW95">
        <f t="shared" si="143"/>
        <v>-0.11667033971765121</v>
      </c>
      <c r="BX95">
        <f t="shared" si="144"/>
        <v>0.43992587510794728</v>
      </c>
      <c r="BY95">
        <f t="shared" si="145"/>
        <v>0.56007412489205266</v>
      </c>
      <c r="BZ95">
        <v>516</v>
      </c>
      <c r="CA95">
        <v>290.00000000000011</v>
      </c>
      <c r="CB95">
        <v>1763.77</v>
      </c>
      <c r="CC95">
        <v>255</v>
      </c>
      <c r="CD95">
        <v>5039.6400000000003</v>
      </c>
      <c r="CE95">
        <v>1763.45</v>
      </c>
      <c r="CF95">
        <v>0.32</v>
      </c>
      <c r="CG95">
        <v>300.00000000000011</v>
      </c>
      <c r="CH95">
        <v>23.9</v>
      </c>
      <c r="CI95">
        <v>1822.6808649743371</v>
      </c>
      <c r="CJ95">
        <v>1.3989887949886231</v>
      </c>
      <c r="CK95">
        <v>-29.851841241485982</v>
      </c>
      <c r="CL95">
        <v>0.61674524802824571</v>
      </c>
      <c r="CM95">
        <v>0.98818951720615111</v>
      </c>
      <c r="CN95">
        <v>-3.9263050055617357E-3</v>
      </c>
      <c r="CO95">
        <v>289.99999999999989</v>
      </c>
      <c r="CP95">
        <v>1760.89</v>
      </c>
      <c r="CQ95">
        <v>755</v>
      </c>
      <c r="CR95">
        <v>5038.97</v>
      </c>
      <c r="CS95">
        <v>1763.44</v>
      </c>
      <c r="CT95">
        <v>-2.5499999999999998</v>
      </c>
      <c r="DH95">
        <f t="shared" si="146"/>
        <v>1366.1319333333331</v>
      </c>
      <c r="DI95">
        <f t="shared" si="147"/>
        <v>1122.2424782040273</v>
      </c>
      <c r="DJ95">
        <f t="shared" si="148"/>
        <v>0.82147444973764672</v>
      </c>
      <c r="DK95">
        <f t="shared" si="149"/>
        <v>0.17819568799365815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1761691511.25</v>
      </c>
      <c r="DR95">
        <v>416.16050000000001</v>
      </c>
      <c r="DS95">
        <v>419.98009999999999</v>
      </c>
      <c r="DT95">
        <v>16.781516666666661</v>
      </c>
      <c r="DU95">
        <v>14.810090000000001</v>
      </c>
      <c r="DV95">
        <v>415.33060000000012</v>
      </c>
      <c r="DW95">
        <v>16.589343333333328</v>
      </c>
      <c r="DX95">
        <v>500.00040000000013</v>
      </c>
      <c r="DY95">
        <v>91.187813333333324</v>
      </c>
      <c r="DZ95">
        <v>3.8057846666666673E-2</v>
      </c>
      <c r="EA95">
        <v>24.42110666666667</v>
      </c>
      <c r="EB95">
        <v>23.967996666666672</v>
      </c>
      <c r="EC95">
        <v>999.9000000000002</v>
      </c>
      <c r="ED95">
        <v>0</v>
      </c>
      <c r="EE95">
        <v>0</v>
      </c>
      <c r="EF95">
        <v>10002.75</v>
      </c>
      <c r="EG95">
        <v>0</v>
      </c>
      <c r="EH95">
        <v>1066.121333333333</v>
      </c>
      <c r="EI95">
        <v>-3.8196276666666669</v>
      </c>
      <c r="EJ95">
        <v>423.26363333333319</v>
      </c>
      <c r="EK95">
        <v>426.2936666666667</v>
      </c>
      <c r="EL95">
        <v>1.9714236666666669</v>
      </c>
      <c r="EM95">
        <v>419.98009999999999</v>
      </c>
      <c r="EN95">
        <v>14.810090000000001</v>
      </c>
      <c r="EO95">
        <v>1.53027</v>
      </c>
      <c r="EP95">
        <v>1.3505003333333341</v>
      </c>
      <c r="EQ95">
        <v>13.27399333333333</v>
      </c>
      <c r="ER95">
        <v>11.37294333333333</v>
      </c>
      <c r="ES95">
        <v>300.01060000000001</v>
      </c>
      <c r="ET95">
        <v>0.90003576666666663</v>
      </c>
      <c r="EU95">
        <v>9.9964053333333372E-2</v>
      </c>
      <c r="EV95">
        <v>0</v>
      </c>
      <c r="EW95">
        <v>1344.3409999999999</v>
      </c>
      <c r="EX95">
        <v>5.0005600000000019</v>
      </c>
      <c r="EY95">
        <v>4091.3430000000012</v>
      </c>
      <c r="EZ95">
        <v>2492.529</v>
      </c>
      <c r="FA95">
        <v>35.526799999999987</v>
      </c>
      <c r="FB95">
        <v>39.068433333333331</v>
      </c>
      <c r="FC95">
        <v>37.226866666666659</v>
      </c>
      <c r="FD95">
        <v>38.185199999999988</v>
      </c>
      <c r="FE95">
        <v>37.489299999999993</v>
      </c>
      <c r="FF95">
        <v>265.51966666666681</v>
      </c>
      <c r="FG95">
        <v>29.49</v>
      </c>
      <c r="FH95">
        <v>0</v>
      </c>
      <c r="FI95">
        <v>127.2000000476837</v>
      </c>
      <c r="FJ95">
        <v>0</v>
      </c>
      <c r="FK95">
        <v>1344.343076923077</v>
      </c>
      <c r="FL95">
        <v>2.7535042622750798</v>
      </c>
      <c r="FM95">
        <v>3.285470049935264</v>
      </c>
      <c r="FN95">
        <v>4091.2876923076919</v>
      </c>
      <c r="FO95">
        <v>15</v>
      </c>
      <c r="FP95">
        <v>0</v>
      </c>
      <c r="FQ95" t="s">
        <v>441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-3.7979204878048769</v>
      </c>
      <c r="GD95">
        <v>-0.50207205574912672</v>
      </c>
      <c r="GE95">
        <v>5.37970877329111E-2</v>
      </c>
      <c r="GF95">
        <v>0</v>
      </c>
      <c r="GG95">
        <v>1344.204411764706</v>
      </c>
      <c r="GH95">
        <v>3.2065698987984801</v>
      </c>
      <c r="GI95">
        <v>0.36525729188251271</v>
      </c>
      <c r="GJ95">
        <v>0</v>
      </c>
      <c r="GK95">
        <v>1.972878780487805</v>
      </c>
      <c r="GL95">
        <v>5.4965435540067213E-2</v>
      </c>
      <c r="GM95">
        <v>1.3682938137467611E-2</v>
      </c>
      <c r="GN95">
        <v>1</v>
      </c>
      <c r="GO95">
        <v>1</v>
      </c>
      <c r="GP95">
        <v>3</v>
      </c>
      <c r="GQ95" t="s">
        <v>442</v>
      </c>
      <c r="GR95">
        <v>3.1292499999999999</v>
      </c>
      <c r="GS95">
        <v>2.7157399999999998</v>
      </c>
      <c r="GT95">
        <v>8.5659100000000002E-2</v>
      </c>
      <c r="GU95">
        <v>8.6827299999999996E-2</v>
      </c>
      <c r="GV95">
        <v>8.3709599999999995E-2</v>
      </c>
      <c r="GW95">
        <v>7.7105199999999999E-2</v>
      </c>
      <c r="GX95">
        <v>27464.3</v>
      </c>
      <c r="GY95">
        <v>26512.1</v>
      </c>
      <c r="GZ95">
        <v>30578.5</v>
      </c>
      <c r="HA95">
        <v>29286</v>
      </c>
      <c r="HB95">
        <v>38657.699999999997</v>
      </c>
      <c r="HC95">
        <v>35580.800000000003</v>
      </c>
      <c r="HD95">
        <v>46756.9</v>
      </c>
      <c r="HE95">
        <v>43533.7</v>
      </c>
      <c r="HF95">
        <v>1.83582</v>
      </c>
      <c r="HG95">
        <v>1.86225</v>
      </c>
      <c r="HH95">
        <v>1.7870199999999999E-2</v>
      </c>
      <c r="HI95">
        <v>0</v>
      </c>
      <c r="HJ95">
        <v>23.669599999999999</v>
      </c>
      <c r="HK95">
        <v>999.9</v>
      </c>
      <c r="HL95">
        <v>36.799999999999997</v>
      </c>
      <c r="HM95">
        <v>30.5</v>
      </c>
      <c r="HN95">
        <v>17.6936</v>
      </c>
      <c r="HO95">
        <v>63.666899999999998</v>
      </c>
      <c r="HP95">
        <v>17.9527</v>
      </c>
      <c r="HQ95">
        <v>1</v>
      </c>
      <c r="HR95">
        <v>0.12937000000000001</v>
      </c>
      <c r="HS95">
        <v>1.39371</v>
      </c>
      <c r="HT95">
        <v>20.213799999999999</v>
      </c>
      <c r="HU95">
        <v>5.2375100000000003</v>
      </c>
      <c r="HV95">
        <v>11.974</v>
      </c>
      <c r="HW95">
        <v>4.9717500000000001</v>
      </c>
      <c r="HX95">
        <v>3.2909999999999999</v>
      </c>
      <c r="HY95">
        <v>9999</v>
      </c>
      <c r="HZ95">
        <v>9999</v>
      </c>
      <c r="IA95">
        <v>9999</v>
      </c>
      <c r="IB95">
        <v>999.9</v>
      </c>
      <c r="IC95">
        <v>4.9729099999999997</v>
      </c>
      <c r="ID95">
        <v>1.87731</v>
      </c>
      <c r="IE95">
        <v>1.8754200000000001</v>
      </c>
      <c r="IF95">
        <v>1.87822</v>
      </c>
      <c r="IG95">
        <v>1.87497</v>
      </c>
      <c r="IH95">
        <v>1.8785099999999999</v>
      </c>
      <c r="II95">
        <v>1.87561</v>
      </c>
      <c r="IJ95">
        <v>1.8768199999999999</v>
      </c>
      <c r="IK95">
        <v>0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0.83</v>
      </c>
      <c r="IY95">
        <v>0.1928</v>
      </c>
      <c r="IZ95">
        <v>6.1933660764125778E-2</v>
      </c>
      <c r="JA95">
        <v>2.058711587971173E-3</v>
      </c>
      <c r="JB95">
        <v>-6.1309262243104059E-7</v>
      </c>
      <c r="JC95">
        <v>2.6183910446277612E-10</v>
      </c>
      <c r="JD95">
        <v>3.5078820932035488E-4</v>
      </c>
      <c r="JE95">
        <v>-4.3284922736758413E-3</v>
      </c>
      <c r="JF95">
        <v>1.4186339569364E-3</v>
      </c>
      <c r="JG95">
        <v>-2.7770646863349432E-5</v>
      </c>
      <c r="JH95">
        <v>2</v>
      </c>
      <c r="JI95">
        <v>2136</v>
      </c>
      <c r="JJ95">
        <v>1</v>
      </c>
      <c r="JK95">
        <v>19</v>
      </c>
      <c r="JL95">
        <v>29361525.300000001</v>
      </c>
      <c r="JM95">
        <v>29361525.300000001</v>
      </c>
      <c r="JN95">
        <v>1.1047400000000001</v>
      </c>
      <c r="JO95">
        <v>2.5415000000000001</v>
      </c>
      <c r="JP95">
        <v>1.39893</v>
      </c>
      <c r="JQ95">
        <v>2.32544</v>
      </c>
      <c r="JR95">
        <v>1.4489700000000001</v>
      </c>
      <c r="JS95">
        <v>2.6098599999999998</v>
      </c>
      <c r="JT95">
        <v>36.387099999999997</v>
      </c>
      <c r="JU95">
        <v>23.886099999999999</v>
      </c>
      <c r="JV95">
        <v>18</v>
      </c>
      <c r="JW95">
        <v>484.07600000000002</v>
      </c>
      <c r="JX95">
        <v>471.73700000000002</v>
      </c>
      <c r="JY95">
        <v>22.510999999999999</v>
      </c>
      <c r="JZ95">
        <v>28.8751</v>
      </c>
      <c r="KA95">
        <v>29.999700000000001</v>
      </c>
      <c r="KB95">
        <v>28.651900000000001</v>
      </c>
      <c r="KC95">
        <v>28.7364</v>
      </c>
      <c r="KD95">
        <v>22.1478</v>
      </c>
      <c r="KE95">
        <v>20.8627</v>
      </c>
      <c r="KF95">
        <v>62.193600000000004</v>
      </c>
      <c r="KG95">
        <v>22.5459</v>
      </c>
      <c r="KH95">
        <v>420</v>
      </c>
      <c r="KI95">
        <v>14.825799999999999</v>
      </c>
      <c r="KJ95">
        <v>101.063</v>
      </c>
      <c r="KK95">
        <v>100.12</v>
      </c>
    </row>
    <row r="96" spans="1:297" x14ac:dyDescent="0.3">
      <c r="A96">
        <v>80</v>
      </c>
      <c r="B96">
        <v>1761691588.5</v>
      </c>
      <c r="C96">
        <v>14138.5</v>
      </c>
      <c r="D96" t="s">
        <v>762</v>
      </c>
      <c r="E96" t="s">
        <v>763</v>
      </c>
      <c r="F96">
        <v>5</v>
      </c>
      <c r="G96" t="s">
        <v>735</v>
      </c>
      <c r="H96" t="s">
        <v>436</v>
      </c>
      <c r="I96">
        <v>1761691580.75</v>
      </c>
      <c r="J96">
        <f t="shared" si="100"/>
        <v>1.7310673703262E-3</v>
      </c>
      <c r="K96">
        <f t="shared" si="101"/>
        <v>1.7310673703262001</v>
      </c>
      <c r="L96">
        <f t="shared" si="102"/>
        <v>0.90779526756482887</v>
      </c>
      <c r="M96">
        <f t="shared" si="103"/>
        <v>418.017</v>
      </c>
      <c r="N96">
        <f t="shared" si="104"/>
        <v>389.51607090640596</v>
      </c>
      <c r="O96">
        <f t="shared" si="105"/>
        <v>35.535857762858562</v>
      </c>
      <c r="P96">
        <f t="shared" si="106"/>
        <v>38.136019959048497</v>
      </c>
      <c r="Q96">
        <f t="shared" si="107"/>
        <v>9.1617958777934952E-2</v>
      </c>
      <c r="R96">
        <f t="shared" si="108"/>
        <v>2.7692000575281104</v>
      </c>
      <c r="S96">
        <f t="shared" si="109"/>
        <v>8.9966735003096945E-2</v>
      </c>
      <c r="T96">
        <f t="shared" si="110"/>
        <v>5.6375086476695369E-2</v>
      </c>
      <c r="U96">
        <f t="shared" si="111"/>
        <v>216.66010673114641</v>
      </c>
      <c r="V96">
        <f t="shared" si="112"/>
        <v>25.357652123469716</v>
      </c>
      <c r="W96">
        <f t="shared" si="113"/>
        <v>25.357652123469716</v>
      </c>
      <c r="X96">
        <f t="shared" si="114"/>
        <v>3.2481125207813948</v>
      </c>
      <c r="Y96">
        <f t="shared" si="115"/>
        <v>49.908580807255063</v>
      </c>
      <c r="Z96">
        <f t="shared" si="116"/>
        <v>1.5387760025220913</v>
      </c>
      <c r="AA96">
        <f t="shared" si="117"/>
        <v>3.0831892585060321</v>
      </c>
      <c r="AB96">
        <f t="shared" si="118"/>
        <v>1.7093365182593034</v>
      </c>
      <c r="AC96">
        <f t="shared" si="119"/>
        <v>-76.34007103138542</v>
      </c>
      <c r="AD96">
        <f t="shared" si="120"/>
        <v>-130.41033988148573</v>
      </c>
      <c r="AE96">
        <f t="shared" si="121"/>
        <v>-9.9534288898351999</v>
      </c>
      <c r="AF96">
        <f t="shared" si="122"/>
        <v>-4.3733071559955761E-2</v>
      </c>
      <c r="AG96">
        <f t="shared" si="123"/>
        <v>0.92349658672652823</v>
      </c>
      <c r="AH96">
        <f t="shared" si="124"/>
        <v>1.7271870196829378</v>
      </c>
      <c r="AI96">
        <f t="shared" si="125"/>
        <v>0.90779526756482887</v>
      </c>
      <c r="AJ96">
        <v>426.30901461360588</v>
      </c>
      <c r="AK96">
        <v>425.20325454545429</v>
      </c>
      <c r="AL96">
        <v>-1.907933566739886E-5</v>
      </c>
      <c r="AM96">
        <v>64.997845316365996</v>
      </c>
      <c r="AN96">
        <f t="shared" si="126"/>
        <v>1.7310673703262001</v>
      </c>
      <c r="AO96">
        <v>14.829396246102769</v>
      </c>
      <c r="AP96">
        <v>16.871629370629378</v>
      </c>
      <c r="AQ96">
        <v>2.6003496554970209E-5</v>
      </c>
      <c r="AR96">
        <v>96.643177331047141</v>
      </c>
      <c r="AS96">
        <v>0</v>
      </c>
      <c r="AT96">
        <v>0</v>
      </c>
      <c r="AU96">
        <f t="shared" si="127"/>
        <v>1</v>
      </c>
      <c r="AV96">
        <f t="shared" si="128"/>
        <v>0</v>
      </c>
      <c r="AW96">
        <f t="shared" si="129"/>
        <v>48594.483344907931</v>
      </c>
      <c r="AX96" t="s">
        <v>732</v>
      </c>
      <c r="AY96">
        <v>5019.3599999999997</v>
      </c>
      <c r="AZ96">
        <v>804.81600000000003</v>
      </c>
      <c r="BA96">
        <v>1716.333776349019</v>
      </c>
      <c r="BB96">
        <f t="shared" si="130"/>
        <v>0.53108421503420933</v>
      </c>
      <c r="BC96">
        <v>-2.4194015152978432</v>
      </c>
      <c r="BD96" t="s">
        <v>764</v>
      </c>
      <c r="BE96">
        <v>5025.45</v>
      </c>
      <c r="BF96">
        <v>1214.0347999999999</v>
      </c>
      <c r="BG96">
        <v>1835.717548160944</v>
      </c>
      <c r="BH96">
        <f t="shared" si="131"/>
        <v>0.33865926094336107</v>
      </c>
      <c r="BI96">
        <v>0.5</v>
      </c>
      <c r="BJ96">
        <f t="shared" si="132"/>
        <v>999.02606814221735</v>
      </c>
      <c r="BK96">
        <f t="shared" si="133"/>
        <v>0.90779526756482887</v>
      </c>
      <c r="BL96">
        <f t="shared" si="134"/>
        <v>169.16471495009759</v>
      </c>
      <c r="BM96">
        <f t="shared" si="135"/>
        <v>3.3304404048734252E-3</v>
      </c>
      <c r="BN96">
        <f t="shared" si="136"/>
        <v>-6.5033845719634775E-2</v>
      </c>
      <c r="BO96">
        <f t="shared" si="137"/>
        <v>830.13117973447936</v>
      </c>
      <c r="BP96" t="s">
        <v>765</v>
      </c>
      <c r="BQ96">
        <v>987.2</v>
      </c>
      <c r="BR96">
        <f t="shared" si="138"/>
        <v>987.2</v>
      </c>
      <c r="BS96">
        <f t="shared" si="139"/>
        <v>0.46222663666913499</v>
      </c>
      <c r="BT96">
        <f t="shared" si="140"/>
        <v>0.73266928834691047</v>
      </c>
      <c r="BU96">
        <f t="shared" si="141"/>
        <v>-0.16373370111821411</v>
      </c>
      <c r="BV96">
        <f t="shared" si="142"/>
        <v>0.60304764239609743</v>
      </c>
      <c r="BW96">
        <f t="shared" si="143"/>
        <v>-0.13097251080511363</v>
      </c>
      <c r="BX96">
        <f t="shared" si="144"/>
        <v>0.59577461985115265</v>
      </c>
      <c r="BY96">
        <f t="shared" si="145"/>
        <v>0.40422538014884735</v>
      </c>
      <c r="BZ96">
        <v>518</v>
      </c>
      <c r="CA96">
        <v>290.00000000000011</v>
      </c>
      <c r="CB96">
        <v>1772.1</v>
      </c>
      <c r="CC96">
        <v>225</v>
      </c>
      <c r="CD96">
        <v>5025.45</v>
      </c>
      <c r="CE96">
        <v>1772.16</v>
      </c>
      <c r="CF96">
        <v>-0.06</v>
      </c>
      <c r="CG96">
        <v>300.00000000000011</v>
      </c>
      <c r="CH96">
        <v>23.9</v>
      </c>
      <c r="CI96">
        <v>1835.717548160944</v>
      </c>
      <c r="CJ96">
        <v>1.6571096145332</v>
      </c>
      <c r="CK96">
        <v>-31.943009356273748</v>
      </c>
      <c r="CL96">
        <v>0.72491238063559904</v>
      </c>
      <c r="CM96">
        <v>0.98578458861694696</v>
      </c>
      <c r="CN96">
        <v>-4.0388478309232546E-3</v>
      </c>
      <c r="CO96">
        <v>289.99999999999989</v>
      </c>
      <c r="CP96">
        <v>1769.74</v>
      </c>
      <c r="CQ96">
        <v>665</v>
      </c>
      <c r="CR96">
        <v>5025.05</v>
      </c>
      <c r="CS96">
        <v>1772.15</v>
      </c>
      <c r="CT96">
        <v>-2.41</v>
      </c>
      <c r="DH96">
        <f t="shared" si="146"/>
        <v>1216.1735333333331</v>
      </c>
      <c r="DI96">
        <f t="shared" si="147"/>
        <v>999.02606814221735</v>
      </c>
      <c r="DJ96">
        <f t="shared" si="148"/>
        <v>0.82145026245066355</v>
      </c>
      <c r="DK96">
        <f t="shared" si="149"/>
        <v>0.17814900652978069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1761691580.75</v>
      </c>
      <c r="DR96">
        <v>418.017</v>
      </c>
      <c r="DS96">
        <v>419.99176666666671</v>
      </c>
      <c r="DT96">
        <v>16.866849999999999</v>
      </c>
      <c r="DU96">
        <v>14.829000000000001</v>
      </c>
      <c r="DV96">
        <v>417.18396666666672</v>
      </c>
      <c r="DW96">
        <v>16.67302333333333</v>
      </c>
      <c r="DX96">
        <v>499.95479999999992</v>
      </c>
      <c r="DY96">
        <v>91.192676666666657</v>
      </c>
      <c r="DZ96">
        <v>3.8110500000000012E-2</v>
      </c>
      <c r="EA96">
        <v>24.484133333333329</v>
      </c>
      <c r="EB96">
        <v>23.937139999999999</v>
      </c>
      <c r="EC96">
        <v>999.9000000000002</v>
      </c>
      <c r="ED96">
        <v>0</v>
      </c>
      <c r="EE96">
        <v>0</v>
      </c>
      <c r="EF96">
        <v>9992.8333333333339</v>
      </c>
      <c r="EG96">
        <v>0</v>
      </c>
      <c r="EH96">
        <v>1066.161333333333</v>
      </c>
      <c r="EI96">
        <v>-1.974774</v>
      </c>
      <c r="EJ96">
        <v>425.18849999999998</v>
      </c>
      <c r="EK96">
        <v>426.3135666666667</v>
      </c>
      <c r="EL96">
        <v>2.0378476666666669</v>
      </c>
      <c r="EM96">
        <v>419.99176666666671</v>
      </c>
      <c r="EN96">
        <v>14.829000000000001</v>
      </c>
      <c r="EO96">
        <v>1.538134333333333</v>
      </c>
      <c r="EP96">
        <v>1.3522966666666669</v>
      </c>
      <c r="EQ96">
        <v>13.35258333333333</v>
      </c>
      <c r="ER96">
        <v>11.39303</v>
      </c>
      <c r="ES96">
        <v>150.01220000000001</v>
      </c>
      <c r="ET96">
        <v>0.90000043333333346</v>
      </c>
      <c r="EU96">
        <v>9.9999626666666688E-2</v>
      </c>
      <c r="EV96">
        <v>0</v>
      </c>
      <c r="EW96">
        <v>1214.043333333334</v>
      </c>
      <c r="EX96">
        <v>5.0005600000000019</v>
      </c>
      <c r="EY96">
        <v>1931.8226666666669</v>
      </c>
      <c r="EZ96">
        <v>1225.184</v>
      </c>
      <c r="FA96">
        <v>35.574766666666662</v>
      </c>
      <c r="FB96">
        <v>38.86869999999999</v>
      </c>
      <c r="FC96">
        <v>37.02686666666667</v>
      </c>
      <c r="FD96">
        <v>38.006200000000007</v>
      </c>
      <c r="FE96">
        <v>37.205899999999993</v>
      </c>
      <c r="FF96">
        <v>130.5096666666667</v>
      </c>
      <c r="FG96">
        <v>14.504</v>
      </c>
      <c r="FH96">
        <v>0</v>
      </c>
      <c r="FI96">
        <v>67.200000047683716</v>
      </c>
      <c r="FJ96">
        <v>0</v>
      </c>
      <c r="FK96">
        <v>1214.0347999999999</v>
      </c>
      <c r="FL96">
        <v>-0.92692307238359795</v>
      </c>
      <c r="FM96">
        <v>-1.97307683201902</v>
      </c>
      <c r="FN96">
        <v>1931.8235999999999</v>
      </c>
      <c r="FO96">
        <v>15</v>
      </c>
      <c r="FP96">
        <v>0</v>
      </c>
      <c r="FQ96" t="s">
        <v>441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-2.0073782926829269</v>
      </c>
      <c r="GD96">
        <v>0.48004975609755979</v>
      </c>
      <c r="GE96">
        <v>6.2765591315486133E-2</v>
      </c>
      <c r="GF96">
        <v>1</v>
      </c>
      <c r="GG96">
        <v>1214.0291176470589</v>
      </c>
      <c r="GH96">
        <v>-0.44660045704836082</v>
      </c>
      <c r="GI96">
        <v>0.23324271184704251</v>
      </c>
      <c r="GJ96">
        <v>1</v>
      </c>
      <c r="GK96">
        <v>2.0360068292682931</v>
      </c>
      <c r="GL96">
        <v>3.5873728222991619E-2</v>
      </c>
      <c r="GM96">
        <v>3.5893877723933679E-3</v>
      </c>
      <c r="GN96">
        <v>1</v>
      </c>
      <c r="GO96">
        <v>3</v>
      </c>
      <c r="GP96">
        <v>3</v>
      </c>
      <c r="GQ96" t="s">
        <v>470</v>
      </c>
      <c r="GR96">
        <v>3.1290800000000001</v>
      </c>
      <c r="GS96">
        <v>2.71597</v>
      </c>
      <c r="GT96">
        <v>8.5962499999999997E-2</v>
      </c>
      <c r="GU96">
        <v>8.6836300000000005E-2</v>
      </c>
      <c r="GV96">
        <v>8.3907099999999998E-2</v>
      </c>
      <c r="GW96">
        <v>7.7149400000000007E-2</v>
      </c>
      <c r="GX96">
        <v>27455.4</v>
      </c>
      <c r="GY96">
        <v>26512.1</v>
      </c>
      <c r="GZ96">
        <v>30578.7</v>
      </c>
      <c r="HA96">
        <v>29286.2</v>
      </c>
      <c r="HB96">
        <v>38649.9</v>
      </c>
      <c r="HC96">
        <v>35579.4</v>
      </c>
      <c r="HD96">
        <v>46757.599999999999</v>
      </c>
      <c r="HE96">
        <v>43534.1</v>
      </c>
      <c r="HF96">
        <v>1.8359000000000001</v>
      </c>
      <c r="HG96">
        <v>1.8628</v>
      </c>
      <c r="HH96">
        <v>1.22115E-2</v>
      </c>
      <c r="HI96">
        <v>0</v>
      </c>
      <c r="HJ96">
        <v>23.758099999999999</v>
      </c>
      <c r="HK96">
        <v>999.9</v>
      </c>
      <c r="HL96">
        <v>36.799999999999997</v>
      </c>
      <c r="HM96">
        <v>30.6</v>
      </c>
      <c r="HN96">
        <v>17.794699999999999</v>
      </c>
      <c r="HO96">
        <v>63.546900000000001</v>
      </c>
      <c r="HP96">
        <v>17.964700000000001</v>
      </c>
      <c r="HQ96">
        <v>1</v>
      </c>
      <c r="HR96">
        <v>0.12766</v>
      </c>
      <c r="HS96">
        <v>0.95447700000000002</v>
      </c>
      <c r="HT96">
        <v>20.2182</v>
      </c>
      <c r="HU96">
        <v>5.2379600000000002</v>
      </c>
      <c r="HV96">
        <v>11.9742</v>
      </c>
      <c r="HW96">
        <v>4.9728500000000002</v>
      </c>
      <c r="HX96">
        <v>3.2909999999999999</v>
      </c>
      <c r="HY96">
        <v>9999</v>
      </c>
      <c r="HZ96">
        <v>9999</v>
      </c>
      <c r="IA96">
        <v>9999</v>
      </c>
      <c r="IB96">
        <v>999.9</v>
      </c>
      <c r="IC96">
        <v>4.9729200000000002</v>
      </c>
      <c r="ID96">
        <v>1.8773500000000001</v>
      </c>
      <c r="IE96">
        <v>1.87544</v>
      </c>
      <c r="IF96">
        <v>1.8782300000000001</v>
      </c>
      <c r="IG96">
        <v>1.87496</v>
      </c>
      <c r="IH96">
        <v>1.87852</v>
      </c>
      <c r="II96">
        <v>1.87564</v>
      </c>
      <c r="IJ96">
        <v>1.8768199999999999</v>
      </c>
      <c r="IK96">
        <v>0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0.83299999999999996</v>
      </c>
      <c r="IY96">
        <v>0.19400000000000001</v>
      </c>
      <c r="IZ96">
        <v>6.1933660764125778E-2</v>
      </c>
      <c r="JA96">
        <v>2.058711587971173E-3</v>
      </c>
      <c r="JB96">
        <v>-6.1309262243104059E-7</v>
      </c>
      <c r="JC96">
        <v>2.6183910446277612E-10</v>
      </c>
      <c r="JD96">
        <v>3.5078820932035488E-4</v>
      </c>
      <c r="JE96">
        <v>-4.3284922736758413E-3</v>
      </c>
      <c r="JF96">
        <v>1.4186339569364E-3</v>
      </c>
      <c r="JG96">
        <v>-2.7770646863349432E-5</v>
      </c>
      <c r="JH96">
        <v>2</v>
      </c>
      <c r="JI96">
        <v>2136</v>
      </c>
      <c r="JJ96">
        <v>1</v>
      </c>
      <c r="JK96">
        <v>19</v>
      </c>
      <c r="JL96">
        <v>29361526.5</v>
      </c>
      <c r="JM96">
        <v>29361526.5</v>
      </c>
      <c r="JN96">
        <v>1.1047400000000001</v>
      </c>
      <c r="JO96">
        <v>2.5439500000000002</v>
      </c>
      <c r="JP96">
        <v>1.39893</v>
      </c>
      <c r="JQ96">
        <v>2.32544</v>
      </c>
      <c r="JR96">
        <v>1.4489700000000001</v>
      </c>
      <c r="JS96">
        <v>2.5463900000000002</v>
      </c>
      <c r="JT96">
        <v>36.387099999999997</v>
      </c>
      <c r="JU96">
        <v>23.886099999999999</v>
      </c>
      <c r="JV96">
        <v>18</v>
      </c>
      <c r="JW96">
        <v>484.02300000000002</v>
      </c>
      <c r="JX96">
        <v>471.97300000000001</v>
      </c>
      <c r="JY96">
        <v>23.15</v>
      </c>
      <c r="JZ96">
        <v>28.865100000000002</v>
      </c>
      <c r="KA96">
        <v>30.0001</v>
      </c>
      <c r="KB96">
        <v>28.637599999999999</v>
      </c>
      <c r="KC96">
        <v>28.7209</v>
      </c>
      <c r="KD96">
        <v>22.147500000000001</v>
      </c>
      <c r="KE96">
        <v>20.8627</v>
      </c>
      <c r="KF96">
        <v>62.193600000000004</v>
      </c>
      <c r="KG96">
        <v>23.147600000000001</v>
      </c>
      <c r="KH96">
        <v>420</v>
      </c>
      <c r="KI96">
        <v>14.8178</v>
      </c>
      <c r="KJ96">
        <v>101.06399999999999</v>
      </c>
      <c r="KK96">
        <v>100.121</v>
      </c>
    </row>
    <row r="97" spans="1:297" x14ac:dyDescent="0.3">
      <c r="A97">
        <v>81</v>
      </c>
      <c r="B97">
        <v>1761691660</v>
      </c>
      <c r="C97">
        <v>14210</v>
      </c>
      <c r="D97" t="s">
        <v>766</v>
      </c>
      <c r="E97" t="s">
        <v>767</v>
      </c>
      <c r="F97">
        <v>5</v>
      </c>
      <c r="G97" t="s">
        <v>735</v>
      </c>
      <c r="H97" t="s">
        <v>436</v>
      </c>
      <c r="I97">
        <v>1761691652.25</v>
      </c>
      <c r="J97">
        <f t="shared" si="100"/>
        <v>1.7177014531271771E-3</v>
      </c>
      <c r="K97">
        <f t="shared" si="101"/>
        <v>1.717701453127177</v>
      </c>
      <c r="L97">
        <f t="shared" si="102"/>
        <v>-0.89820530062312687</v>
      </c>
      <c r="M97">
        <f t="shared" si="103"/>
        <v>420.11673333333329</v>
      </c>
      <c r="N97">
        <f t="shared" si="104"/>
        <v>423.21702222144143</v>
      </c>
      <c r="O97">
        <f t="shared" si="105"/>
        <v>38.610044904352378</v>
      </c>
      <c r="P97">
        <f t="shared" si="106"/>
        <v>38.32720587165467</v>
      </c>
      <c r="Q97">
        <f t="shared" si="107"/>
        <v>9.1153601594597636E-2</v>
      </c>
      <c r="R97">
        <f t="shared" si="108"/>
        <v>2.7698892974604052</v>
      </c>
      <c r="S97">
        <f t="shared" si="109"/>
        <v>8.9519311494828904E-2</v>
      </c>
      <c r="T97">
        <f t="shared" si="110"/>
        <v>5.6093963564611243E-2</v>
      </c>
      <c r="U97">
        <f t="shared" si="111"/>
        <v>198.63179314214614</v>
      </c>
      <c r="V97">
        <f t="shared" si="112"/>
        <v>25.377038409580475</v>
      </c>
      <c r="W97">
        <f t="shared" si="113"/>
        <v>25.377038409580475</v>
      </c>
      <c r="X97">
        <f t="shared" si="114"/>
        <v>3.2518584754505646</v>
      </c>
      <c r="Y97">
        <f t="shared" si="115"/>
        <v>49.804178849010007</v>
      </c>
      <c r="Z97">
        <f t="shared" si="116"/>
        <v>1.5473782424891167</v>
      </c>
      <c r="AA97">
        <f t="shared" si="117"/>
        <v>3.1069245156721927</v>
      </c>
      <c r="AB97">
        <f t="shared" si="118"/>
        <v>1.7044802329614479</v>
      </c>
      <c r="AC97">
        <f t="shared" si="119"/>
        <v>-75.750634082908505</v>
      </c>
      <c r="AD97">
        <f t="shared" si="120"/>
        <v>-114.19461242155296</v>
      </c>
      <c r="AE97">
        <f t="shared" si="121"/>
        <v>-8.7200840108282591</v>
      </c>
      <c r="AF97">
        <f t="shared" si="122"/>
        <v>-3.3537373143587956E-2</v>
      </c>
      <c r="AG97">
        <f t="shared" si="123"/>
        <v>-0.81493847489260318</v>
      </c>
      <c r="AH97">
        <f t="shared" si="124"/>
        <v>1.7139226399581622</v>
      </c>
      <c r="AI97">
        <f t="shared" si="125"/>
        <v>-0.89820530062312687</v>
      </c>
      <c r="AJ97">
        <v>426.3463732600049</v>
      </c>
      <c r="AK97">
        <v>427.43385454545438</v>
      </c>
      <c r="AL97">
        <v>1.3968317256211769E-3</v>
      </c>
      <c r="AM97">
        <v>64.997845316365996</v>
      </c>
      <c r="AN97">
        <f t="shared" si="126"/>
        <v>1.717701453127177</v>
      </c>
      <c r="AO97">
        <v>14.939526267225061</v>
      </c>
      <c r="AP97">
        <v>16.965748951048951</v>
      </c>
      <c r="AQ97">
        <v>8.046584565958797E-7</v>
      </c>
      <c r="AR97">
        <v>96.643177331047141</v>
      </c>
      <c r="AS97">
        <v>0</v>
      </c>
      <c r="AT97">
        <v>0</v>
      </c>
      <c r="AU97">
        <f t="shared" si="127"/>
        <v>1</v>
      </c>
      <c r="AV97">
        <f t="shared" si="128"/>
        <v>0</v>
      </c>
      <c r="AW97">
        <f t="shared" si="129"/>
        <v>48592.481561864435</v>
      </c>
      <c r="AX97" t="s">
        <v>732</v>
      </c>
      <c r="AY97">
        <v>5019.3599999999997</v>
      </c>
      <c r="AZ97">
        <v>804.81600000000003</v>
      </c>
      <c r="BA97">
        <v>1716.333776349019</v>
      </c>
      <c r="BB97">
        <f t="shared" si="130"/>
        <v>0.53108421503420933</v>
      </c>
      <c r="BC97">
        <v>-2.4194015152978432</v>
      </c>
      <c r="BD97" t="s">
        <v>768</v>
      </c>
      <c r="BE97">
        <v>5015.68</v>
      </c>
      <c r="BF97">
        <v>1113.546</v>
      </c>
      <c r="BG97">
        <v>1845.497630709734</v>
      </c>
      <c r="BH97">
        <f t="shared" si="131"/>
        <v>0.39661477670293355</v>
      </c>
      <c r="BI97">
        <v>0.5</v>
      </c>
      <c r="BJ97">
        <f t="shared" si="132"/>
        <v>916.76855731674232</v>
      </c>
      <c r="BK97">
        <f t="shared" si="133"/>
        <v>-0.89820530062312687</v>
      </c>
      <c r="BL97">
        <f t="shared" si="134"/>
        <v>181.80197832422513</v>
      </c>
      <c r="BM97">
        <f t="shared" si="135"/>
        <v>1.6593023424876746E-3</v>
      </c>
      <c r="BN97">
        <f t="shared" si="136"/>
        <v>-6.9988631906854157E-2</v>
      </c>
      <c r="BO97">
        <f t="shared" si="137"/>
        <v>832.12533348334273</v>
      </c>
      <c r="BP97" t="s">
        <v>769</v>
      </c>
      <c r="BQ97">
        <v>981.53</v>
      </c>
      <c r="BR97">
        <f t="shared" si="138"/>
        <v>981.53</v>
      </c>
      <c r="BS97">
        <f t="shared" si="139"/>
        <v>0.46814887016542683</v>
      </c>
      <c r="BT97">
        <f t="shared" si="140"/>
        <v>0.84719797905906347</v>
      </c>
      <c r="BU97">
        <f t="shared" si="141"/>
        <v>-0.17578006335580462</v>
      </c>
      <c r="BV97">
        <f t="shared" si="142"/>
        <v>0.70333866680297852</v>
      </c>
      <c r="BW97">
        <f t="shared" si="143"/>
        <v>-0.14170195876822744</v>
      </c>
      <c r="BX97">
        <f t="shared" si="144"/>
        <v>0.74675876199621971</v>
      </c>
      <c r="BY97">
        <f t="shared" si="145"/>
        <v>0.25324123800378029</v>
      </c>
      <c r="BZ97">
        <v>520</v>
      </c>
      <c r="CA97">
        <v>290.00000000000011</v>
      </c>
      <c r="CB97">
        <v>1785.76</v>
      </c>
      <c r="CC97">
        <v>295</v>
      </c>
      <c r="CD97">
        <v>5015.68</v>
      </c>
      <c r="CE97">
        <v>1785</v>
      </c>
      <c r="CF97">
        <v>0.76</v>
      </c>
      <c r="CG97">
        <v>300.00000000000011</v>
      </c>
      <c r="CH97">
        <v>23.9</v>
      </c>
      <c r="CI97">
        <v>1845.497630709734</v>
      </c>
      <c r="CJ97">
        <v>1.659300597483635</v>
      </c>
      <c r="CK97">
        <v>-30.34216955901627</v>
      </c>
      <c r="CL97">
        <v>0.72211591331810876</v>
      </c>
      <c r="CM97">
        <v>0.9843884823481831</v>
      </c>
      <c r="CN97">
        <v>-4.114339265850947E-3</v>
      </c>
      <c r="CO97">
        <v>289.99999999999989</v>
      </c>
      <c r="CP97">
        <v>1783.31</v>
      </c>
      <c r="CQ97">
        <v>635</v>
      </c>
      <c r="CR97">
        <v>5015.84</v>
      </c>
      <c r="CS97">
        <v>1785</v>
      </c>
      <c r="CT97">
        <v>-1.69</v>
      </c>
      <c r="DH97">
        <f t="shared" si="146"/>
        <v>1116.1709166666667</v>
      </c>
      <c r="DI97">
        <f t="shared" si="147"/>
        <v>916.76855731674232</v>
      </c>
      <c r="DJ97">
        <f t="shared" si="148"/>
        <v>0.82135141099588971</v>
      </c>
      <c r="DK97">
        <f t="shared" si="149"/>
        <v>0.17795822322206728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1761691652.25</v>
      </c>
      <c r="DR97">
        <v>420.11673333333329</v>
      </c>
      <c r="DS97">
        <v>420.0028666666667</v>
      </c>
      <c r="DT97">
        <v>16.961306666666669</v>
      </c>
      <c r="DU97">
        <v>14.939526666666669</v>
      </c>
      <c r="DV97">
        <v>419.28023333333329</v>
      </c>
      <c r="DW97">
        <v>16.76563333333333</v>
      </c>
      <c r="DX97">
        <v>500.0105666666667</v>
      </c>
      <c r="DY97">
        <v>91.191893333333326</v>
      </c>
      <c r="DZ97">
        <v>3.8002623333333339E-2</v>
      </c>
      <c r="EA97">
        <v>24.612326666666672</v>
      </c>
      <c r="EB97">
        <v>23.99271666666667</v>
      </c>
      <c r="EC97">
        <v>999.9000000000002</v>
      </c>
      <c r="ED97">
        <v>0</v>
      </c>
      <c r="EE97">
        <v>0</v>
      </c>
      <c r="EF97">
        <v>9996.9826666666686</v>
      </c>
      <c r="EG97">
        <v>0</v>
      </c>
      <c r="EH97">
        <v>1066.1759999999999</v>
      </c>
      <c r="EI97">
        <v>0.1139312366666667</v>
      </c>
      <c r="EJ97">
        <v>427.36543333333333</v>
      </c>
      <c r="EK97">
        <v>426.37256666666661</v>
      </c>
      <c r="EL97">
        <v>2.021774333333334</v>
      </c>
      <c r="EM97">
        <v>420.0028666666667</v>
      </c>
      <c r="EN97">
        <v>14.939526666666669</v>
      </c>
      <c r="EO97">
        <v>1.5467329999999999</v>
      </c>
      <c r="EP97">
        <v>1.362363</v>
      </c>
      <c r="EQ97">
        <v>13.438116666666669</v>
      </c>
      <c r="ER97">
        <v>11.50508</v>
      </c>
      <c r="ES97">
        <v>49.994916666666683</v>
      </c>
      <c r="ET97">
        <v>0.89988133333333353</v>
      </c>
      <c r="EU97">
        <v>0.1001186266666667</v>
      </c>
      <c r="EV97">
        <v>0</v>
      </c>
      <c r="EW97">
        <v>1113.558666666667</v>
      </c>
      <c r="EX97">
        <v>5.0005600000000019</v>
      </c>
      <c r="EY97">
        <v>684.78306666666663</v>
      </c>
      <c r="EZ97">
        <v>380.13670000000008</v>
      </c>
      <c r="FA97">
        <v>35.170566666666673</v>
      </c>
      <c r="FB97">
        <v>38.625</v>
      </c>
      <c r="FC97">
        <v>36.726899999999993</v>
      </c>
      <c r="FD97">
        <v>37.822499999999991</v>
      </c>
      <c r="FE97">
        <v>36.910133333333327</v>
      </c>
      <c r="FF97">
        <v>40.490999999999993</v>
      </c>
      <c r="FG97">
        <v>4.5043333333333333</v>
      </c>
      <c r="FH97">
        <v>0</v>
      </c>
      <c r="FI97">
        <v>69.600000143051147</v>
      </c>
      <c r="FJ97">
        <v>0</v>
      </c>
      <c r="FK97">
        <v>1113.546</v>
      </c>
      <c r="FL97">
        <v>-0.30384614924927361</v>
      </c>
      <c r="FM97">
        <v>-1.276076978283873</v>
      </c>
      <c r="FN97">
        <v>684.81932000000006</v>
      </c>
      <c r="FO97">
        <v>15</v>
      </c>
      <c r="FP97">
        <v>0</v>
      </c>
      <c r="FQ97" t="s">
        <v>441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9.2837494899999998E-2</v>
      </c>
      <c r="GD97">
        <v>0.49156043000375232</v>
      </c>
      <c r="GE97">
        <v>5.76456545314116E-2</v>
      </c>
      <c r="GF97">
        <v>1</v>
      </c>
      <c r="GG97">
        <v>1113.557352941177</v>
      </c>
      <c r="GH97">
        <v>-0.17249808911934431</v>
      </c>
      <c r="GI97">
        <v>0.21962948510307531</v>
      </c>
      <c r="GJ97">
        <v>1</v>
      </c>
      <c r="GK97">
        <v>2.0203574999999998</v>
      </c>
      <c r="GL97">
        <v>3.175789868668099E-2</v>
      </c>
      <c r="GM97">
        <v>3.1421479516407251E-3</v>
      </c>
      <c r="GN97">
        <v>1</v>
      </c>
      <c r="GO97">
        <v>3</v>
      </c>
      <c r="GP97">
        <v>3</v>
      </c>
      <c r="GQ97" t="s">
        <v>470</v>
      </c>
      <c r="GR97">
        <v>3.1288800000000001</v>
      </c>
      <c r="GS97">
        <v>2.7155399999999998</v>
      </c>
      <c r="GT97">
        <v>8.6302000000000004E-2</v>
      </c>
      <c r="GU97">
        <v>8.6841399999999999E-2</v>
      </c>
      <c r="GV97">
        <v>8.4245500000000001E-2</v>
      </c>
      <c r="GW97">
        <v>7.7566599999999999E-2</v>
      </c>
      <c r="GX97">
        <v>27444.9</v>
      </c>
      <c r="GY97">
        <v>26512.799999999999</v>
      </c>
      <c r="GZ97">
        <v>30578.3</v>
      </c>
      <c r="HA97">
        <v>29287.1</v>
      </c>
      <c r="HB97">
        <v>38634.6</v>
      </c>
      <c r="HC97">
        <v>35563.9</v>
      </c>
      <c r="HD97">
        <v>46756.5</v>
      </c>
      <c r="HE97">
        <v>43534.9</v>
      </c>
      <c r="HF97">
        <v>1.83582</v>
      </c>
      <c r="HG97">
        <v>1.8631500000000001</v>
      </c>
      <c r="HH97">
        <v>8.6836499999999994E-3</v>
      </c>
      <c r="HI97">
        <v>0</v>
      </c>
      <c r="HJ97">
        <v>23.867899999999999</v>
      </c>
      <c r="HK97">
        <v>999.9</v>
      </c>
      <c r="HL97">
        <v>36.799999999999997</v>
      </c>
      <c r="HM97">
        <v>30.5</v>
      </c>
      <c r="HN97">
        <v>17.6934</v>
      </c>
      <c r="HO97">
        <v>63.606900000000003</v>
      </c>
      <c r="HP97">
        <v>18.193100000000001</v>
      </c>
      <c r="HQ97">
        <v>1</v>
      </c>
      <c r="HR97">
        <v>0.126969</v>
      </c>
      <c r="HS97">
        <v>1.04508</v>
      </c>
      <c r="HT97">
        <v>20.218499999999999</v>
      </c>
      <c r="HU97">
        <v>5.2400500000000001</v>
      </c>
      <c r="HV97">
        <v>11.974</v>
      </c>
      <c r="HW97">
        <v>4.9735500000000004</v>
      </c>
      <c r="HX97">
        <v>3.2909999999999999</v>
      </c>
      <c r="HY97">
        <v>9999</v>
      </c>
      <c r="HZ97">
        <v>9999</v>
      </c>
      <c r="IA97">
        <v>9999</v>
      </c>
      <c r="IB97">
        <v>999.9</v>
      </c>
      <c r="IC97">
        <v>4.9729200000000002</v>
      </c>
      <c r="ID97">
        <v>1.87737</v>
      </c>
      <c r="IE97">
        <v>1.8754599999999999</v>
      </c>
      <c r="IF97">
        <v>1.8783000000000001</v>
      </c>
      <c r="IG97">
        <v>1.8749899999999999</v>
      </c>
      <c r="IH97">
        <v>1.87852</v>
      </c>
      <c r="II97">
        <v>1.87571</v>
      </c>
      <c r="IJ97">
        <v>1.87683</v>
      </c>
      <c r="IK97">
        <v>0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0.83699999999999997</v>
      </c>
      <c r="IY97">
        <v>0.1958</v>
      </c>
      <c r="IZ97">
        <v>6.1933660764125778E-2</v>
      </c>
      <c r="JA97">
        <v>2.058711587971173E-3</v>
      </c>
      <c r="JB97">
        <v>-6.1309262243104059E-7</v>
      </c>
      <c r="JC97">
        <v>2.6183910446277612E-10</v>
      </c>
      <c r="JD97">
        <v>3.5078820932035488E-4</v>
      </c>
      <c r="JE97">
        <v>-4.3284922736758413E-3</v>
      </c>
      <c r="JF97">
        <v>1.4186339569364E-3</v>
      </c>
      <c r="JG97">
        <v>-2.7770646863349432E-5</v>
      </c>
      <c r="JH97">
        <v>2</v>
      </c>
      <c r="JI97">
        <v>2136</v>
      </c>
      <c r="JJ97">
        <v>1</v>
      </c>
      <c r="JK97">
        <v>19</v>
      </c>
      <c r="JL97">
        <v>29361527.699999999</v>
      </c>
      <c r="JM97">
        <v>29361527.699999999</v>
      </c>
      <c r="JN97">
        <v>1.1047400000000001</v>
      </c>
      <c r="JO97">
        <v>2.5549300000000001</v>
      </c>
      <c r="JP97">
        <v>1.39893</v>
      </c>
      <c r="JQ97">
        <v>2.32544</v>
      </c>
      <c r="JR97">
        <v>1.4489700000000001</v>
      </c>
      <c r="JS97">
        <v>2.4890099999999999</v>
      </c>
      <c r="JT97">
        <v>36.387099999999997</v>
      </c>
      <c r="JU97">
        <v>23.868600000000001</v>
      </c>
      <c r="JV97">
        <v>18</v>
      </c>
      <c r="JW97">
        <v>483.90199999999999</v>
      </c>
      <c r="JX97">
        <v>472.10399999999998</v>
      </c>
      <c r="JY97">
        <v>23.407299999999999</v>
      </c>
      <c r="JZ97">
        <v>28.8553</v>
      </c>
      <c r="KA97">
        <v>30</v>
      </c>
      <c r="KB97">
        <v>28.625399999999999</v>
      </c>
      <c r="KC97">
        <v>28.708600000000001</v>
      </c>
      <c r="KD97">
        <v>22.147200000000002</v>
      </c>
      <c r="KE97">
        <v>20.3062</v>
      </c>
      <c r="KF97">
        <v>62.193600000000004</v>
      </c>
      <c r="KG97">
        <v>23.283799999999999</v>
      </c>
      <c r="KH97">
        <v>420</v>
      </c>
      <c r="KI97">
        <v>14.9907</v>
      </c>
      <c r="KJ97">
        <v>101.062</v>
      </c>
      <c r="KK97">
        <v>100.123</v>
      </c>
    </row>
    <row r="98" spans="1:297" x14ac:dyDescent="0.3">
      <c r="A98">
        <v>82</v>
      </c>
      <c r="B98">
        <v>1761691789.5</v>
      </c>
      <c r="C98">
        <v>14339.5</v>
      </c>
      <c r="D98" t="s">
        <v>770</v>
      </c>
      <c r="E98" t="s">
        <v>771</v>
      </c>
      <c r="F98">
        <v>5</v>
      </c>
      <c r="G98" t="s">
        <v>735</v>
      </c>
      <c r="H98" t="s">
        <v>436</v>
      </c>
      <c r="I98">
        <v>1761691781.75</v>
      </c>
      <c r="J98">
        <f t="shared" si="100"/>
        <v>1.6424592998424065E-3</v>
      </c>
      <c r="K98">
        <f t="shared" si="101"/>
        <v>1.6424592998424066</v>
      </c>
      <c r="L98">
        <f t="shared" si="102"/>
        <v>-2.3832491889447547</v>
      </c>
      <c r="M98">
        <f t="shared" si="103"/>
        <v>421.97583333333341</v>
      </c>
      <c r="N98">
        <f t="shared" si="104"/>
        <v>450.86843362773112</v>
      </c>
      <c r="O98">
        <f t="shared" si="105"/>
        <v>41.133113346127878</v>
      </c>
      <c r="P98">
        <f t="shared" si="106"/>
        <v>38.497216676202456</v>
      </c>
      <c r="Q98">
        <f t="shared" si="107"/>
        <v>9.3767405801007647E-2</v>
      </c>
      <c r="R98">
        <f t="shared" si="108"/>
        <v>2.7703821858238142</v>
      </c>
      <c r="S98">
        <f t="shared" si="109"/>
        <v>9.2039305502484833E-2</v>
      </c>
      <c r="T98">
        <f t="shared" si="110"/>
        <v>5.7677176168727112E-2</v>
      </c>
      <c r="U98">
        <f t="shared" si="111"/>
        <v>106.12707148594117</v>
      </c>
      <c r="V98">
        <f t="shared" si="112"/>
        <v>24.835341044030077</v>
      </c>
      <c r="W98">
        <f t="shared" si="113"/>
        <v>24.835341044030077</v>
      </c>
      <c r="X98">
        <f t="shared" si="114"/>
        <v>3.1485968410791099</v>
      </c>
      <c r="Y98">
        <f t="shared" si="115"/>
        <v>50.253959052339937</v>
      </c>
      <c r="Z98">
        <f t="shared" si="116"/>
        <v>1.562600588761325</v>
      </c>
      <c r="AA98">
        <f t="shared" si="117"/>
        <v>3.1094079316892484</v>
      </c>
      <c r="AB98">
        <f t="shared" si="118"/>
        <v>1.5859962523177848</v>
      </c>
      <c r="AC98">
        <f t="shared" si="119"/>
        <v>-72.432455123050133</v>
      </c>
      <c r="AD98">
        <f t="shared" si="120"/>
        <v>-31.312818361945236</v>
      </c>
      <c r="AE98">
        <f t="shared" si="121"/>
        <v>-2.3843158328696807</v>
      </c>
      <c r="AF98">
        <f t="shared" si="122"/>
        <v>-2.5178319238712277E-3</v>
      </c>
      <c r="AG98">
        <f t="shared" si="123"/>
        <v>-2.3382574035391839</v>
      </c>
      <c r="AH98">
        <f t="shared" si="124"/>
        <v>1.6322682318832571</v>
      </c>
      <c r="AI98">
        <f t="shared" si="125"/>
        <v>-2.3832491889447547</v>
      </c>
      <c r="AJ98">
        <v>426.48241118907117</v>
      </c>
      <c r="AK98">
        <v>429.37813333333321</v>
      </c>
      <c r="AL98">
        <v>1.7463512500740859E-3</v>
      </c>
      <c r="AM98">
        <v>64.997845316365996</v>
      </c>
      <c r="AN98">
        <f t="shared" si="126"/>
        <v>1.6424592998424066</v>
      </c>
      <c r="AO98">
        <v>15.18677716059041</v>
      </c>
      <c r="AP98">
        <v>17.124826573426581</v>
      </c>
      <c r="AQ98">
        <v>-1.1609272057830809E-4</v>
      </c>
      <c r="AR98">
        <v>96.643177331047141</v>
      </c>
      <c r="AS98">
        <v>0</v>
      </c>
      <c r="AT98">
        <v>0</v>
      </c>
      <c r="AU98">
        <f t="shared" si="127"/>
        <v>1</v>
      </c>
      <c r="AV98">
        <f t="shared" si="128"/>
        <v>0</v>
      </c>
      <c r="AW98">
        <f t="shared" si="129"/>
        <v>48603.87034720197</v>
      </c>
      <c r="AX98" t="s">
        <v>772</v>
      </c>
      <c r="AY98">
        <v>5012.8999999999996</v>
      </c>
      <c r="AZ98">
        <v>972.70384615384614</v>
      </c>
      <c r="BA98">
        <v>1914.968862480476</v>
      </c>
      <c r="BB98">
        <f t="shared" si="130"/>
        <v>0.49205239562282266</v>
      </c>
      <c r="BC98">
        <v>-2.3832491889447081</v>
      </c>
      <c r="BD98" t="s">
        <v>491</v>
      </c>
      <c r="BE98" t="s">
        <v>491</v>
      </c>
      <c r="BF98">
        <v>0</v>
      </c>
      <c r="BG98">
        <v>0</v>
      </c>
      <c r="BH98" t="e">
        <f t="shared" si="131"/>
        <v>#DIV/0!</v>
      </c>
      <c r="BI98">
        <v>0.5</v>
      </c>
      <c r="BJ98">
        <f t="shared" si="132"/>
        <v>448.86021820171857</v>
      </c>
      <c r="BK98">
        <f t="shared" si="133"/>
        <v>-2.3832491889447547</v>
      </c>
      <c r="BL98" t="e">
        <f t="shared" si="134"/>
        <v>#DIV/0!</v>
      </c>
      <c r="BM98">
        <f t="shared" si="135"/>
        <v>-1.0388393790180188E-16</v>
      </c>
      <c r="BN98" t="e">
        <f t="shared" si="136"/>
        <v>#DIV/0!</v>
      </c>
      <c r="BO98" t="e">
        <f t="shared" si="137"/>
        <v>#DIV/0!</v>
      </c>
      <c r="BP98" t="s">
        <v>491</v>
      </c>
      <c r="BQ98">
        <v>0</v>
      </c>
      <c r="BR98" t="e">
        <f t="shared" si="138"/>
        <v>#DIV/0!</v>
      </c>
      <c r="BS98" t="e">
        <f t="shared" si="139"/>
        <v>#DIV/0!</v>
      </c>
      <c r="BT98" t="e">
        <f t="shared" si="140"/>
        <v>#DIV/0!</v>
      </c>
      <c r="BU98" t="e">
        <f t="shared" si="141"/>
        <v>#DIV/0!</v>
      </c>
      <c r="BV98">
        <f t="shared" si="142"/>
        <v>0</v>
      </c>
      <c r="BW98">
        <f t="shared" si="143"/>
        <v>2.0323038946578751</v>
      </c>
      <c r="BX98" t="e">
        <f t="shared" si="144"/>
        <v>#DIV/0!</v>
      </c>
      <c r="BY98" t="e">
        <f t="shared" si="145"/>
        <v>#DIV/0!</v>
      </c>
      <c r="BZ98">
        <v>522</v>
      </c>
      <c r="CA98">
        <v>290.00000000000011</v>
      </c>
      <c r="CB98">
        <v>1852.13</v>
      </c>
      <c r="CC98">
        <v>245</v>
      </c>
      <c r="CD98">
        <v>5012.8999999999996</v>
      </c>
      <c r="CE98">
        <v>1851.35</v>
      </c>
      <c r="CF98">
        <v>0.78</v>
      </c>
      <c r="CG98">
        <v>300.00000000000011</v>
      </c>
      <c r="CH98">
        <v>23.9</v>
      </c>
      <c r="CI98">
        <v>1914.968862480476</v>
      </c>
      <c r="CJ98">
        <v>1.3830563381890451</v>
      </c>
      <c r="CK98">
        <v>-31.892205123966551</v>
      </c>
      <c r="CL98">
        <v>0.60064293605152552</v>
      </c>
      <c r="CM98">
        <v>0.99016601149651706</v>
      </c>
      <c r="CN98">
        <v>-4.1494137931034486E-3</v>
      </c>
      <c r="CO98">
        <v>289.99999999999989</v>
      </c>
      <c r="CP98">
        <v>1849.02</v>
      </c>
      <c r="CQ98">
        <v>675</v>
      </c>
      <c r="CR98">
        <v>5012.63</v>
      </c>
      <c r="CS98">
        <v>1851.35</v>
      </c>
      <c r="CT98">
        <v>-2.33</v>
      </c>
      <c r="DH98">
        <f t="shared" si="146"/>
        <v>1066.170333893333</v>
      </c>
      <c r="DI98">
        <f t="shared" si="147"/>
        <v>448.86021820171857</v>
      </c>
      <c r="DJ98">
        <f t="shared" si="148"/>
        <v>0.42100235200000002</v>
      </c>
      <c r="DK98">
        <f t="shared" si="149"/>
        <v>9.9540446879999994E-2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1761691781.75</v>
      </c>
      <c r="DR98">
        <v>421.97583333333341</v>
      </c>
      <c r="DS98">
        <v>419.9964333333333</v>
      </c>
      <c r="DT98">
        <v>17.127983333333329</v>
      </c>
      <c r="DU98">
        <v>15.20278666666667</v>
      </c>
      <c r="DV98">
        <v>421.1361</v>
      </c>
      <c r="DW98">
        <v>16.929083333333331</v>
      </c>
      <c r="DX98">
        <v>499.99383333333338</v>
      </c>
      <c r="DY98">
        <v>91.192839999999975</v>
      </c>
      <c r="DZ98">
        <v>3.801645E-2</v>
      </c>
      <c r="EA98">
        <v>24.625689999999999</v>
      </c>
      <c r="EB98">
        <v>24.000910000000001</v>
      </c>
      <c r="EC98">
        <v>999.9000000000002</v>
      </c>
      <c r="ED98">
        <v>0</v>
      </c>
      <c r="EE98">
        <v>0</v>
      </c>
      <c r="EF98">
        <v>9999.7853333333333</v>
      </c>
      <c r="EG98">
        <v>0</v>
      </c>
      <c r="EH98">
        <v>1066.1653333333329</v>
      </c>
      <c r="EI98">
        <v>1.979386333333333</v>
      </c>
      <c r="EJ98">
        <v>429.32936666666671</v>
      </c>
      <c r="EK98">
        <v>426.48013333333341</v>
      </c>
      <c r="EL98">
        <v>1.9252050000000001</v>
      </c>
      <c r="EM98">
        <v>419.9964333333333</v>
      </c>
      <c r="EN98">
        <v>15.20278666666667</v>
      </c>
      <c r="EO98">
        <v>1.5619499999999999</v>
      </c>
      <c r="EP98">
        <v>1.3863853333333329</v>
      </c>
      <c r="EQ98">
        <v>13.588453333333341</v>
      </c>
      <c r="ER98">
        <v>11.769526666666669</v>
      </c>
      <c r="ES98">
        <v>5.0005599999999976E-3</v>
      </c>
      <c r="ET98">
        <v>0</v>
      </c>
      <c r="EU98">
        <v>0</v>
      </c>
      <c r="EV98">
        <v>0</v>
      </c>
      <c r="EW98">
        <v>972.64</v>
      </c>
      <c r="EX98">
        <v>5.0005599999999976E-3</v>
      </c>
      <c r="EY98">
        <v>172.70666666666659</v>
      </c>
      <c r="EZ98">
        <v>-2.0533333333333328</v>
      </c>
      <c r="FA98">
        <v>34.474800000000002</v>
      </c>
      <c r="FB98">
        <v>38.178733333333319</v>
      </c>
      <c r="FC98">
        <v>36.158066666666663</v>
      </c>
      <c r="FD98">
        <v>37.341399999999993</v>
      </c>
      <c r="FE98">
        <v>36.162199999999999</v>
      </c>
      <c r="FF98">
        <v>0</v>
      </c>
      <c r="FG98">
        <v>0</v>
      </c>
      <c r="FH98">
        <v>0</v>
      </c>
      <c r="FI98">
        <v>127.2999999523163</v>
      </c>
      <c r="FJ98">
        <v>0</v>
      </c>
      <c r="FK98">
        <v>972.70384615384614</v>
      </c>
      <c r="FL98">
        <v>4.3726490640617799</v>
      </c>
      <c r="FM98">
        <v>25.022222281495061</v>
      </c>
      <c r="FN98">
        <v>172.30384615384611</v>
      </c>
      <c r="FO98">
        <v>15</v>
      </c>
      <c r="FP98">
        <v>0</v>
      </c>
      <c r="FQ98" t="s">
        <v>441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1.9755615</v>
      </c>
      <c r="GD98">
        <v>0.14257958724202449</v>
      </c>
      <c r="GE98">
        <v>2.548808207280414E-2</v>
      </c>
      <c r="GF98">
        <v>1</v>
      </c>
      <c r="GG98">
        <v>972.24117647058813</v>
      </c>
      <c r="GH98">
        <v>3.284950089066601</v>
      </c>
      <c r="GI98">
        <v>8.0754937072551112</v>
      </c>
      <c r="GJ98">
        <v>0</v>
      </c>
      <c r="GK98">
        <v>1.9187877499999999</v>
      </c>
      <c r="GL98">
        <v>0.16352476547842801</v>
      </c>
      <c r="GM98">
        <v>1.644228534716204E-2</v>
      </c>
      <c r="GN98">
        <v>0</v>
      </c>
      <c r="GO98">
        <v>1</v>
      </c>
      <c r="GP98">
        <v>3</v>
      </c>
      <c r="GQ98" t="s">
        <v>442</v>
      </c>
      <c r="GR98">
        <v>3.12873</v>
      </c>
      <c r="GS98">
        <v>2.71577</v>
      </c>
      <c r="GT98">
        <v>8.6591299999999996E-2</v>
      </c>
      <c r="GU98">
        <v>8.6843699999999996E-2</v>
      </c>
      <c r="GV98">
        <v>8.4814399999999998E-2</v>
      </c>
      <c r="GW98">
        <v>7.8493999999999994E-2</v>
      </c>
      <c r="GX98">
        <v>27437.599999999999</v>
      </c>
      <c r="GY98">
        <v>26512.7</v>
      </c>
      <c r="GZ98">
        <v>30579.8</v>
      </c>
      <c r="HA98">
        <v>29287</v>
      </c>
      <c r="HB98">
        <v>38612.199999999997</v>
      </c>
      <c r="HC98">
        <v>35527.699999999997</v>
      </c>
      <c r="HD98">
        <v>46758.7</v>
      </c>
      <c r="HE98">
        <v>43534.7</v>
      </c>
      <c r="HF98">
        <v>1.8354299999999999</v>
      </c>
      <c r="HG98">
        <v>1.8643000000000001</v>
      </c>
      <c r="HH98">
        <v>-4.9173800000000003E-4</v>
      </c>
      <c r="HI98">
        <v>0</v>
      </c>
      <c r="HJ98">
        <v>24.012599999999999</v>
      </c>
      <c r="HK98">
        <v>999.9</v>
      </c>
      <c r="HL98">
        <v>36.9</v>
      </c>
      <c r="HM98">
        <v>30.6</v>
      </c>
      <c r="HN98">
        <v>17.8416</v>
      </c>
      <c r="HO98">
        <v>63.5169</v>
      </c>
      <c r="HP98">
        <v>18.1571</v>
      </c>
      <c r="HQ98">
        <v>1</v>
      </c>
      <c r="HR98">
        <v>0.12593199999999999</v>
      </c>
      <c r="HS98">
        <v>0.779779</v>
      </c>
      <c r="HT98">
        <v>20.220700000000001</v>
      </c>
      <c r="HU98">
        <v>5.2391500000000004</v>
      </c>
      <c r="HV98">
        <v>11.974</v>
      </c>
      <c r="HW98">
        <v>4.9730999999999996</v>
      </c>
      <c r="HX98">
        <v>3.2909999999999999</v>
      </c>
      <c r="HY98">
        <v>9999</v>
      </c>
      <c r="HZ98">
        <v>9999</v>
      </c>
      <c r="IA98">
        <v>9999</v>
      </c>
      <c r="IB98">
        <v>999.9</v>
      </c>
      <c r="IC98">
        <v>4.9729400000000004</v>
      </c>
      <c r="ID98">
        <v>1.8773500000000001</v>
      </c>
      <c r="IE98">
        <v>1.8754599999999999</v>
      </c>
      <c r="IF98">
        <v>1.87832</v>
      </c>
      <c r="IG98">
        <v>1.875</v>
      </c>
      <c r="IH98">
        <v>1.8785700000000001</v>
      </c>
      <c r="II98">
        <v>1.87568</v>
      </c>
      <c r="IJ98">
        <v>1.87683</v>
      </c>
      <c r="IK98">
        <v>0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0.84</v>
      </c>
      <c r="IY98">
        <v>0.1988</v>
      </c>
      <c r="IZ98">
        <v>6.1933660764125778E-2</v>
      </c>
      <c r="JA98">
        <v>2.058711587971173E-3</v>
      </c>
      <c r="JB98">
        <v>-6.1309262243104059E-7</v>
      </c>
      <c r="JC98">
        <v>2.6183910446277612E-10</v>
      </c>
      <c r="JD98">
        <v>3.5078820932035488E-4</v>
      </c>
      <c r="JE98">
        <v>-4.3284922736758413E-3</v>
      </c>
      <c r="JF98">
        <v>1.4186339569364E-3</v>
      </c>
      <c r="JG98">
        <v>-2.7770646863349432E-5</v>
      </c>
      <c r="JH98">
        <v>2</v>
      </c>
      <c r="JI98">
        <v>2136</v>
      </c>
      <c r="JJ98">
        <v>1</v>
      </c>
      <c r="JK98">
        <v>19</v>
      </c>
      <c r="JL98">
        <v>29361529.800000001</v>
      </c>
      <c r="JM98">
        <v>29361529.800000001</v>
      </c>
      <c r="JN98">
        <v>1.1047400000000001</v>
      </c>
      <c r="JO98">
        <v>2.5585900000000001</v>
      </c>
      <c r="JP98">
        <v>1.39893</v>
      </c>
      <c r="JQ98">
        <v>2.32544</v>
      </c>
      <c r="JR98">
        <v>1.4489700000000001</v>
      </c>
      <c r="JS98">
        <v>2.52075</v>
      </c>
      <c r="JT98">
        <v>36.387099999999997</v>
      </c>
      <c r="JU98">
        <v>23.877400000000002</v>
      </c>
      <c r="JV98">
        <v>18</v>
      </c>
      <c r="JW98">
        <v>483.56799999999998</v>
      </c>
      <c r="JX98">
        <v>472.72</v>
      </c>
      <c r="JY98">
        <v>23.132300000000001</v>
      </c>
      <c r="JZ98">
        <v>28.845400000000001</v>
      </c>
      <c r="KA98">
        <v>29.999300000000002</v>
      </c>
      <c r="KB98">
        <v>28.6082</v>
      </c>
      <c r="KC98">
        <v>28.691400000000002</v>
      </c>
      <c r="KD98">
        <v>22.154599999999999</v>
      </c>
      <c r="KE98">
        <v>19.997499999999999</v>
      </c>
      <c r="KF98">
        <v>62.940100000000001</v>
      </c>
      <c r="KG98">
        <v>23.1629</v>
      </c>
      <c r="KH98">
        <v>420</v>
      </c>
      <c r="KI98">
        <v>15.1463</v>
      </c>
      <c r="KJ98">
        <v>101.06699999999999</v>
      </c>
      <c r="KK98">
        <v>100.123</v>
      </c>
    </row>
    <row r="99" spans="1:297" x14ac:dyDescent="0.3">
      <c r="A99">
        <v>83</v>
      </c>
      <c r="B99">
        <v>1761692435.5</v>
      </c>
      <c r="C99">
        <v>14985.5</v>
      </c>
      <c r="D99" t="s">
        <v>773</v>
      </c>
      <c r="E99" t="s">
        <v>774</v>
      </c>
      <c r="F99">
        <v>5</v>
      </c>
      <c r="G99" t="s">
        <v>775</v>
      </c>
      <c r="H99" t="s">
        <v>436</v>
      </c>
      <c r="I99">
        <v>1761692427.75</v>
      </c>
      <c r="J99">
        <f t="shared" si="100"/>
        <v>6.005699178666436E-4</v>
      </c>
      <c r="K99">
        <f t="shared" si="101"/>
        <v>0.6005699178666436</v>
      </c>
      <c r="L99">
        <f t="shared" si="102"/>
        <v>1.6287141994934518</v>
      </c>
      <c r="M99">
        <f t="shared" si="103"/>
        <v>417.7251</v>
      </c>
      <c r="N99">
        <f t="shared" si="104"/>
        <v>305.95725645095757</v>
      </c>
      <c r="O99">
        <f t="shared" si="105"/>
        <v>27.910151744998828</v>
      </c>
      <c r="P99">
        <f t="shared" si="106"/>
        <v>38.105881402958701</v>
      </c>
      <c r="Q99">
        <f t="shared" si="107"/>
        <v>2.6546997964195341E-2</v>
      </c>
      <c r="R99">
        <f t="shared" si="108"/>
        <v>2.7700118043565789</v>
      </c>
      <c r="S99">
        <f t="shared" si="109"/>
        <v>2.6406462066894419E-2</v>
      </c>
      <c r="T99">
        <f t="shared" si="110"/>
        <v>1.6516603233658014E-2</v>
      </c>
      <c r="U99">
        <f t="shared" si="111"/>
        <v>538.96058210510614</v>
      </c>
      <c r="V99">
        <f t="shared" si="112"/>
        <v>26.327793059747034</v>
      </c>
      <c r="W99">
        <f t="shared" si="113"/>
        <v>26.327793059747034</v>
      </c>
      <c r="X99">
        <f t="shared" si="114"/>
        <v>3.440264598024219</v>
      </c>
      <c r="Y99">
        <f t="shared" si="115"/>
        <v>49.978662945861871</v>
      </c>
      <c r="Z99">
        <f t="shared" si="116"/>
        <v>1.4208458685790275</v>
      </c>
      <c r="AA99">
        <f t="shared" si="117"/>
        <v>2.8429049214824396</v>
      </c>
      <c r="AB99">
        <f t="shared" si="118"/>
        <v>2.0194187294451913</v>
      </c>
      <c r="AC99">
        <f t="shared" si="119"/>
        <v>-26.485133377918984</v>
      </c>
      <c r="AD99">
        <f t="shared" si="120"/>
        <v>-476.7489768266297</v>
      </c>
      <c r="AE99">
        <f t="shared" si="121"/>
        <v>-36.308350327072198</v>
      </c>
      <c r="AF99">
        <f t="shared" si="122"/>
        <v>-0.58187842651477695</v>
      </c>
      <c r="AG99">
        <f t="shared" si="123"/>
        <v>1.6220997101654206</v>
      </c>
      <c r="AH99">
        <f t="shared" si="124"/>
        <v>0.67920850884707895</v>
      </c>
      <c r="AI99">
        <f t="shared" si="125"/>
        <v>1.6287141994934518</v>
      </c>
      <c r="AJ99">
        <v>426.2901083103871</v>
      </c>
      <c r="AK99">
        <v>424.30639393939401</v>
      </c>
      <c r="AL99">
        <v>-1.267183062929333E-5</v>
      </c>
      <c r="AM99">
        <v>64.99746826382804</v>
      </c>
      <c r="AN99">
        <f t="shared" si="126"/>
        <v>0.6005699178666436</v>
      </c>
      <c r="AO99">
        <v>14.77090573549326</v>
      </c>
      <c r="AP99">
        <v>15.5296090909091</v>
      </c>
      <c r="AQ99">
        <v>-6.8770440920740599E-3</v>
      </c>
      <c r="AR99">
        <v>96.649150714757255</v>
      </c>
      <c r="AS99">
        <v>0</v>
      </c>
      <c r="AT99">
        <v>0</v>
      </c>
      <c r="AU99">
        <f t="shared" si="127"/>
        <v>1</v>
      </c>
      <c r="AV99">
        <f t="shared" si="128"/>
        <v>0</v>
      </c>
      <c r="AW99">
        <f t="shared" si="129"/>
        <v>48838.039597712122</v>
      </c>
      <c r="AX99" t="s">
        <v>772</v>
      </c>
      <c r="AY99">
        <v>5012.8999999999996</v>
      </c>
      <c r="AZ99">
        <v>972.70384615384614</v>
      </c>
      <c r="BA99">
        <v>1914.968862480476</v>
      </c>
      <c r="BB99">
        <f t="shared" si="130"/>
        <v>0.49205239562282266</v>
      </c>
      <c r="BC99">
        <v>-2.3832491889447081</v>
      </c>
      <c r="BD99" t="s">
        <v>776</v>
      </c>
      <c r="BE99">
        <v>5054.9799999999996</v>
      </c>
      <c r="BF99">
        <v>1390.5447999999999</v>
      </c>
      <c r="BG99">
        <v>1439.1935432390651</v>
      </c>
      <c r="BH99">
        <f t="shared" si="131"/>
        <v>3.3802780360990048E-2</v>
      </c>
      <c r="BI99">
        <v>0.5</v>
      </c>
      <c r="BJ99">
        <f t="shared" si="132"/>
        <v>2513.0163824378792</v>
      </c>
      <c r="BK99">
        <f t="shared" si="133"/>
        <v>1.6287141994934518</v>
      </c>
      <c r="BL99">
        <f t="shared" si="134"/>
        <v>42.473470409558701</v>
      </c>
      <c r="BM99">
        <f t="shared" si="135"/>
        <v>1.5964732329146818E-3</v>
      </c>
      <c r="BN99">
        <f t="shared" si="136"/>
        <v>0.33058466769564965</v>
      </c>
      <c r="BO99">
        <f t="shared" si="137"/>
        <v>832.85165451229557</v>
      </c>
      <c r="BP99" t="s">
        <v>777</v>
      </c>
      <c r="BQ99">
        <v>882.4</v>
      </c>
      <c r="BR99">
        <f t="shared" si="138"/>
        <v>882.4</v>
      </c>
      <c r="BS99">
        <f t="shared" si="139"/>
        <v>0.38687885021075019</v>
      </c>
      <c r="BT99">
        <f t="shared" si="140"/>
        <v>8.7373037690161137E-2</v>
      </c>
      <c r="BU99">
        <f t="shared" si="141"/>
        <v>0.46076860975498074</v>
      </c>
      <c r="BV99">
        <f t="shared" si="142"/>
        <v>0.10428685465732372</v>
      </c>
      <c r="BW99">
        <f t="shared" si="143"/>
        <v>0.50492728796851205</v>
      </c>
      <c r="BX99">
        <f t="shared" si="144"/>
        <v>5.544443333130885E-2</v>
      </c>
      <c r="BY99">
        <f t="shared" si="145"/>
        <v>0.94455556666869112</v>
      </c>
      <c r="BZ99">
        <v>523</v>
      </c>
      <c r="CA99">
        <v>290.00000000000011</v>
      </c>
      <c r="CB99">
        <v>1413.8</v>
      </c>
      <c r="CC99">
        <v>25</v>
      </c>
      <c r="CD99">
        <v>5054.9799999999996</v>
      </c>
      <c r="CE99">
        <v>1412.18</v>
      </c>
      <c r="CF99">
        <v>1.62</v>
      </c>
      <c r="CG99">
        <v>300.00000000000011</v>
      </c>
      <c r="CH99">
        <v>23.9</v>
      </c>
      <c r="CI99">
        <v>1439.1935432390651</v>
      </c>
      <c r="CJ99">
        <v>2.3991227781702018</v>
      </c>
      <c r="CK99">
        <v>-13.65669281748519</v>
      </c>
      <c r="CL99">
        <v>1.1168767815496941</v>
      </c>
      <c r="CM99">
        <v>0.8422655631725755</v>
      </c>
      <c r="CN99">
        <v>-2.527433592880973E-3</v>
      </c>
      <c r="CO99">
        <v>289.99999999999989</v>
      </c>
      <c r="CP99">
        <v>1410.58</v>
      </c>
      <c r="CQ99">
        <v>645</v>
      </c>
      <c r="CR99">
        <v>5051.74</v>
      </c>
      <c r="CS99">
        <v>1412.16</v>
      </c>
      <c r="CT99">
        <v>-1.58</v>
      </c>
      <c r="DH99">
        <f t="shared" si="146"/>
        <v>3063.5360000000001</v>
      </c>
      <c r="DI99">
        <f t="shared" si="147"/>
        <v>2513.0163824378792</v>
      </c>
      <c r="DJ99">
        <f t="shared" si="148"/>
        <v>0.8202992824102211</v>
      </c>
      <c r="DK99">
        <f t="shared" si="149"/>
        <v>0.17592761505172655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1761692427.75</v>
      </c>
      <c r="DR99">
        <v>417.7251</v>
      </c>
      <c r="DS99">
        <v>420.01209999999998</v>
      </c>
      <c r="DT99">
        <v>15.57562666666667</v>
      </c>
      <c r="DU99">
        <v>14.773266666666659</v>
      </c>
      <c r="DV99">
        <v>416.89249999999993</v>
      </c>
      <c r="DW99">
        <v>15.406779999999999</v>
      </c>
      <c r="DX99">
        <v>499.99706666666663</v>
      </c>
      <c r="DY99">
        <v>91.183600000000013</v>
      </c>
      <c r="DZ99">
        <v>3.8788606666666663E-2</v>
      </c>
      <c r="EA99">
        <v>23.135353333333331</v>
      </c>
      <c r="EB99">
        <v>24.057333333333339</v>
      </c>
      <c r="EC99">
        <v>999.9000000000002</v>
      </c>
      <c r="ED99">
        <v>0</v>
      </c>
      <c r="EE99">
        <v>0</v>
      </c>
      <c r="EF99">
        <v>9998.614333333333</v>
      </c>
      <c r="EG99">
        <v>0</v>
      </c>
      <c r="EH99">
        <v>1063.5526666666669</v>
      </c>
      <c r="EI99">
        <v>-2.2869666666666668</v>
      </c>
      <c r="EJ99">
        <v>424.33429999999998</v>
      </c>
      <c r="EK99">
        <v>426.31009999999998</v>
      </c>
      <c r="EL99">
        <v>0.80236343333333338</v>
      </c>
      <c r="EM99">
        <v>420.01209999999998</v>
      </c>
      <c r="EN99">
        <v>14.773266666666659</v>
      </c>
      <c r="EO99">
        <v>1.4202433333333331</v>
      </c>
      <c r="EP99">
        <v>1.347079333333334</v>
      </c>
      <c r="EQ99">
        <v>12.13547</v>
      </c>
      <c r="ER99">
        <v>11.33467666666667</v>
      </c>
      <c r="ES99">
        <v>1999.9833333333329</v>
      </c>
      <c r="ET99">
        <v>0.97999809999999998</v>
      </c>
      <c r="EU99">
        <v>2.0001990000000001E-2</v>
      </c>
      <c r="EV99">
        <v>0</v>
      </c>
      <c r="EW99">
        <v>1390.606</v>
      </c>
      <c r="EX99">
        <v>5.0005600000000019</v>
      </c>
      <c r="EY99">
        <v>28122.273333333331</v>
      </c>
      <c r="EZ99">
        <v>17294.73</v>
      </c>
      <c r="FA99">
        <v>39.620800000000003</v>
      </c>
      <c r="FB99">
        <v>40.641533333333342</v>
      </c>
      <c r="FC99">
        <v>39.566199999999988</v>
      </c>
      <c r="FD99">
        <v>39.5</v>
      </c>
      <c r="FE99">
        <v>40</v>
      </c>
      <c r="FF99">
        <v>1955.0793333333329</v>
      </c>
      <c r="FG99">
        <v>39.904000000000011</v>
      </c>
      <c r="FH99">
        <v>0</v>
      </c>
      <c r="FI99">
        <v>645.40000009536743</v>
      </c>
      <c r="FJ99">
        <v>0</v>
      </c>
      <c r="FK99">
        <v>1390.5447999999999</v>
      </c>
      <c r="FL99">
        <v>-6.2938461471842544</v>
      </c>
      <c r="FM99">
        <v>-130.94615390058851</v>
      </c>
      <c r="FN99">
        <v>28121.648000000001</v>
      </c>
      <c r="FO99">
        <v>15</v>
      </c>
      <c r="FP99">
        <v>0</v>
      </c>
      <c r="FQ99" t="s">
        <v>441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-2.2905695000000001</v>
      </c>
      <c r="GD99">
        <v>0.11182671669793751</v>
      </c>
      <c r="GE99">
        <v>3.0328056808011958E-2</v>
      </c>
      <c r="GF99">
        <v>1</v>
      </c>
      <c r="GG99">
        <v>1390.9405882352939</v>
      </c>
      <c r="GH99">
        <v>-6.9619556917502674</v>
      </c>
      <c r="GI99">
        <v>0.7291652809345871</v>
      </c>
      <c r="GJ99">
        <v>0</v>
      </c>
      <c r="GK99">
        <v>0.81550712500000011</v>
      </c>
      <c r="GL99">
        <v>-0.35506377861163291</v>
      </c>
      <c r="GM99">
        <v>3.49393194869244E-2</v>
      </c>
      <c r="GN99">
        <v>0</v>
      </c>
      <c r="GO99">
        <v>1</v>
      </c>
      <c r="GP99">
        <v>3</v>
      </c>
      <c r="GQ99" t="s">
        <v>442</v>
      </c>
      <c r="GR99">
        <v>3.1289799999999999</v>
      </c>
      <c r="GS99">
        <v>2.7163300000000001</v>
      </c>
      <c r="GT99">
        <v>8.5848599999999997E-2</v>
      </c>
      <c r="GU99">
        <v>8.6777000000000007E-2</v>
      </c>
      <c r="GV99">
        <v>7.9005199999999998E-2</v>
      </c>
      <c r="GW99">
        <v>7.6880799999999999E-2</v>
      </c>
      <c r="GX99">
        <v>27433.3</v>
      </c>
      <c r="GY99">
        <v>26495.1</v>
      </c>
      <c r="GZ99">
        <v>30552.1</v>
      </c>
      <c r="HA99">
        <v>29267.3</v>
      </c>
      <c r="HB99">
        <v>38827.199999999997</v>
      </c>
      <c r="HC99">
        <v>35566.9</v>
      </c>
      <c r="HD99">
        <v>46719.7</v>
      </c>
      <c r="HE99">
        <v>43505.5</v>
      </c>
      <c r="HF99">
        <v>1.8320000000000001</v>
      </c>
      <c r="HG99">
        <v>1.85772</v>
      </c>
      <c r="HH99">
        <v>8.2436899999999994E-2</v>
      </c>
      <c r="HI99">
        <v>0</v>
      </c>
      <c r="HJ99">
        <v>22.707100000000001</v>
      </c>
      <c r="HK99">
        <v>999.9</v>
      </c>
      <c r="HL99">
        <v>37.700000000000003</v>
      </c>
      <c r="HM99">
        <v>30.6</v>
      </c>
      <c r="HN99">
        <v>18.2317</v>
      </c>
      <c r="HO99">
        <v>63.326799999999999</v>
      </c>
      <c r="HP99">
        <v>18.197099999999999</v>
      </c>
      <c r="HQ99">
        <v>1</v>
      </c>
      <c r="HR99">
        <v>0.167576</v>
      </c>
      <c r="HS99">
        <v>4.3993900000000004</v>
      </c>
      <c r="HT99">
        <v>20.150600000000001</v>
      </c>
      <c r="HU99">
        <v>5.2391500000000004</v>
      </c>
      <c r="HV99">
        <v>11.9796</v>
      </c>
      <c r="HW99">
        <v>4.97295</v>
      </c>
      <c r="HX99">
        <v>3.2909999999999999</v>
      </c>
      <c r="HY99">
        <v>9999</v>
      </c>
      <c r="HZ99">
        <v>9999</v>
      </c>
      <c r="IA99">
        <v>9999</v>
      </c>
      <c r="IB99">
        <v>999.9</v>
      </c>
      <c r="IC99">
        <v>4.9728899999999996</v>
      </c>
      <c r="ID99">
        <v>1.87727</v>
      </c>
      <c r="IE99">
        <v>1.87531</v>
      </c>
      <c r="IF99">
        <v>1.8782000000000001</v>
      </c>
      <c r="IG99">
        <v>1.8748499999999999</v>
      </c>
      <c r="IH99">
        <v>1.8784700000000001</v>
      </c>
      <c r="II99">
        <v>1.8755900000000001</v>
      </c>
      <c r="IJ99">
        <v>1.87673</v>
      </c>
      <c r="IK99">
        <v>0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0.83299999999999996</v>
      </c>
      <c r="IY99">
        <v>0.16789999999999999</v>
      </c>
      <c r="IZ99">
        <v>6.1933660764125778E-2</v>
      </c>
      <c r="JA99">
        <v>2.058711587971173E-3</v>
      </c>
      <c r="JB99">
        <v>-6.1309262243104059E-7</v>
      </c>
      <c r="JC99">
        <v>2.6183910446277612E-10</v>
      </c>
      <c r="JD99">
        <v>3.5078820932035488E-4</v>
      </c>
      <c r="JE99">
        <v>-4.3284922736758413E-3</v>
      </c>
      <c r="JF99">
        <v>1.4186339569364E-3</v>
      </c>
      <c r="JG99">
        <v>-2.7770646863349432E-5</v>
      </c>
      <c r="JH99">
        <v>2</v>
      </c>
      <c r="JI99">
        <v>2136</v>
      </c>
      <c r="JJ99">
        <v>1</v>
      </c>
      <c r="JK99">
        <v>19</v>
      </c>
      <c r="JL99">
        <v>29361540.600000001</v>
      </c>
      <c r="JM99">
        <v>29361540.600000001</v>
      </c>
      <c r="JN99">
        <v>1.1047400000000001</v>
      </c>
      <c r="JO99">
        <v>2.5451700000000002</v>
      </c>
      <c r="JP99">
        <v>1.39893</v>
      </c>
      <c r="JQ99">
        <v>2.3278799999999999</v>
      </c>
      <c r="JR99">
        <v>1.4489700000000001</v>
      </c>
      <c r="JS99">
        <v>2.6232899999999999</v>
      </c>
      <c r="JT99">
        <v>36.528700000000001</v>
      </c>
      <c r="JU99">
        <v>23.780999999999999</v>
      </c>
      <c r="JV99">
        <v>18</v>
      </c>
      <c r="JW99">
        <v>483.31099999999998</v>
      </c>
      <c r="JX99">
        <v>470.20100000000002</v>
      </c>
      <c r="JY99">
        <v>18.170100000000001</v>
      </c>
      <c r="JZ99">
        <v>29.233699999999999</v>
      </c>
      <c r="KA99">
        <v>30.000299999999999</v>
      </c>
      <c r="KB99">
        <v>28.857299999999999</v>
      </c>
      <c r="KC99">
        <v>28.915299999999998</v>
      </c>
      <c r="KD99">
        <v>22.1599</v>
      </c>
      <c r="KE99">
        <v>25.956</v>
      </c>
      <c r="KF99">
        <v>67.335300000000004</v>
      </c>
      <c r="KG99">
        <v>18.128</v>
      </c>
      <c r="KH99">
        <v>420</v>
      </c>
      <c r="KI99">
        <v>14.7439</v>
      </c>
      <c r="KJ99">
        <v>100.98</v>
      </c>
      <c r="KK99">
        <v>100.05500000000001</v>
      </c>
    </row>
    <row r="100" spans="1:297" x14ac:dyDescent="0.3">
      <c r="A100">
        <v>84</v>
      </c>
      <c r="B100">
        <v>1761692565.0999999</v>
      </c>
      <c r="C100">
        <v>15115.099999904631</v>
      </c>
      <c r="D100" t="s">
        <v>778</v>
      </c>
      <c r="E100" t="s">
        <v>779</v>
      </c>
      <c r="F100">
        <v>5</v>
      </c>
      <c r="G100" t="s">
        <v>775</v>
      </c>
      <c r="H100" t="s">
        <v>436</v>
      </c>
      <c r="I100">
        <v>1761692557.42258</v>
      </c>
      <c r="J100">
        <f t="shared" si="100"/>
        <v>5.843403309880637E-4</v>
      </c>
      <c r="K100">
        <f t="shared" si="101"/>
        <v>0.58434033098806371</v>
      </c>
      <c r="L100">
        <f t="shared" si="102"/>
        <v>1.7220191878975952</v>
      </c>
      <c r="M100">
        <f t="shared" si="103"/>
        <v>417.64229032258072</v>
      </c>
      <c r="N100">
        <f t="shared" si="104"/>
        <v>298.59506392893599</v>
      </c>
      <c r="O100">
        <f t="shared" si="105"/>
        <v>27.240162872848718</v>
      </c>
      <c r="P100">
        <f t="shared" si="106"/>
        <v>38.100576283083662</v>
      </c>
      <c r="Q100">
        <f t="shared" si="107"/>
        <v>2.6072740477164121E-2</v>
      </c>
      <c r="R100">
        <f t="shared" si="108"/>
        <v>2.769020628028759</v>
      </c>
      <c r="S100">
        <f t="shared" si="109"/>
        <v>2.5937118930214498E-2</v>
      </c>
      <c r="T100">
        <f t="shared" si="110"/>
        <v>1.6222825451104921E-2</v>
      </c>
      <c r="U100">
        <f t="shared" si="111"/>
        <v>503.93142995089357</v>
      </c>
      <c r="V100">
        <f t="shared" si="112"/>
        <v>26.346067596973235</v>
      </c>
      <c r="W100">
        <f t="shared" si="113"/>
        <v>26.346067596973235</v>
      </c>
      <c r="X100">
        <f t="shared" si="114"/>
        <v>3.4439774078052472</v>
      </c>
      <c r="Y100">
        <f t="shared" si="115"/>
        <v>50.079125199165951</v>
      </c>
      <c r="Z100">
        <f t="shared" si="116"/>
        <v>1.4437545585019451</v>
      </c>
      <c r="AA100">
        <f t="shared" si="117"/>
        <v>2.8829468421425024</v>
      </c>
      <c r="AB100">
        <f t="shared" si="118"/>
        <v>2.0002228493033023</v>
      </c>
      <c r="AC100">
        <f t="shared" si="119"/>
        <v>-25.769408596573609</v>
      </c>
      <c r="AD100">
        <f t="shared" si="120"/>
        <v>-444.74375842189914</v>
      </c>
      <c r="AE100">
        <f t="shared" si="121"/>
        <v>-33.925547569657283</v>
      </c>
      <c r="AF100">
        <f t="shared" si="122"/>
        <v>-0.50728463723646655</v>
      </c>
      <c r="AG100">
        <f t="shared" si="123"/>
        <v>1.7109064096573698</v>
      </c>
      <c r="AH100">
        <f t="shared" si="124"/>
        <v>0.58492337515683657</v>
      </c>
      <c r="AI100">
        <f t="shared" si="125"/>
        <v>1.7220191878975952</v>
      </c>
      <c r="AJ100">
        <v>426.47515204082163</v>
      </c>
      <c r="AK100">
        <v>424.37650092533738</v>
      </c>
      <c r="AL100">
        <v>8.174848958571205E-5</v>
      </c>
      <c r="AM100">
        <v>64.99746826382804</v>
      </c>
      <c r="AN100">
        <f t="shared" si="126"/>
        <v>0.58434033098806371</v>
      </c>
      <c r="AO100">
        <v>15.13800467515167</v>
      </c>
      <c r="AP100">
        <v>15.82866451222259</v>
      </c>
      <c r="AQ100">
        <v>-7.3371371273095532E-5</v>
      </c>
      <c r="AR100">
        <v>96.649150714757255</v>
      </c>
      <c r="AS100">
        <v>0</v>
      </c>
      <c r="AT100">
        <v>0</v>
      </c>
      <c r="AU100">
        <f t="shared" si="127"/>
        <v>1</v>
      </c>
      <c r="AV100">
        <f t="shared" si="128"/>
        <v>0</v>
      </c>
      <c r="AW100">
        <f t="shared" si="129"/>
        <v>48772.639201490194</v>
      </c>
      <c r="AX100" t="s">
        <v>772</v>
      </c>
      <c r="AY100">
        <v>5012.8999999999996</v>
      </c>
      <c r="AZ100">
        <v>972.70384615384614</v>
      </c>
      <c r="BA100">
        <v>1914.968862480476</v>
      </c>
      <c r="BB100">
        <f t="shared" si="130"/>
        <v>0.49205239562282266</v>
      </c>
      <c r="BC100">
        <v>-2.3832491889447081</v>
      </c>
      <c r="BD100" t="s">
        <v>780</v>
      </c>
      <c r="BE100">
        <v>5053.5600000000004</v>
      </c>
      <c r="BF100">
        <v>1376.4848</v>
      </c>
      <c r="BG100">
        <v>1430.2971968629979</v>
      </c>
      <c r="BH100">
        <f t="shared" si="131"/>
        <v>3.7623227522938674E-2</v>
      </c>
      <c r="BI100">
        <v>0.5</v>
      </c>
      <c r="BJ100">
        <f t="shared" si="132"/>
        <v>2349.0011839541644</v>
      </c>
      <c r="BK100">
        <f t="shared" si="133"/>
        <v>1.7220191878975952</v>
      </c>
      <c r="BL100">
        <f t="shared" si="134"/>
        <v>44.188502997779921</v>
      </c>
      <c r="BM100">
        <f t="shared" si="135"/>
        <v>1.7476655205135943E-3</v>
      </c>
      <c r="BN100">
        <f t="shared" si="136"/>
        <v>0.33886080926431594</v>
      </c>
      <c r="BO100">
        <f t="shared" si="137"/>
        <v>829.86461413303959</v>
      </c>
      <c r="BP100" t="s">
        <v>781</v>
      </c>
      <c r="BQ100">
        <v>883.2</v>
      </c>
      <c r="BR100">
        <f t="shared" si="138"/>
        <v>883.2</v>
      </c>
      <c r="BS100">
        <f t="shared" si="139"/>
        <v>0.38250595614877791</v>
      </c>
      <c r="BT100">
        <f t="shared" si="140"/>
        <v>9.8359847521707316E-2</v>
      </c>
      <c r="BU100">
        <f t="shared" si="141"/>
        <v>0.46974829658289818</v>
      </c>
      <c r="BV100">
        <f t="shared" si="142"/>
        <v>0.11759872991948553</v>
      </c>
      <c r="BW100">
        <f t="shared" si="143"/>
        <v>0.51436873620432699</v>
      </c>
      <c r="BX100">
        <f t="shared" si="144"/>
        <v>6.3111061837494986E-2</v>
      </c>
      <c r="BY100">
        <f t="shared" si="145"/>
        <v>0.93688893816250496</v>
      </c>
      <c r="BZ100">
        <v>525</v>
      </c>
      <c r="CA100">
        <v>290.00000000000011</v>
      </c>
      <c r="CB100">
        <v>1405.03</v>
      </c>
      <c r="CC100">
        <v>95</v>
      </c>
      <c r="CD100">
        <v>5053.5600000000004</v>
      </c>
      <c r="CE100">
        <v>1402.98</v>
      </c>
      <c r="CF100">
        <v>2.0499999999999998</v>
      </c>
      <c r="CG100">
        <v>300.00000000000011</v>
      </c>
      <c r="CH100">
        <v>23.9</v>
      </c>
      <c r="CI100">
        <v>1430.2971968629979</v>
      </c>
      <c r="CJ100">
        <v>1.7120137659775509</v>
      </c>
      <c r="CK100">
        <v>-13.80305362432094</v>
      </c>
      <c r="CL100">
        <v>0.79237134227066564</v>
      </c>
      <c r="CM100">
        <v>0.91552371631268747</v>
      </c>
      <c r="CN100">
        <v>-2.693220244716354E-3</v>
      </c>
      <c r="CO100">
        <v>289.99999999999989</v>
      </c>
      <c r="CP100">
        <v>1400.83</v>
      </c>
      <c r="CQ100">
        <v>705</v>
      </c>
      <c r="CR100">
        <v>5051.57</v>
      </c>
      <c r="CS100">
        <v>1402.97</v>
      </c>
      <c r="CT100">
        <v>-2.14</v>
      </c>
      <c r="DH100">
        <f t="shared" si="146"/>
        <v>2863.4861290322569</v>
      </c>
      <c r="DI100">
        <f t="shared" si="147"/>
        <v>2349.0011839541644</v>
      </c>
      <c r="DJ100">
        <f t="shared" si="148"/>
        <v>0.82032916455859772</v>
      </c>
      <c r="DK100">
        <f t="shared" si="149"/>
        <v>0.17598528759809362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1761692557.42258</v>
      </c>
      <c r="DR100">
        <v>417.64229032258072</v>
      </c>
      <c r="DS100">
        <v>419.98861290322589</v>
      </c>
      <c r="DT100">
        <v>15.825822580645159</v>
      </c>
      <c r="DU100">
        <v>15.134996774193549</v>
      </c>
      <c r="DV100">
        <v>416.80977419354838</v>
      </c>
      <c r="DW100">
        <v>15.652167741935481</v>
      </c>
      <c r="DX100">
        <v>499.98116129032258</v>
      </c>
      <c r="DY100">
        <v>91.188777419354821</v>
      </c>
      <c r="DZ100">
        <v>3.8996122580645158E-2</v>
      </c>
      <c r="EA100">
        <v>23.366877419354839</v>
      </c>
      <c r="EB100">
        <v>24.13584516129032</v>
      </c>
      <c r="EC100">
        <v>999.90000000000032</v>
      </c>
      <c r="ED100">
        <v>0</v>
      </c>
      <c r="EE100">
        <v>0</v>
      </c>
      <c r="EF100">
        <v>9992.2029032258051</v>
      </c>
      <c r="EG100">
        <v>0</v>
      </c>
      <c r="EH100">
        <v>1063.4751612903219</v>
      </c>
      <c r="EI100">
        <v>-2.346233548387096</v>
      </c>
      <c r="EJ100">
        <v>424.35806451612899</v>
      </c>
      <c r="EK100">
        <v>426.44264516129039</v>
      </c>
      <c r="EL100">
        <v>0.69084374193548392</v>
      </c>
      <c r="EM100">
        <v>419.98861290322589</v>
      </c>
      <c r="EN100">
        <v>15.134996774193549</v>
      </c>
      <c r="EO100">
        <v>1.4431390322580651</v>
      </c>
      <c r="EP100">
        <v>1.380141612903226</v>
      </c>
      <c r="EQ100">
        <v>12.378648387096771</v>
      </c>
      <c r="ER100">
        <v>11.701183870967739</v>
      </c>
      <c r="ES100">
        <v>1800.010967741935</v>
      </c>
      <c r="ET100">
        <v>0.97799309677419322</v>
      </c>
      <c r="EU100">
        <v>2.200685483870967E-2</v>
      </c>
      <c r="EV100">
        <v>0</v>
      </c>
      <c r="EW100">
        <v>1376.4996774193551</v>
      </c>
      <c r="EX100">
        <v>5.0005600000000019</v>
      </c>
      <c r="EY100">
        <v>25056.309677419351</v>
      </c>
      <c r="EZ100">
        <v>15551.222580645161</v>
      </c>
      <c r="FA100">
        <v>39.561999999999983</v>
      </c>
      <c r="FB100">
        <v>40.811999999999983</v>
      </c>
      <c r="FC100">
        <v>39.686999999999983</v>
      </c>
      <c r="FD100">
        <v>39.666999999999987</v>
      </c>
      <c r="FE100">
        <v>40.061999999999983</v>
      </c>
      <c r="FF100">
        <v>1755.510967741935</v>
      </c>
      <c r="FG100">
        <v>39.5</v>
      </c>
      <c r="FH100">
        <v>0</v>
      </c>
      <c r="FI100">
        <v>127.4000000953674</v>
      </c>
      <c r="FJ100">
        <v>0</v>
      </c>
      <c r="FK100">
        <v>1376.4848</v>
      </c>
      <c r="FL100">
        <v>-3.895384597466311</v>
      </c>
      <c r="FM100">
        <v>-50.538461605654703</v>
      </c>
      <c r="FN100">
        <v>25055.912</v>
      </c>
      <c r="FO100">
        <v>15</v>
      </c>
      <c r="FP100">
        <v>0</v>
      </c>
      <c r="FQ100" t="s">
        <v>441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-2.3676236585365849</v>
      </c>
      <c r="GD100">
        <v>0.26296422212777132</v>
      </c>
      <c r="GE100">
        <v>4.6106631434370313E-2</v>
      </c>
      <c r="GF100">
        <v>1</v>
      </c>
      <c r="GG100">
        <v>1376.6676470588229</v>
      </c>
      <c r="GH100">
        <v>-3.586554615529796</v>
      </c>
      <c r="GI100">
        <v>0.43253057575382098</v>
      </c>
      <c r="GJ100">
        <v>0</v>
      </c>
      <c r="GK100">
        <v>0.68272624390243908</v>
      </c>
      <c r="GL100">
        <v>0.1356498658464077</v>
      </c>
      <c r="GM100">
        <v>1.510686419944627E-2</v>
      </c>
      <c r="GN100">
        <v>0</v>
      </c>
      <c r="GO100">
        <v>1</v>
      </c>
      <c r="GP100">
        <v>3</v>
      </c>
      <c r="GQ100" t="s">
        <v>442</v>
      </c>
      <c r="GR100">
        <v>3.129</v>
      </c>
      <c r="GS100">
        <v>2.71692</v>
      </c>
      <c r="GT100">
        <v>8.5839799999999994E-2</v>
      </c>
      <c r="GU100">
        <v>8.6785899999999999E-2</v>
      </c>
      <c r="GV100">
        <v>8.0102499999999993E-2</v>
      </c>
      <c r="GW100">
        <v>7.8250299999999995E-2</v>
      </c>
      <c r="GX100">
        <v>27433.8</v>
      </c>
      <c r="GY100">
        <v>26494.6</v>
      </c>
      <c r="GZ100">
        <v>30552.3</v>
      </c>
      <c r="HA100">
        <v>29267</v>
      </c>
      <c r="HB100">
        <v>38780.800000000003</v>
      </c>
      <c r="HC100">
        <v>35513.300000000003</v>
      </c>
      <c r="HD100">
        <v>46719.9</v>
      </c>
      <c r="HE100">
        <v>43505</v>
      </c>
      <c r="HF100">
        <v>1.83158</v>
      </c>
      <c r="HG100">
        <v>1.85863</v>
      </c>
      <c r="HH100">
        <v>7.8037400000000007E-2</v>
      </c>
      <c r="HI100">
        <v>0</v>
      </c>
      <c r="HJ100">
        <v>22.830200000000001</v>
      </c>
      <c r="HK100">
        <v>999.9</v>
      </c>
      <c r="HL100">
        <v>37.700000000000003</v>
      </c>
      <c r="HM100">
        <v>30.6</v>
      </c>
      <c r="HN100">
        <v>18.229600000000001</v>
      </c>
      <c r="HO100">
        <v>64.121399999999994</v>
      </c>
      <c r="HP100">
        <v>18.044899999999998</v>
      </c>
      <c r="HQ100">
        <v>1</v>
      </c>
      <c r="HR100">
        <v>0.168549</v>
      </c>
      <c r="HS100">
        <v>4.8527100000000001</v>
      </c>
      <c r="HT100">
        <v>20.139500000000002</v>
      </c>
      <c r="HU100">
        <v>5.2391500000000004</v>
      </c>
      <c r="HV100">
        <v>11.979799999999999</v>
      </c>
      <c r="HW100">
        <v>4.9729999999999999</v>
      </c>
      <c r="HX100">
        <v>3.2909999999999999</v>
      </c>
      <c r="HY100">
        <v>9999</v>
      </c>
      <c r="HZ100">
        <v>9999</v>
      </c>
      <c r="IA100">
        <v>9999</v>
      </c>
      <c r="IB100">
        <v>999.9</v>
      </c>
      <c r="IC100">
        <v>4.9729000000000001</v>
      </c>
      <c r="ID100">
        <v>1.87727</v>
      </c>
      <c r="IE100">
        <v>1.8753200000000001</v>
      </c>
      <c r="IF100">
        <v>1.87819</v>
      </c>
      <c r="IG100">
        <v>1.87486</v>
      </c>
      <c r="IH100">
        <v>1.8784799999999999</v>
      </c>
      <c r="II100">
        <v>1.8755999999999999</v>
      </c>
      <c r="IJ100">
        <v>1.8767199999999999</v>
      </c>
      <c r="IK100">
        <v>0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0.83299999999999996</v>
      </c>
      <c r="IY100">
        <v>0.17380000000000001</v>
      </c>
      <c r="IZ100">
        <v>6.1933660764125778E-2</v>
      </c>
      <c r="JA100">
        <v>2.058711587971173E-3</v>
      </c>
      <c r="JB100">
        <v>-6.1309262243104059E-7</v>
      </c>
      <c r="JC100">
        <v>2.6183910446277612E-10</v>
      </c>
      <c r="JD100">
        <v>3.5078820932035488E-4</v>
      </c>
      <c r="JE100">
        <v>-4.3284922736758413E-3</v>
      </c>
      <c r="JF100">
        <v>1.4186339569364E-3</v>
      </c>
      <c r="JG100">
        <v>-2.7770646863349432E-5</v>
      </c>
      <c r="JH100">
        <v>2</v>
      </c>
      <c r="JI100">
        <v>2136</v>
      </c>
      <c r="JJ100">
        <v>1</v>
      </c>
      <c r="JK100">
        <v>19</v>
      </c>
      <c r="JL100">
        <v>29361542.800000001</v>
      </c>
      <c r="JM100">
        <v>29361542.800000001</v>
      </c>
      <c r="JN100">
        <v>1.1059600000000001</v>
      </c>
      <c r="JO100">
        <v>2.5573700000000001</v>
      </c>
      <c r="JP100">
        <v>1.39893</v>
      </c>
      <c r="JQ100">
        <v>2.3278799999999999</v>
      </c>
      <c r="JR100">
        <v>1.4489700000000001</v>
      </c>
      <c r="JS100">
        <v>2.5647000000000002</v>
      </c>
      <c r="JT100">
        <v>36.505099999999999</v>
      </c>
      <c r="JU100">
        <v>23.745999999999999</v>
      </c>
      <c r="JV100">
        <v>18</v>
      </c>
      <c r="JW100">
        <v>483.20699999999999</v>
      </c>
      <c r="JX100">
        <v>470.98700000000002</v>
      </c>
      <c r="JY100">
        <v>18.221599999999999</v>
      </c>
      <c r="JZ100">
        <v>29.211200000000002</v>
      </c>
      <c r="KA100">
        <v>30.000699999999998</v>
      </c>
      <c r="KB100">
        <v>28.877099999999999</v>
      </c>
      <c r="KC100">
        <v>28.94</v>
      </c>
      <c r="KD100">
        <v>22.162500000000001</v>
      </c>
      <c r="KE100">
        <v>24.0947</v>
      </c>
      <c r="KF100">
        <v>67.335300000000004</v>
      </c>
      <c r="KG100">
        <v>18.134499999999999</v>
      </c>
      <c r="KH100">
        <v>420</v>
      </c>
      <c r="KI100">
        <v>15.105700000000001</v>
      </c>
      <c r="KJ100">
        <v>100.98099999999999</v>
      </c>
      <c r="KK100">
        <v>100.054</v>
      </c>
    </row>
    <row r="101" spans="1:297" x14ac:dyDescent="0.3">
      <c r="A101">
        <v>85</v>
      </c>
      <c r="B101">
        <v>1761692680.0999999</v>
      </c>
      <c r="C101">
        <v>15230.099999904631</v>
      </c>
      <c r="D101" t="s">
        <v>782</v>
      </c>
      <c r="E101" t="s">
        <v>783</v>
      </c>
      <c r="F101">
        <v>5</v>
      </c>
      <c r="G101" t="s">
        <v>775</v>
      </c>
      <c r="H101" t="s">
        <v>436</v>
      </c>
      <c r="I101">
        <v>1761692672.099999</v>
      </c>
      <c r="J101">
        <f t="shared" si="100"/>
        <v>6.9970025905179243E-4</v>
      </c>
      <c r="K101">
        <f t="shared" si="101"/>
        <v>0.69970025905179245</v>
      </c>
      <c r="L101">
        <f t="shared" si="102"/>
        <v>1.7789127060172178</v>
      </c>
      <c r="M101">
        <f t="shared" si="103"/>
        <v>417.59048387096772</v>
      </c>
      <c r="N101">
        <f t="shared" si="104"/>
        <v>315.62691721998533</v>
      </c>
      <c r="O101">
        <f t="shared" si="105"/>
        <v>28.793048824692931</v>
      </c>
      <c r="P101">
        <f t="shared" si="106"/>
        <v>38.094669797898291</v>
      </c>
      <c r="Q101">
        <f t="shared" si="107"/>
        <v>3.2115660576955883E-2</v>
      </c>
      <c r="R101">
        <f t="shared" si="108"/>
        <v>2.7719313293226997</v>
      </c>
      <c r="S101">
        <f t="shared" si="109"/>
        <v>3.191036898208905E-2</v>
      </c>
      <c r="T101">
        <f t="shared" si="110"/>
        <v>1.9962315713481553E-2</v>
      </c>
      <c r="U101">
        <f t="shared" si="111"/>
        <v>452.11622058842511</v>
      </c>
      <c r="V101">
        <f t="shared" si="112"/>
        <v>26.043506448328255</v>
      </c>
      <c r="W101">
        <f t="shared" si="113"/>
        <v>26.043506448328255</v>
      </c>
      <c r="X101">
        <f t="shared" si="114"/>
        <v>3.3829549687345764</v>
      </c>
      <c r="Y101">
        <f t="shared" si="115"/>
        <v>49.628493335944874</v>
      </c>
      <c r="Z101">
        <f t="shared" si="116"/>
        <v>1.4354881057059263</v>
      </c>
      <c r="AA101">
        <f t="shared" si="117"/>
        <v>2.8924676314246125</v>
      </c>
      <c r="AB101">
        <f t="shared" si="118"/>
        <v>1.94746686302865</v>
      </c>
      <c r="AC101">
        <f t="shared" si="119"/>
        <v>-30.856781424184046</v>
      </c>
      <c r="AD101">
        <f t="shared" si="120"/>
        <v>-391.83166408671519</v>
      </c>
      <c r="AE101">
        <f t="shared" si="121"/>
        <v>-29.820537315417212</v>
      </c>
      <c r="AF101">
        <f t="shared" si="122"/>
        <v>-0.39276223789130427</v>
      </c>
      <c r="AG101">
        <f t="shared" si="123"/>
        <v>1.7373599036827201</v>
      </c>
      <c r="AH101">
        <f t="shared" si="124"/>
        <v>0.58918655657839258</v>
      </c>
      <c r="AI101">
        <f t="shared" si="125"/>
        <v>1.7789127060172178</v>
      </c>
      <c r="AJ101">
        <v>426.36609462296451</v>
      </c>
      <c r="AK101">
        <v>424.21422424242422</v>
      </c>
      <c r="AL101">
        <v>-3.1443798823765439E-3</v>
      </c>
      <c r="AM101">
        <v>64.99746826382804</v>
      </c>
      <c r="AN101">
        <f t="shared" si="126"/>
        <v>0.69970025905179245</v>
      </c>
      <c r="AO101">
        <v>15.05125335752675</v>
      </c>
      <c r="AP101">
        <v>15.80519300699301</v>
      </c>
      <c r="AQ101">
        <v>1.0117201155332789E-2</v>
      </c>
      <c r="AR101">
        <v>96.649150714757255</v>
      </c>
      <c r="AS101">
        <v>0</v>
      </c>
      <c r="AT101">
        <v>0</v>
      </c>
      <c r="AU101">
        <f t="shared" si="127"/>
        <v>1</v>
      </c>
      <c r="AV101">
        <f t="shared" si="128"/>
        <v>0</v>
      </c>
      <c r="AW101">
        <f t="shared" si="129"/>
        <v>48843.943481132817</v>
      </c>
      <c r="AX101" t="s">
        <v>772</v>
      </c>
      <c r="AY101">
        <v>5012.8999999999996</v>
      </c>
      <c r="AZ101">
        <v>972.70384615384614</v>
      </c>
      <c r="BA101">
        <v>1914.968862480476</v>
      </c>
      <c r="BB101">
        <f t="shared" si="130"/>
        <v>0.49205239562282266</v>
      </c>
      <c r="BC101">
        <v>-2.3832491889447081</v>
      </c>
      <c r="BD101" t="s">
        <v>784</v>
      </c>
      <c r="BE101">
        <v>5055.32</v>
      </c>
      <c r="BF101">
        <v>1365.9</v>
      </c>
      <c r="BG101">
        <v>1421.8496556271191</v>
      </c>
      <c r="BH101">
        <f t="shared" si="131"/>
        <v>3.9349909750086676E-2</v>
      </c>
      <c r="BI101">
        <v>0.5</v>
      </c>
      <c r="BJ101">
        <f t="shared" si="132"/>
        <v>2105.9424169854783</v>
      </c>
      <c r="BK101">
        <f t="shared" si="133"/>
        <v>1.7789127060172178</v>
      </c>
      <c r="BL101">
        <f t="shared" si="134"/>
        <v>41.434322023628987</v>
      </c>
      <c r="BM101">
        <f t="shared" si="135"/>
        <v>1.9763892219426373E-3</v>
      </c>
      <c r="BN101">
        <f t="shared" si="136"/>
        <v>0.34681529436096564</v>
      </c>
      <c r="BO101">
        <f t="shared" si="137"/>
        <v>827.01379047827993</v>
      </c>
      <c r="BP101" t="s">
        <v>785</v>
      </c>
      <c r="BQ101">
        <v>888.07</v>
      </c>
      <c r="BR101">
        <f t="shared" si="138"/>
        <v>888.07</v>
      </c>
      <c r="BS101">
        <f t="shared" si="139"/>
        <v>0.37541216366627095</v>
      </c>
      <c r="BT101">
        <f t="shared" si="140"/>
        <v>0.10481788700130526</v>
      </c>
      <c r="BU101">
        <f t="shared" si="141"/>
        <v>0.48020231092887433</v>
      </c>
      <c r="BV101">
        <f t="shared" si="142"/>
        <v>0.12456902512957402</v>
      </c>
      <c r="BW101">
        <f t="shared" si="143"/>
        <v>0.52333387986296676</v>
      </c>
      <c r="BX101">
        <f t="shared" si="144"/>
        <v>6.8149660230799589E-2</v>
      </c>
      <c r="BY101">
        <f t="shared" si="145"/>
        <v>0.9318503397692004</v>
      </c>
      <c r="BZ101">
        <v>527</v>
      </c>
      <c r="CA101">
        <v>290.00000000000011</v>
      </c>
      <c r="CB101">
        <v>1403.5</v>
      </c>
      <c r="CC101">
        <v>115</v>
      </c>
      <c r="CD101">
        <v>5055.32</v>
      </c>
      <c r="CE101">
        <v>1401.08</v>
      </c>
      <c r="CF101">
        <v>2.42</v>
      </c>
      <c r="CG101">
        <v>300.00000000000011</v>
      </c>
      <c r="CH101">
        <v>23.9</v>
      </c>
      <c r="CI101">
        <v>1421.8496556271191</v>
      </c>
      <c r="CJ101">
        <v>1.7611675689994699</v>
      </c>
      <c r="CK101">
        <v>-10.501413357542109</v>
      </c>
      <c r="CL101">
        <v>0.80819413521501871</v>
      </c>
      <c r="CM101">
        <v>0.85774933549067489</v>
      </c>
      <c r="CN101">
        <v>-2.9436309232480562E-3</v>
      </c>
      <c r="CO101">
        <v>289.99999999999989</v>
      </c>
      <c r="CP101">
        <v>1399.04</v>
      </c>
      <c r="CQ101">
        <v>685</v>
      </c>
      <c r="CR101">
        <v>5053.67</v>
      </c>
      <c r="CS101">
        <v>1401.07</v>
      </c>
      <c r="CT101">
        <v>-2.0299999999999998</v>
      </c>
      <c r="DH101">
        <f t="shared" si="146"/>
        <v>2566.9587096774189</v>
      </c>
      <c r="DI101">
        <f t="shared" si="147"/>
        <v>2105.9424169854783</v>
      </c>
      <c r="DJ101">
        <f t="shared" si="148"/>
        <v>0.82040369759205234</v>
      </c>
      <c r="DK101">
        <f t="shared" si="149"/>
        <v>0.17612913635266109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1761692672.099999</v>
      </c>
      <c r="DR101">
        <v>417.59048387096772</v>
      </c>
      <c r="DS101">
        <v>419.97022580645171</v>
      </c>
      <c r="DT101">
        <v>15.735696774193549</v>
      </c>
      <c r="DU101">
        <v>15.039896774193551</v>
      </c>
      <c r="DV101">
        <v>416.75816129032262</v>
      </c>
      <c r="DW101">
        <v>15.56377096774194</v>
      </c>
      <c r="DX101">
        <v>500.07067741935481</v>
      </c>
      <c r="DY101">
        <v>91.186370967741908</v>
      </c>
      <c r="DZ101">
        <v>3.8576125806451617E-2</v>
      </c>
      <c r="EA101">
        <v>23.4215129032258</v>
      </c>
      <c r="EB101">
        <v>23.98476451612904</v>
      </c>
      <c r="EC101">
        <v>999.90000000000032</v>
      </c>
      <c r="ED101">
        <v>0</v>
      </c>
      <c r="EE101">
        <v>0</v>
      </c>
      <c r="EF101">
        <v>10009.633548387101</v>
      </c>
      <c r="EG101">
        <v>0</v>
      </c>
      <c r="EH101">
        <v>1066.950322580645</v>
      </c>
      <c r="EI101">
        <v>-2.3796958064516121</v>
      </c>
      <c r="EJ101">
        <v>424.26670967741933</v>
      </c>
      <c r="EK101">
        <v>426.38306451612902</v>
      </c>
      <c r="EL101">
        <v>0.69579596774193553</v>
      </c>
      <c r="EM101">
        <v>419.97022580645171</v>
      </c>
      <c r="EN101">
        <v>15.039896774193551</v>
      </c>
      <c r="EO101">
        <v>1.4348806451612901</v>
      </c>
      <c r="EP101">
        <v>1.3714345161290331</v>
      </c>
      <c r="EQ101">
        <v>12.2913064516129</v>
      </c>
      <c r="ER101">
        <v>11.605390322580639</v>
      </c>
      <c r="ES101">
        <v>1500.008387096774</v>
      </c>
      <c r="ET101">
        <v>0.97299896774193562</v>
      </c>
      <c r="EU101">
        <v>2.700069032258064E-2</v>
      </c>
      <c r="EV101">
        <v>0</v>
      </c>
      <c r="EW101">
        <v>1365.9106451612911</v>
      </c>
      <c r="EX101">
        <v>5.0005600000000019</v>
      </c>
      <c r="EY101">
        <v>20709.716129032258</v>
      </c>
      <c r="EZ101">
        <v>12931.58064516129</v>
      </c>
      <c r="FA101">
        <v>39.25</v>
      </c>
      <c r="FB101">
        <v>40.828258064516113</v>
      </c>
      <c r="FC101">
        <v>39.625</v>
      </c>
      <c r="FD101">
        <v>39.70732258064514</v>
      </c>
      <c r="FE101">
        <v>39.904999999999987</v>
      </c>
      <c r="FF101">
        <v>1454.6383870967741</v>
      </c>
      <c r="FG101">
        <v>40.369999999999983</v>
      </c>
      <c r="FH101">
        <v>0</v>
      </c>
      <c r="FI101">
        <v>112.7999999523163</v>
      </c>
      <c r="FJ101">
        <v>0</v>
      </c>
      <c r="FK101">
        <v>1365.9</v>
      </c>
      <c r="FL101">
        <v>-0.71931623898719177</v>
      </c>
      <c r="FM101">
        <v>-17.924786439958162</v>
      </c>
      <c r="FN101">
        <v>20709.419230769228</v>
      </c>
      <c r="FO101">
        <v>15</v>
      </c>
      <c r="FP101">
        <v>0</v>
      </c>
      <c r="FQ101" t="s">
        <v>441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-2.362768</v>
      </c>
      <c r="GD101">
        <v>-0.28810311444652709</v>
      </c>
      <c r="GE101">
        <v>3.5244024188506043E-2</v>
      </c>
      <c r="GF101">
        <v>1</v>
      </c>
      <c r="GG101">
        <v>1365.9273529411771</v>
      </c>
      <c r="GH101">
        <v>-0.53980137267127659</v>
      </c>
      <c r="GI101">
        <v>0.21632367936974631</v>
      </c>
      <c r="GJ101">
        <v>1</v>
      </c>
      <c r="GK101">
        <v>0.70770642499999992</v>
      </c>
      <c r="GL101">
        <v>-4.8271125703565149E-2</v>
      </c>
      <c r="GM101">
        <v>3.8732861025160201E-2</v>
      </c>
      <c r="GN101">
        <v>1</v>
      </c>
      <c r="GO101">
        <v>3</v>
      </c>
      <c r="GP101">
        <v>3</v>
      </c>
      <c r="GQ101" t="s">
        <v>470</v>
      </c>
      <c r="GR101">
        <v>3.1288399999999998</v>
      </c>
      <c r="GS101">
        <v>2.7163499999999998</v>
      </c>
      <c r="GT101">
        <v>8.5812299999999994E-2</v>
      </c>
      <c r="GU101">
        <v>8.6769899999999997E-2</v>
      </c>
      <c r="GV101">
        <v>8.0032099999999995E-2</v>
      </c>
      <c r="GW101">
        <v>7.79339E-2</v>
      </c>
      <c r="GX101">
        <v>27436.9</v>
      </c>
      <c r="GY101">
        <v>26495.8</v>
      </c>
      <c r="GZ101">
        <v>30554.7</v>
      </c>
      <c r="HA101">
        <v>29267.7</v>
      </c>
      <c r="HB101">
        <v>38786.699999999997</v>
      </c>
      <c r="HC101">
        <v>35526.199999999997</v>
      </c>
      <c r="HD101">
        <v>46723.5</v>
      </c>
      <c r="HE101">
        <v>43505.8</v>
      </c>
      <c r="HF101">
        <v>1.83158</v>
      </c>
      <c r="HG101">
        <v>1.85907</v>
      </c>
      <c r="HH101">
        <v>6.5606100000000001E-2</v>
      </c>
      <c r="HI101">
        <v>0</v>
      </c>
      <c r="HJ101">
        <v>22.8903</v>
      </c>
      <c r="HK101">
        <v>999.9</v>
      </c>
      <c r="HL101">
        <v>37.5</v>
      </c>
      <c r="HM101">
        <v>30.6</v>
      </c>
      <c r="HN101">
        <v>18.1326</v>
      </c>
      <c r="HO101">
        <v>63.721400000000003</v>
      </c>
      <c r="HP101">
        <v>18.097000000000001</v>
      </c>
      <c r="HQ101">
        <v>1</v>
      </c>
      <c r="HR101">
        <v>0.161077</v>
      </c>
      <c r="HS101">
        <v>3.4596300000000002</v>
      </c>
      <c r="HT101">
        <v>20.176500000000001</v>
      </c>
      <c r="HU101">
        <v>5.2382600000000004</v>
      </c>
      <c r="HV101">
        <v>11.977</v>
      </c>
      <c r="HW101">
        <v>4.9726499999999998</v>
      </c>
      <c r="HX101">
        <v>3.2909999999999999</v>
      </c>
      <c r="HY101">
        <v>9999</v>
      </c>
      <c r="HZ101">
        <v>9999</v>
      </c>
      <c r="IA101">
        <v>9999</v>
      </c>
      <c r="IB101">
        <v>999.9</v>
      </c>
      <c r="IC101">
        <v>4.9729099999999997</v>
      </c>
      <c r="ID101">
        <v>1.8772899999999999</v>
      </c>
      <c r="IE101">
        <v>1.8753200000000001</v>
      </c>
      <c r="IF101">
        <v>1.87819</v>
      </c>
      <c r="IG101">
        <v>1.87486</v>
      </c>
      <c r="IH101">
        <v>1.8785099999999999</v>
      </c>
      <c r="II101">
        <v>1.87561</v>
      </c>
      <c r="IJ101">
        <v>1.8767100000000001</v>
      </c>
      <c r="IK101">
        <v>0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0.83199999999999996</v>
      </c>
      <c r="IY101">
        <v>0.1734</v>
      </c>
      <c r="IZ101">
        <v>6.1933660764125778E-2</v>
      </c>
      <c r="JA101">
        <v>2.058711587971173E-3</v>
      </c>
      <c r="JB101">
        <v>-6.1309262243104059E-7</v>
      </c>
      <c r="JC101">
        <v>2.6183910446277612E-10</v>
      </c>
      <c r="JD101">
        <v>3.5078820932035488E-4</v>
      </c>
      <c r="JE101">
        <v>-4.3284922736758413E-3</v>
      </c>
      <c r="JF101">
        <v>1.4186339569364E-3</v>
      </c>
      <c r="JG101">
        <v>-2.7770646863349432E-5</v>
      </c>
      <c r="JH101">
        <v>2</v>
      </c>
      <c r="JI101">
        <v>2136</v>
      </c>
      <c r="JJ101">
        <v>1</v>
      </c>
      <c r="JK101">
        <v>19</v>
      </c>
      <c r="JL101">
        <v>29361544.699999999</v>
      </c>
      <c r="JM101">
        <v>29361544.699999999</v>
      </c>
      <c r="JN101">
        <v>1.1047400000000001</v>
      </c>
      <c r="JO101">
        <v>2.5476100000000002</v>
      </c>
      <c r="JP101">
        <v>1.39893</v>
      </c>
      <c r="JQ101">
        <v>2.3278799999999999</v>
      </c>
      <c r="JR101">
        <v>1.4489700000000001</v>
      </c>
      <c r="JS101">
        <v>2.5378400000000001</v>
      </c>
      <c r="JT101">
        <v>36.481400000000001</v>
      </c>
      <c r="JU101">
        <v>23.842300000000002</v>
      </c>
      <c r="JV101">
        <v>18</v>
      </c>
      <c r="JW101">
        <v>483.255</v>
      </c>
      <c r="JX101">
        <v>471.39800000000002</v>
      </c>
      <c r="JY101">
        <v>18.918299999999999</v>
      </c>
      <c r="JZ101">
        <v>29.197399999999998</v>
      </c>
      <c r="KA101">
        <v>29.9984</v>
      </c>
      <c r="KB101">
        <v>28.884499999999999</v>
      </c>
      <c r="KC101">
        <v>28.954699999999999</v>
      </c>
      <c r="KD101">
        <v>22.161999999999999</v>
      </c>
      <c r="KE101">
        <v>24.1067</v>
      </c>
      <c r="KF101">
        <v>66.964100000000002</v>
      </c>
      <c r="KG101">
        <v>18.969000000000001</v>
      </c>
      <c r="KH101">
        <v>420</v>
      </c>
      <c r="KI101">
        <v>15.053000000000001</v>
      </c>
      <c r="KJ101">
        <v>100.988</v>
      </c>
      <c r="KK101">
        <v>100.056</v>
      </c>
    </row>
    <row r="102" spans="1:297" x14ac:dyDescent="0.3">
      <c r="A102">
        <v>86</v>
      </c>
      <c r="B102">
        <v>1761692809.5999999</v>
      </c>
      <c r="C102">
        <v>15359.599999904631</v>
      </c>
      <c r="D102" t="s">
        <v>786</v>
      </c>
      <c r="E102" t="s">
        <v>787</v>
      </c>
      <c r="F102">
        <v>5</v>
      </c>
      <c r="G102" t="s">
        <v>775</v>
      </c>
      <c r="H102" t="s">
        <v>436</v>
      </c>
      <c r="I102">
        <v>1761692801.849999</v>
      </c>
      <c r="J102">
        <f t="shared" si="100"/>
        <v>7.5929021167975448E-4</v>
      </c>
      <c r="K102">
        <f t="shared" si="101"/>
        <v>0.75929021167975452</v>
      </c>
      <c r="L102">
        <f t="shared" si="102"/>
        <v>1.731857649801523</v>
      </c>
      <c r="M102">
        <f t="shared" si="103"/>
        <v>417.51093333333341</v>
      </c>
      <c r="N102">
        <f t="shared" si="104"/>
        <v>326.51964637527027</v>
      </c>
      <c r="O102">
        <f t="shared" si="105"/>
        <v>29.787895042968277</v>
      </c>
      <c r="P102">
        <f t="shared" si="106"/>
        <v>38.088892963982424</v>
      </c>
      <c r="Q102">
        <f t="shared" si="107"/>
        <v>3.5636658869079151E-2</v>
      </c>
      <c r="R102">
        <f t="shared" si="108"/>
        <v>2.7713051122956283</v>
      </c>
      <c r="S102">
        <f t="shared" si="109"/>
        <v>3.5384019845122558E-2</v>
      </c>
      <c r="T102">
        <f t="shared" si="110"/>
        <v>2.2137561576763727E-2</v>
      </c>
      <c r="U102">
        <f t="shared" si="111"/>
        <v>399.66379775298589</v>
      </c>
      <c r="V102">
        <f t="shared" si="112"/>
        <v>26.058045954291316</v>
      </c>
      <c r="W102">
        <f t="shared" si="113"/>
        <v>26.058045954291316</v>
      </c>
      <c r="X102">
        <f t="shared" si="114"/>
        <v>3.3858656401525908</v>
      </c>
      <c r="Y102">
        <f t="shared" si="115"/>
        <v>50.092192598850872</v>
      </c>
      <c r="Z102">
        <f t="shared" si="116"/>
        <v>1.4804453296121125</v>
      </c>
      <c r="AA102">
        <f t="shared" si="117"/>
        <v>2.9554412630084679</v>
      </c>
      <c r="AB102">
        <f t="shared" si="118"/>
        <v>1.9054203105404783</v>
      </c>
      <c r="AC102">
        <f t="shared" si="119"/>
        <v>-33.484698335077169</v>
      </c>
      <c r="AD102">
        <f t="shared" si="120"/>
        <v>-340.50749817339363</v>
      </c>
      <c r="AE102">
        <f t="shared" si="121"/>
        <v>-25.968829398107069</v>
      </c>
      <c r="AF102">
        <f t="shared" si="122"/>
        <v>-0.2972281535919592</v>
      </c>
      <c r="AG102">
        <f t="shared" si="123"/>
        <v>1.7789800640905067</v>
      </c>
      <c r="AH102">
        <f t="shared" si="124"/>
        <v>0.67266713525983146</v>
      </c>
      <c r="AI102">
        <f t="shared" si="125"/>
        <v>1.731857649801523</v>
      </c>
      <c r="AJ102">
        <v>426.55614522850948</v>
      </c>
      <c r="AK102">
        <v>424.44356363636342</v>
      </c>
      <c r="AL102">
        <v>4.03576194572159E-4</v>
      </c>
      <c r="AM102">
        <v>64.99746826382804</v>
      </c>
      <c r="AN102">
        <f t="shared" si="126"/>
        <v>0.75929021167975452</v>
      </c>
      <c r="AO102">
        <v>15.444212784738539</v>
      </c>
      <c r="AP102">
        <v>16.286362237762251</v>
      </c>
      <c r="AQ102">
        <v>7.5760049390016446E-3</v>
      </c>
      <c r="AR102">
        <v>96.649150714757255</v>
      </c>
      <c r="AS102">
        <v>0</v>
      </c>
      <c r="AT102">
        <v>0</v>
      </c>
      <c r="AU102">
        <f t="shared" si="127"/>
        <v>1</v>
      </c>
      <c r="AV102">
        <f t="shared" si="128"/>
        <v>0</v>
      </c>
      <c r="AW102">
        <f t="shared" si="129"/>
        <v>48767.919245297926</v>
      </c>
      <c r="AX102" t="s">
        <v>772</v>
      </c>
      <c r="AY102">
        <v>5012.8999999999996</v>
      </c>
      <c r="AZ102">
        <v>972.70384615384614</v>
      </c>
      <c r="BA102">
        <v>1914.968862480476</v>
      </c>
      <c r="BB102">
        <f t="shared" si="130"/>
        <v>0.49205239562282266</v>
      </c>
      <c r="BC102">
        <v>-2.3832491889447081</v>
      </c>
      <c r="BD102" t="s">
        <v>788</v>
      </c>
      <c r="BE102">
        <v>5056.8100000000004</v>
      </c>
      <c r="BF102">
        <v>1352.1664000000001</v>
      </c>
      <c r="BG102">
        <v>1428.8429050776001</v>
      </c>
      <c r="BH102">
        <f t="shared" si="131"/>
        <v>5.3663355716096595E-2</v>
      </c>
      <c r="BI102">
        <v>0.5</v>
      </c>
      <c r="BJ102">
        <f t="shared" si="132"/>
        <v>1860.0010250879025</v>
      </c>
      <c r="BK102">
        <f t="shared" si="133"/>
        <v>1.731857649801523</v>
      </c>
      <c r="BL102">
        <f t="shared" si="134"/>
        <v>49.906948320798207</v>
      </c>
      <c r="BM102">
        <f t="shared" si="135"/>
        <v>2.2124218122684925E-3</v>
      </c>
      <c r="BN102">
        <f t="shared" si="136"/>
        <v>0.34022351629794773</v>
      </c>
      <c r="BO102">
        <f t="shared" si="137"/>
        <v>829.37483657461041</v>
      </c>
      <c r="BP102" t="s">
        <v>789</v>
      </c>
      <c r="BQ102">
        <v>878.73</v>
      </c>
      <c r="BR102">
        <f t="shared" si="138"/>
        <v>878.73</v>
      </c>
      <c r="BS102">
        <f t="shared" si="139"/>
        <v>0.38500586952050098</v>
      </c>
      <c r="BT102">
        <f t="shared" si="140"/>
        <v>0.13938321455444477</v>
      </c>
      <c r="BU102">
        <f t="shared" si="141"/>
        <v>0.46912538701667839</v>
      </c>
      <c r="BV102">
        <f t="shared" si="142"/>
        <v>0.16809896801759508</v>
      </c>
      <c r="BW102">
        <f t="shared" si="143"/>
        <v>0.51591213616102627</v>
      </c>
      <c r="BX102">
        <f t="shared" si="144"/>
        <v>9.0580724476978014E-2</v>
      </c>
      <c r="BY102">
        <f t="shared" si="145"/>
        <v>0.90941927552302193</v>
      </c>
      <c r="BZ102">
        <v>529</v>
      </c>
      <c r="CA102">
        <v>290.00000000000011</v>
      </c>
      <c r="CB102">
        <v>1403.5</v>
      </c>
      <c r="CC102">
        <v>65</v>
      </c>
      <c r="CD102">
        <v>5056.8100000000004</v>
      </c>
      <c r="CE102">
        <v>1401.71</v>
      </c>
      <c r="CF102">
        <v>1.79</v>
      </c>
      <c r="CG102">
        <v>300.00000000000011</v>
      </c>
      <c r="CH102">
        <v>23.9</v>
      </c>
      <c r="CI102">
        <v>1428.8429050776001</v>
      </c>
      <c r="CJ102">
        <v>1.9228648179263801</v>
      </c>
      <c r="CK102">
        <v>-13.71839938982607</v>
      </c>
      <c r="CL102">
        <v>0.87451172331768201</v>
      </c>
      <c r="CM102">
        <v>0.897839897870638</v>
      </c>
      <c r="CN102">
        <v>-3.1922582869855442E-3</v>
      </c>
      <c r="CO102">
        <v>289.99999999999989</v>
      </c>
      <c r="CP102">
        <v>1400.42</v>
      </c>
      <c r="CQ102">
        <v>655</v>
      </c>
      <c r="CR102">
        <v>5054.22</v>
      </c>
      <c r="CS102">
        <v>1401.7</v>
      </c>
      <c r="CT102">
        <v>-1.28</v>
      </c>
      <c r="DH102">
        <f t="shared" si="146"/>
        <v>2266.9306666666662</v>
      </c>
      <c r="DI102">
        <f t="shared" si="147"/>
        <v>1860.0010250879025</v>
      </c>
      <c r="DJ102">
        <f t="shared" si="148"/>
        <v>0.82049312422195952</v>
      </c>
      <c r="DK102">
        <f t="shared" si="149"/>
        <v>0.17630172974838193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1761692801.849999</v>
      </c>
      <c r="DR102">
        <v>417.51093333333341</v>
      </c>
      <c r="DS102">
        <v>419.98253333333338</v>
      </c>
      <c r="DT102">
        <v>16.227883333333331</v>
      </c>
      <c r="DU102">
        <v>15.43384333333333</v>
      </c>
      <c r="DV102">
        <v>416.6787333333333</v>
      </c>
      <c r="DW102">
        <v>16.046446666666661</v>
      </c>
      <c r="DX102">
        <v>500.0386666666667</v>
      </c>
      <c r="DY102">
        <v>91.189850000000021</v>
      </c>
      <c r="DZ102">
        <v>3.8642293333333327E-2</v>
      </c>
      <c r="EA102">
        <v>23.778980000000001</v>
      </c>
      <c r="EB102">
        <v>24.046399999999998</v>
      </c>
      <c r="EC102">
        <v>999.9000000000002</v>
      </c>
      <c r="ED102">
        <v>0</v>
      </c>
      <c r="EE102">
        <v>0</v>
      </c>
      <c r="EF102">
        <v>10005.557000000001</v>
      </c>
      <c r="EG102">
        <v>0</v>
      </c>
      <c r="EH102">
        <v>1066.929333333333</v>
      </c>
      <c r="EI102">
        <v>-2.4715819999999988</v>
      </c>
      <c r="EJ102">
        <v>424.39803333333322</v>
      </c>
      <c r="EK102">
        <v>426.56606666666659</v>
      </c>
      <c r="EL102">
        <v>0.79403489999999988</v>
      </c>
      <c r="EM102">
        <v>419.98253333333338</v>
      </c>
      <c r="EN102">
        <v>15.43384333333333</v>
      </c>
      <c r="EO102">
        <v>1.4798173333333331</v>
      </c>
      <c r="EP102">
        <v>1.407410333333333</v>
      </c>
      <c r="EQ102">
        <v>12.761163333333331</v>
      </c>
      <c r="ER102">
        <v>11.997696666666659</v>
      </c>
      <c r="ES102">
        <v>1200.0013333333329</v>
      </c>
      <c r="ET102">
        <v>0.96699106666666657</v>
      </c>
      <c r="EU102">
        <v>3.3009183333333338E-2</v>
      </c>
      <c r="EV102">
        <v>0</v>
      </c>
      <c r="EW102">
        <v>1352.164666666667</v>
      </c>
      <c r="EX102">
        <v>5.0005600000000019</v>
      </c>
      <c r="EY102">
        <v>16391.419999999998</v>
      </c>
      <c r="EZ102">
        <v>10316.790000000001</v>
      </c>
      <c r="FA102">
        <v>38.75</v>
      </c>
      <c r="FB102">
        <v>40.75</v>
      </c>
      <c r="FC102">
        <v>39.375</v>
      </c>
      <c r="FD102">
        <v>39.649799999999992</v>
      </c>
      <c r="FE102">
        <v>39.570399999999992</v>
      </c>
      <c r="FF102">
        <v>1155.5513333333331</v>
      </c>
      <c r="FG102">
        <v>39.45000000000001</v>
      </c>
      <c r="FH102">
        <v>0</v>
      </c>
      <c r="FI102">
        <v>127.19999980926509</v>
      </c>
      <c r="FJ102">
        <v>0</v>
      </c>
      <c r="FK102">
        <v>1352.1664000000001</v>
      </c>
      <c r="FL102">
        <v>-0.83230769662046733</v>
      </c>
      <c r="FM102">
        <v>-17.976923157543361</v>
      </c>
      <c r="FN102">
        <v>16391.308000000001</v>
      </c>
      <c r="FO102">
        <v>15</v>
      </c>
      <c r="FP102">
        <v>0</v>
      </c>
      <c r="FQ102" t="s">
        <v>441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-2.460719512195122</v>
      </c>
      <c r="GD102">
        <v>-0.1435925435540116</v>
      </c>
      <c r="GE102">
        <v>3.2825601174159363E-2</v>
      </c>
      <c r="GF102">
        <v>1</v>
      </c>
      <c r="GG102">
        <v>1352.1541176470589</v>
      </c>
      <c r="GH102">
        <v>-1.7112299261896519E-2</v>
      </c>
      <c r="GI102">
        <v>0.1922179774762173</v>
      </c>
      <c r="GJ102">
        <v>1</v>
      </c>
      <c r="GK102">
        <v>0.77413609756097557</v>
      </c>
      <c r="GL102">
        <v>0.38675036236934007</v>
      </c>
      <c r="GM102">
        <v>3.9009677186380362E-2</v>
      </c>
      <c r="GN102">
        <v>0</v>
      </c>
      <c r="GO102">
        <v>2</v>
      </c>
      <c r="GP102">
        <v>3</v>
      </c>
      <c r="GQ102" t="s">
        <v>479</v>
      </c>
      <c r="GR102">
        <v>3.1285599999999998</v>
      </c>
      <c r="GS102">
        <v>2.7167500000000002</v>
      </c>
      <c r="GT102">
        <v>8.5817199999999996E-2</v>
      </c>
      <c r="GU102">
        <v>8.6782499999999999E-2</v>
      </c>
      <c r="GV102">
        <v>8.1767300000000001E-2</v>
      </c>
      <c r="GW102">
        <v>7.9402399999999998E-2</v>
      </c>
      <c r="GX102">
        <v>27437.7</v>
      </c>
      <c r="GY102">
        <v>26495.9</v>
      </c>
      <c r="GZ102">
        <v>30555.7</v>
      </c>
      <c r="HA102">
        <v>29268.1</v>
      </c>
      <c r="HB102">
        <v>38713.9</v>
      </c>
      <c r="HC102">
        <v>35470</v>
      </c>
      <c r="HD102">
        <v>46724.7</v>
      </c>
      <c r="HE102">
        <v>43506.8</v>
      </c>
      <c r="HF102">
        <v>1.83125</v>
      </c>
      <c r="HG102">
        <v>1.8605</v>
      </c>
      <c r="HH102">
        <v>5.9917600000000001E-2</v>
      </c>
      <c r="HI102">
        <v>0</v>
      </c>
      <c r="HJ102">
        <v>23.105399999999999</v>
      </c>
      <c r="HK102">
        <v>999.9</v>
      </c>
      <c r="HL102">
        <v>37.5</v>
      </c>
      <c r="HM102">
        <v>30.6</v>
      </c>
      <c r="HN102">
        <v>18.133500000000002</v>
      </c>
      <c r="HO102">
        <v>63.511400000000002</v>
      </c>
      <c r="HP102">
        <v>18.161100000000001</v>
      </c>
      <c r="HQ102">
        <v>1</v>
      </c>
      <c r="HR102">
        <v>0.15764500000000001</v>
      </c>
      <c r="HS102">
        <v>3.0807799999999999</v>
      </c>
      <c r="HT102">
        <v>20.185400000000001</v>
      </c>
      <c r="HU102">
        <v>5.2370599999999996</v>
      </c>
      <c r="HV102">
        <v>11.9758</v>
      </c>
      <c r="HW102">
        <v>4.9718999999999998</v>
      </c>
      <c r="HX102">
        <v>3.2909999999999999</v>
      </c>
      <c r="HY102">
        <v>9999</v>
      </c>
      <c r="HZ102">
        <v>9999</v>
      </c>
      <c r="IA102">
        <v>9999</v>
      </c>
      <c r="IB102">
        <v>999.9</v>
      </c>
      <c r="IC102">
        <v>4.9729000000000001</v>
      </c>
      <c r="ID102">
        <v>1.8772899999999999</v>
      </c>
      <c r="IE102">
        <v>1.87534</v>
      </c>
      <c r="IF102">
        <v>1.8782000000000001</v>
      </c>
      <c r="IG102">
        <v>1.8748800000000001</v>
      </c>
      <c r="IH102">
        <v>1.87849</v>
      </c>
      <c r="II102">
        <v>1.87561</v>
      </c>
      <c r="IJ102">
        <v>1.8767499999999999</v>
      </c>
      <c r="IK102">
        <v>0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0.83199999999999996</v>
      </c>
      <c r="IY102">
        <v>0.18260000000000001</v>
      </c>
      <c r="IZ102">
        <v>6.1933660764125778E-2</v>
      </c>
      <c r="JA102">
        <v>2.058711587971173E-3</v>
      </c>
      <c r="JB102">
        <v>-6.1309262243104059E-7</v>
      </c>
      <c r="JC102">
        <v>2.6183910446277612E-10</v>
      </c>
      <c r="JD102">
        <v>3.5078820932035488E-4</v>
      </c>
      <c r="JE102">
        <v>-4.3284922736758413E-3</v>
      </c>
      <c r="JF102">
        <v>1.4186339569364E-3</v>
      </c>
      <c r="JG102">
        <v>-2.7770646863349432E-5</v>
      </c>
      <c r="JH102">
        <v>2</v>
      </c>
      <c r="JI102">
        <v>2136</v>
      </c>
      <c r="JJ102">
        <v>1</v>
      </c>
      <c r="JK102">
        <v>19</v>
      </c>
      <c r="JL102">
        <v>29361546.800000001</v>
      </c>
      <c r="JM102">
        <v>29361546.800000001</v>
      </c>
      <c r="JN102">
        <v>1.1059600000000001</v>
      </c>
      <c r="JO102">
        <v>2.5549300000000001</v>
      </c>
      <c r="JP102">
        <v>1.39893</v>
      </c>
      <c r="JQ102">
        <v>2.3278799999999999</v>
      </c>
      <c r="JR102">
        <v>1.4489700000000001</v>
      </c>
      <c r="JS102">
        <v>2.4597199999999999</v>
      </c>
      <c r="JT102">
        <v>36.481400000000001</v>
      </c>
      <c r="JU102">
        <v>23.833600000000001</v>
      </c>
      <c r="JV102">
        <v>18</v>
      </c>
      <c r="JW102">
        <v>483.14</v>
      </c>
      <c r="JX102">
        <v>472.43299999999999</v>
      </c>
      <c r="JY102">
        <v>20.195</v>
      </c>
      <c r="JZ102">
        <v>29.1861</v>
      </c>
      <c r="KA102">
        <v>30.000299999999999</v>
      </c>
      <c r="KB102">
        <v>28.894400000000001</v>
      </c>
      <c r="KC102">
        <v>28.967300000000002</v>
      </c>
      <c r="KD102">
        <v>22.165800000000001</v>
      </c>
      <c r="KE102">
        <v>21.812799999999999</v>
      </c>
      <c r="KF102">
        <v>66.964100000000002</v>
      </c>
      <c r="KG102">
        <v>20.120200000000001</v>
      </c>
      <c r="KH102">
        <v>420</v>
      </c>
      <c r="KI102">
        <v>15.3962</v>
      </c>
      <c r="KJ102">
        <v>100.991</v>
      </c>
      <c r="KK102">
        <v>100.05800000000001</v>
      </c>
    </row>
    <row r="103" spans="1:297" x14ac:dyDescent="0.3">
      <c r="A103">
        <v>87</v>
      </c>
      <c r="B103">
        <v>1761692939.0999999</v>
      </c>
      <c r="C103">
        <v>15489.099999904631</v>
      </c>
      <c r="D103" t="s">
        <v>790</v>
      </c>
      <c r="E103" t="s">
        <v>791</v>
      </c>
      <c r="F103">
        <v>5</v>
      </c>
      <c r="G103" t="s">
        <v>775</v>
      </c>
      <c r="H103" t="s">
        <v>436</v>
      </c>
      <c r="I103">
        <v>1761692931.349999</v>
      </c>
      <c r="J103">
        <f t="shared" si="100"/>
        <v>7.9080579461670967E-4</v>
      </c>
      <c r="K103">
        <f t="shared" si="101"/>
        <v>0.79080579461670963</v>
      </c>
      <c r="L103">
        <f t="shared" si="102"/>
        <v>1.6615336937610659</v>
      </c>
      <c r="M103">
        <f t="shared" si="103"/>
        <v>417.61483333333331</v>
      </c>
      <c r="N103">
        <f t="shared" si="104"/>
        <v>334.43552916793595</v>
      </c>
      <c r="O103">
        <f t="shared" si="105"/>
        <v>30.511760019545363</v>
      </c>
      <c r="P103">
        <f t="shared" si="106"/>
        <v>38.100508061960888</v>
      </c>
      <c r="Q103">
        <f t="shared" si="107"/>
        <v>3.7925739726375168E-2</v>
      </c>
      <c r="R103">
        <f t="shared" si="108"/>
        <v>2.7700878151922974</v>
      </c>
      <c r="S103">
        <f t="shared" si="109"/>
        <v>3.7639618234828573E-2</v>
      </c>
      <c r="T103">
        <f t="shared" si="110"/>
        <v>2.3550288207757925E-2</v>
      </c>
      <c r="U103">
        <f t="shared" si="111"/>
        <v>347.3562023080371</v>
      </c>
      <c r="V103">
        <f t="shared" si="112"/>
        <v>25.945633867702234</v>
      </c>
      <c r="W103">
        <f t="shared" si="113"/>
        <v>25.945633867702234</v>
      </c>
      <c r="X103">
        <f t="shared" si="114"/>
        <v>3.3634186095495</v>
      </c>
      <c r="Y103">
        <f t="shared" si="115"/>
        <v>50.00531994109145</v>
      </c>
      <c r="Z103">
        <f t="shared" si="116"/>
        <v>1.4976723605567428</v>
      </c>
      <c r="AA103">
        <f t="shared" si="117"/>
        <v>2.9950260538700064</v>
      </c>
      <c r="AB103">
        <f t="shared" si="118"/>
        <v>1.8657462489927572</v>
      </c>
      <c r="AC103">
        <f t="shared" si="119"/>
        <v>-34.874535542596895</v>
      </c>
      <c r="AD103">
        <f t="shared" si="120"/>
        <v>-290.52004634012513</v>
      </c>
      <c r="AE103">
        <f t="shared" si="121"/>
        <v>-22.178336574020079</v>
      </c>
      <c r="AF103">
        <f t="shared" si="122"/>
        <v>-0.21671614870501799</v>
      </c>
      <c r="AG103">
        <f t="shared" si="123"/>
        <v>1.682692754983254</v>
      </c>
      <c r="AH103">
        <f t="shared" si="124"/>
        <v>0.70904960946896023</v>
      </c>
      <c r="AI103">
        <f t="shared" si="125"/>
        <v>1.6615336937610659</v>
      </c>
      <c r="AJ103">
        <v>426.64364054828178</v>
      </c>
      <c r="AK103">
        <v>424.61749696969667</v>
      </c>
      <c r="AL103">
        <v>1.5556544180210979E-4</v>
      </c>
      <c r="AM103">
        <v>64.99746826382804</v>
      </c>
      <c r="AN103">
        <f t="shared" si="126"/>
        <v>0.79080579461670963</v>
      </c>
      <c r="AO103">
        <v>15.58331250841481</v>
      </c>
      <c r="AP103">
        <v>16.46882867132868</v>
      </c>
      <c r="AQ103">
        <v>6.702430716069188E-3</v>
      </c>
      <c r="AR103">
        <v>96.649150714757255</v>
      </c>
      <c r="AS103">
        <v>0</v>
      </c>
      <c r="AT103">
        <v>0</v>
      </c>
      <c r="AU103">
        <f t="shared" si="127"/>
        <v>1</v>
      </c>
      <c r="AV103">
        <f t="shared" si="128"/>
        <v>0</v>
      </c>
      <c r="AW103">
        <f t="shared" si="129"/>
        <v>48698.150636040664</v>
      </c>
      <c r="AX103" t="s">
        <v>772</v>
      </c>
      <c r="AY103">
        <v>5012.8999999999996</v>
      </c>
      <c r="AZ103">
        <v>972.70384615384614</v>
      </c>
      <c r="BA103">
        <v>1914.968862480476</v>
      </c>
      <c r="BB103">
        <f t="shared" si="130"/>
        <v>0.49205239562282266</v>
      </c>
      <c r="BC103">
        <v>-2.3832491889447081</v>
      </c>
      <c r="BD103" t="s">
        <v>792</v>
      </c>
      <c r="BE103">
        <v>5057.13</v>
      </c>
      <c r="BF103">
        <v>1333.93</v>
      </c>
      <c r="BG103">
        <v>1432.8796275615739</v>
      </c>
      <c r="BH103">
        <f t="shared" si="131"/>
        <v>6.9056482944043873E-2</v>
      </c>
      <c r="BI103">
        <v>0.5</v>
      </c>
      <c r="BJ103">
        <f t="shared" si="132"/>
        <v>1614.0039932425063</v>
      </c>
      <c r="BK103">
        <f t="shared" si="133"/>
        <v>1.6615336937610659</v>
      </c>
      <c r="BL103">
        <f t="shared" si="134"/>
        <v>55.72871961548492</v>
      </c>
      <c r="BM103">
        <f t="shared" si="135"/>
        <v>2.5060550653160868E-3</v>
      </c>
      <c r="BN103">
        <f t="shared" si="136"/>
        <v>0.33644782551574498</v>
      </c>
      <c r="BO103">
        <f t="shared" si="137"/>
        <v>830.73329757795489</v>
      </c>
      <c r="BP103" t="s">
        <v>793</v>
      </c>
      <c r="BQ103">
        <v>894.67</v>
      </c>
      <c r="BR103">
        <f t="shared" si="138"/>
        <v>894.67</v>
      </c>
      <c r="BS103">
        <f t="shared" si="139"/>
        <v>0.37561398543817726</v>
      </c>
      <c r="BT103">
        <f t="shared" si="140"/>
        <v>0.1838496052363045</v>
      </c>
      <c r="BU103">
        <f t="shared" si="141"/>
        <v>0.47249806174132347</v>
      </c>
      <c r="BV103">
        <f t="shared" si="142"/>
        <v>0.21502571747447499</v>
      </c>
      <c r="BW103">
        <f t="shared" si="143"/>
        <v>0.51162807338247729</v>
      </c>
      <c r="BX103">
        <f t="shared" si="144"/>
        <v>0.12330836424457396</v>
      </c>
      <c r="BY103">
        <f t="shared" si="145"/>
        <v>0.87669163575542608</v>
      </c>
      <c r="BZ103">
        <v>531</v>
      </c>
      <c r="CA103">
        <v>290.00000000000011</v>
      </c>
      <c r="CB103">
        <v>1408.23</v>
      </c>
      <c r="CC103">
        <v>125</v>
      </c>
      <c r="CD103">
        <v>5057.13</v>
      </c>
      <c r="CE103">
        <v>1407.28</v>
      </c>
      <c r="CF103">
        <v>0.95</v>
      </c>
      <c r="CG103">
        <v>300.00000000000011</v>
      </c>
      <c r="CH103">
        <v>23.9</v>
      </c>
      <c r="CI103">
        <v>1432.8796275615739</v>
      </c>
      <c r="CJ103">
        <v>1.8776159430760311</v>
      </c>
      <c r="CK103">
        <v>-12.94483602443333</v>
      </c>
      <c r="CL103">
        <v>0.84632384984788345</v>
      </c>
      <c r="CM103">
        <v>0.8931086901696943</v>
      </c>
      <c r="CN103">
        <v>-3.4419884315906538E-3</v>
      </c>
      <c r="CO103">
        <v>289.99999999999989</v>
      </c>
      <c r="CP103">
        <v>1404.82</v>
      </c>
      <c r="CQ103">
        <v>635</v>
      </c>
      <c r="CR103">
        <v>5055.83</v>
      </c>
      <c r="CS103">
        <v>1407.28</v>
      </c>
      <c r="CT103">
        <v>-2.46</v>
      </c>
      <c r="DH103">
        <f t="shared" si="146"/>
        <v>1966.7233999999999</v>
      </c>
      <c r="DI103">
        <f t="shared" si="147"/>
        <v>1614.0039932425063</v>
      </c>
      <c r="DJ103">
        <f t="shared" si="148"/>
        <v>0.82065632271549038</v>
      </c>
      <c r="DK103">
        <f t="shared" si="149"/>
        <v>0.17661670284089626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1761692931.349999</v>
      </c>
      <c r="DR103">
        <v>417.61483333333331</v>
      </c>
      <c r="DS103">
        <v>419.98939999999999</v>
      </c>
      <c r="DT103">
        <v>16.415796666666669</v>
      </c>
      <c r="DU103">
        <v>15.578903333333329</v>
      </c>
      <c r="DV103">
        <v>416.78229999999991</v>
      </c>
      <c r="DW103">
        <v>16.23071333333333</v>
      </c>
      <c r="DX103">
        <v>499.99919999999997</v>
      </c>
      <c r="DY103">
        <v>91.194823333333332</v>
      </c>
      <c r="DZ103">
        <v>3.8784816666666673E-2</v>
      </c>
      <c r="EA103">
        <v>24.000286666666671</v>
      </c>
      <c r="EB103">
        <v>24.011923333333339</v>
      </c>
      <c r="EC103">
        <v>999.9000000000002</v>
      </c>
      <c r="ED103">
        <v>0</v>
      </c>
      <c r="EE103">
        <v>0</v>
      </c>
      <c r="EF103">
        <v>9997.8319999999967</v>
      </c>
      <c r="EG103">
        <v>0</v>
      </c>
      <c r="EH103">
        <v>1066.7080000000001</v>
      </c>
      <c r="EI103">
        <v>-2.3745400000000001</v>
      </c>
      <c r="EJ103">
        <v>424.58463333333327</v>
      </c>
      <c r="EK103">
        <v>426.63586666666657</v>
      </c>
      <c r="EL103">
        <v>0.83688936666666669</v>
      </c>
      <c r="EM103">
        <v>419.98939999999999</v>
      </c>
      <c r="EN103">
        <v>15.578903333333329</v>
      </c>
      <c r="EO103">
        <v>1.497034666666667</v>
      </c>
      <c r="EP103">
        <v>1.420715</v>
      </c>
      <c r="EQ103">
        <v>12.937889999999999</v>
      </c>
      <c r="ER103">
        <v>12.14055333333333</v>
      </c>
      <c r="ES103">
        <v>900.01539999999989</v>
      </c>
      <c r="ET103">
        <v>0.95599999999999996</v>
      </c>
      <c r="EU103">
        <v>4.3999990000000003E-2</v>
      </c>
      <c r="EV103">
        <v>0</v>
      </c>
      <c r="EW103">
        <v>1333.912</v>
      </c>
      <c r="EX103">
        <v>5.0005600000000019</v>
      </c>
      <c r="EY103">
        <v>12127.26666666667</v>
      </c>
      <c r="EZ103">
        <v>7699.8476666666656</v>
      </c>
      <c r="FA103">
        <v>38.120800000000003</v>
      </c>
      <c r="FB103">
        <v>40.5</v>
      </c>
      <c r="FC103">
        <v>39.016533333333342</v>
      </c>
      <c r="FD103">
        <v>39.5</v>
      </c>
      <c r="FE103">
        <v>39.186999999999991</v>
      </c>
      <c r="FF103">
        <v>855.63400000000024</v>
      </c>
      <c r="FG103">
        <v>39.380000000000017</v>
      </c>
      <c r="FH103">
        <v>0</v>
      </c>
      <c r="FI103">
        <v>127.19999980926509</v>
      </c>
      <c r="FJ103">
        <v>0</v>
      </c>
      <c r="FK103">
        <v>1333.93</v>
      </c>
      <c r="FL103">
        <v>2.3276923149899829</v>
      </c>
      <c r="FM103">
        <v>11.73846147040139</v>
      </c>
      <c r="FN103">
        <v>12127.164000000001</v>
      </c>
      <c r="FO103">
        <v>15</v>
      </c>
      <c r="FP103">
        <v>0</v>
      </c>
      <c r="FQ103" t="s">
        <v>441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-2.36179425</v>
      </c>
      <c r="GD103">
        <v>-0.2480234521575925</v>
      </c>
      <c r="GE103">
        <v>3.6208102262304462E-2</v>
      </c>
      <c r="GF103">
        <v>1</v>
      </c>
      <c r="GG103">
        <v>1333.841764705882</v>
      </c>
      <c r="GH103">
        <v>1.8172650840596181</v>
      </c>
      <c r="GI103">
        <v>0.28318016078146591</v>
      </c>
      <c r="GJ103">
        <v>0</v>
      </c>
      <c r="GK103">
        <v>0.82793652499999992</v>
      </c>
      <c r="GL103">
        <v>0.25744805628517631</v>
      </c>
      <c r="GM103">
        <v>2.9768208781338779E-2</v>
      </c>
      <c r="GN103">
        <v>0</v>
      </c>
      <c r="GO103">
        <v>1</v>
      </c>
      <c r="GP103">
        <v>3</v>
      </c>
      <c r="GQ103" t="s">
        <v>442</v>
      </c>
      <c r="GR103">
        <v>3.1287099999999999</v>
      </c>
      <c r="GS103">
        <v>2.7164700000000002</v>
      </c>
      <c r="GT103">
        <v>8.5835999999999996E-2</v>
      </c>
      <c r="GU103">
        <v>8.6785200000000007E-2</v>
      </c>
      <c r="GV103">
        <v>8.2425799999999994E-2</v>
      </c>
      <c r="GW103">
        <v>7.9910300000000004E-2</v>
      </c>
      <c r="GX103">
        <v>27434.7</v>
      </c>
      <c r="GY103">
        <v>26493.7</v>
      </c>
      <c r="GZ103">
        <v>30553</v>
      </c>
      <c r="HA103">
        <v>29265.8</v>
      </c>
      <c r="HB103">
        <v>38682.699999999997</v>
      </c>
      <c r="HC103">
        <v>35447.599999999999</v>
      </c>
      <c r="HD103">
        <v>46720.800000000003</v>
      </c>
      <c r="HE103">
        <v>43503.5</v>
      </c>
      <c r="HF103">
        <v>1.8313200000000001</v>
      </c>
      <c r="HG103">
        <v>1.8603799999999999</v>
      </c>
      <c r="HH103">
        <v>4.2822199999999998E-2</v>
      </c>
      <c r="HI103">
        <v>0</v>
      </c>
      <c r="HJ103">
        <v>23.3065</v>
      </c>
      <c r="HK103">
        <v>999.9</v>
      </c>
      <c r="HL103">
        <v>37.700000000000003</v>
      </c>
      <c r="HM103">
        <v>30.6</v>
      </c>
      <c r="HN103">
        <v>18.230499999999999</v>
      </c>
      <c r="HO103">
        <v>63.531399999999998</v>
      </c>
      <c r="HP103">
        <v>18.140999999999998</v>
      </c>
      <c r="HQ103">
        <v>1</v>
      </c>
      <c r="HR103">
        <v>0.15727099999999999</v>
      </c>
      <c r="HS103">
        <v>2.5958100000000002</v>
      </c>
      <c r="HT103">
        <v>20.1953</v>
      </c>
      <c r="HU103">
        <v>5.2394499999999997</v>
      </c>
      <c r="HV103">
        <v>11.974299999999999</v>
      </c>
      <c r="HW103">
        <v>4.9728500000000002</v>
      </c>
      <c r="HX103">
        <v>3.2909999999999999</v>
      </c>
      <c r="HY103">
        <v>9999</v>
      </c>
      <c r="HZ103">
        <v>9999</v>
      </c>
      <c r="IA103">
        <v>9999</v>
      </c>
      <c r="IB103">
        <v>999.9</v>
      </c>
      <c r="IC103">
        <v>4.9729299999999999</v>
      </c>
      <c r="ID103">
        <v>1.8772899999999999</v>
      </c>
      <c r="IE103">
        <v>1.87531</v>
      </c>
      <c r="IF103">
        <v>1.87818</v>
      </c>
      <c r="IG103">
        <v>1.87487</v>
      </c>
      <c r="IH103">
        <v>1.87846</v>
      </c>
      <c r="II103">
        <v>1.8755999999999999</v>
      </c>
      <c r="IJ103">
        <v>1.8767499999999999</v>
      </c>
      <c r="IK103">
        <v>0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0.83199999999999996</v>
      </c>
      <c r="IY103">
        <v>0.1862</v>
      </c>
      <c r="IZ103">
        <v>6.1933660764125778E-2</v>
      </c>
      <c r="JA103">
        <v>2.058711587971173E-3</v>
      </c>
      <c r="JB103">
        <v>-6.1309262243104059E-7</v>
      </c>
      <c r="JC103">
        <v>2.6183910446277612E-10</v>
      </c>
      <c r="JD103">
        <v>3.5078820932035488E-4</v>
      </c>
      <c r="JE103">
        <v>-4.3284922736758413E-3</v>
      </c>
      <c r="JF103">
        <v>1.4186339569364E-3</v>
      </c>
      <c r="JG103">
        <v>-2.7770646863349432E-5</v>
      </c>
      <c r="JH103">
        <v>2</v>
      </c>
      <c r="JI103">
        <v>2136</v>
      </c>
      <c r="JJ103">
        <v>1</v>
      </c>
      <c r="JK103">
        <v>19</v>
      </c>
      <c r="JL103">
        <v>29361549</v>
      </c>
      <c r="JM103">
        <v>29361549</v>
      </c>
      <c r="JN103">
        <v>1.1047400000000001</v>
      </c>
      <c r="JO103">
        <v>2.5561500000000001</v>
      </c>
      <c r="JP103">
        <v>1.39893</v>
      </c>
      <c r="JQ103">
        <v>2.3278799999999999</v>
      </c>
      <c r="JR103">
        <v>1.4489700000000001</v>
      </c>
      <c r="JS103">
        <v>2.47559</v>
      </c>
      <c r="JT103">
        <v>36.457799999999999</v>
      </c>
      <c r="JU103">
        <v>23.833600000000001</v>
      </c>
      <c r="JV103">
        <v>18</v>
      </c>
      <c r="JW103">
        <v>483.26299999999998</v>
      </c>
      <c r="JX103">
        <v>472.46899999999999</v>
      </c>
      <c r="JY103">
        <v>20.7532</v>
      </c>
      <c r="JZ103">
        <v>29.186699999999998</v>
      </c>
      <c r="KA103">
        <v>29.9999</v>
      </c>
      <c r="KB103">
        <v>28.9069</v>
      </c>
      <c r="KC103">
        <v>28.982099999999999</v>
      </c>
      <c r="KD103">
        <v>22.163799999999998</v>
      </c>
      <c r="KE103">
        <v>22.1251</v>
      </c>
      <c r="KF103">
        <v>67.714200000000005</v>
      </c>
      <c r="KG103">
        <v>20.75</v>
      </c>
      <c r="KH103">
        <v>420</v>
      </c>
      <c r="KI103">
        <v>15.5077</v>
      </c>
      <c r="KJ103">
        <v>100.983</v>
      </c>
      <c r="KK103">
        <v>100.05</v>
      </c>
    </row>
    <row r="104" spans="1:297" x14ac:dyDescent="0.3">
      <c r="A104">
        <v>88</v>
      </c>
      <c r="B104">
        <v>1761693017.0999999</v>
      </c>
      <c r="C104">
        <v>15567.099999904631</v>
      </c>
      <c r="D104" t="s">
        <v>794</v>
      </c>
      <c r="E104" t="s">
        <v>795</v>
      </c>
      <c r="F104">
        <v>5</v>
      </c>
      <c r="G104" t="s">
        <v>775</v>
      </c>
      <c r="H104" t="s">
        <v>436</v>
      </c>
      <c r="I104">
        <v>1761693009.099999</v>
      </c>
      <c r="J104">
        <f t="shared" si="100"/>
        <v>8.432615594002839E-4</v>
      </c>
      <c r="K104">
        <f t="shared" si="101"/>
        <v>0.84326155940028391</v>
      </c>
      <c r="L104">
        <f t="shared" si="102"/>
        <v>1.4466189542175432</v>
      </c>
      <c r="M104">
        <f t="shared" si="103"/>
        <v>417.89248387096768</v>
      </c>
      <c r="N104">
        <f t="shared" si="104"/>
        <v>349.30884614340465</v>
      </c>
      <c r="O104">
        <f t="shared" si="105"/>
        <v>31.867871311548971</v>
      </c>
      <c r="P104">
        <f t="shared" si="106"/>
        <v>38.12484008090729</v>
      </c>
      <c r="Q104">
        <f t="shared" si="107"/>
        <v>4.1589514281292858E-2</v>
      </c>
      <c r="R104">
        <f t="shared" si="108"/>
        <v>2.7710375139937558</v>
      </c>
      <c r="S104">
        <f t="shared" si="109"/>
        <v>4.1245828867181526E-2</v>
      </c>
      <c r="T104">
        <f t="shared" si="110"/>
        <v>2.5809284952336472E-2</v>
      </c>
      <c r="U104">
        <f t="shared" si="111"/>
        <v>295.42643473373323</v>
      </c>
      <c r="V104">
        <f t="shared" si="112"/>
        <v>25.732654583542111</v>
      </c>
      <c r="W104">
        <f t="shared" si="113"/>
        <v>25.732654583542111</v>
      </c>
      <c r="X104">
        <f t="shared" si="114"/>
        <v>3.3212459942928145</v>
      </c>
      <c r="Y104">
        <f t="shared" si="115"/>
        <v>49.885897468009979</v>
      </c>
      <c r="Z104">
        <f t="shared" si="116"/>
        <v>1.5053842476326087</v>
      </c>
      <c r="AA104">
        <f t="shared" si="117"/>
        <v>3.017654936644083</v>
      </c>
      <c r="AB104">
        <f t="shared" si="118"/>
        <v>1.8158617466602058</v>
      </c>
      <c r="AC104">
        <f t="shared" si="119"/>
        <v>-37.187834769552516</v>
      </c>
      <c r="AD104">
        <f t="shared" si="120"/>
        <v>-240.07366813847315</v>
      </c>
      <c r="AE104">
        <f t="shared" si="121"/>
        <v>-18.312831350013674</v>
      </c>
      <c r="AF104">
        <f t="shared" si="122"/>
        <v>-0.14789952430609787</v>
      </c>
      <c r="AG104">
        <f t="shared" si="123"/>
        <v>1.3830073206174958</v>
      </c>
      <c r="AH104">
        <f t="shared" si="124"/>
        <v>0.88133064494038305</v>
      </c>
      <c r="AI104">
        <f t="shared" si="125"/>
        <v>1.4466189542175432</v>
      </c>
      <c r="AJ104">
        <v>426.58870807923199</v>
      </c>
      <c r="AK104">
        <v>424.86994545454542</v>
      </c>
      <c r="AL104">
        <v>-9.2340856773216011E-3</v>
      </c>
      <c r="AM104">
        <v>64.99746826382804</v>
      </c>
      <c r="AN104">
        <f t="shared" si="126"/>
        <v>0.84326155940028391</v>
      </c>
      <c r="AO104">
        <v>15.443102893725611</v>
      </c>
      <c r="AP104">
        <v>16.479651048951069</v>
      </c>
      <c r="AQ104">
        <v>-5.8048425696374554E-3</v>
      </c>
      <c r="AR104">
        <v>96.649150714757255</v>
      </c>
      <c r="AS104">
        <v>0</v>
      </c>
      <c r="AT104">
        <v>0</v>
      </c>
      <c r="AU104">
        <f t="shared" si="127"/>
        <v>1</v>
      </c>
      <c r="AV104">
        <f t="shared" si="128"/>
        <v>0</v>
      </c>
      <c r="AW104">
        <f t="shared" si="129"/>
        <v>48703.706960419499</v>
      </c>
      <c r="AX104" t="s">
        <v>772</v>
      </c>
      <c r="AY104">
        <v>5012.8999999999996</v>
      </c>
      <c r="AZ104">
        <v>972.70384615384614</v>
      </c>
      <c r="BA104">
        <v>1914.968862480476</v>
      </c>
      <c r="BB104">
        <f t="shared" si="130"/>
        <v>0.49205239562282266</v>
      </c>
      <c r="BC104">
        <v>-2.3832491889447081</v>
      </c>
      <c r="BD104" t="s">
        <v>796</v>
      </c>
      <c r="BE104">
        <v>5057.76</v>
      </c>
      <c r="BF104">
        <v>1295.8172</v>
      </c>
      <c r="BG104">
        <v>1439.5083567155839</v>
      </c>
      <c r="BH104">
        <f t="shared" si="131"/>
        <v>9.9819605801687028E-2</v>
      </c>
      <c r="BI104">
        <v>0.5</v>
      </c>
      <c r="BJ104">
        <f t="shared" si="132"/>
        <v>1368.1910811966527</v>
      </c>
      <c r="BK104">
        <f t="shared" si="133"/>
        <v>1.4466189542175432</v>
      </c>
      <c r="BL104">
        <f t="shared" si="134"/>
        <v>68.28614719321692</v>
      </c>
      <c r="BM104">
        <f t="shared" si="135"/>
        <v>2.7992202228160679E-3</v>
      </c>
      <c r="BN104">
        <f t="shared" si="136"/>
        <v>0.33029367530016568</v>
      </c>
      <c r="BO104">
        <f t="shared" si="137"/>
        <v>832.95707140126831</v>
      </c>
      <c r="BP104" t="s">
        <v>797</v>
      </c>
      <c r="BQ104">
        <v>873.67</v>
      </c>
      <c r="BR104">
        <f t="shared" si="138"/>
        <v>873.67</v>
      </c>
      <c r="BS104">
        <f t="shared" si="139"/>
        <v>0.39307750738357228</v>
      </c>
      <c r="BT104">
        <f t="shared" si="140"/>
        <v>0.25394382514052444</v>
      </c>
      <c r="BU104">
        <f t="shared" si="141"/>
        <v>0.4566033085182658</v>
      </c>
      <c r="BV104">
        <f t="shared" si="142"/>
        <v>0.30781869811555707</v>
      </c>
      <c r="BW104">
        <f t="shared" si="143"/>
        <v>0.50459318506639417</v>
      </c>
      <c r="BX104">
        <f t="shared" si="144"/>
        <v>0.1712148146440115</v>
      </c>
      <c r="BY104">
        <f t="shared" si="145"/>
        <v>0.82878518535598844</v>
      </c>
      <c r="BZ104">
        <v>533</v>
      </c>
      <c r="CA104">
        <v>290.00000000000011</v>
      </c>
      <c r="CB104">
        <v>1414.29</v>
      </c>
      <c r="CC104">
        <v>245</v>
      </c>
      <c r="CD104">
        <v>5057.76</v>
      </c>
      <c r="CE104">
        <v>1413.98</v>
      </c>
      <c r="CF104">
        <v>0.31</v>
      </c>
      <c r="CG104">
        <v>300.00000000000011</v>
      </c>
      <c r="CH104">
        <v>23.9</v>
      </c>
      <c r="CI104">
        <v>1439.5083567155839</v>
      </c>
      <c r="CJ104">
        <v>1.423364147589429</v>
      </c>
      <c r="CK104">
        <v>-12.914097864412939</v>
      </c>
      <c r="CL104">
        <v>0.63577292026382914</v>
      </c>
      <c r="CM104">
        <v>0.93644959221587254</v>
      </c>
      <c r="CN104">
        <v>-3.692788876529479E-3</v>
      </c>
      <c r="CO104">
        <v>289.99999999999989</v>
      </c>
      <c r="CP104">
        <v>1411.74</v>
      </c>
      <c r="CQ104">
        <v>675</v>
      </c>
      <c r="CR104">
        <v>5057.3500000000004</v>
      </c>
      <c r="CS104">
        <v>1413.97</v>
      </c>
      <c r="CT104">
        <v>-2.23</v>
      </c>
      <c r="DH104">
        <f t="shared" si="146"/>
        <v>1666.5001612903225</v>
      </c>
      <c r="DI104">
        <f t="shared" si="147"/>
        <v>1368.1910811966527</v>
      </c>
      <c r="DJ104">
        <f t="shared" si="148"/>
        <v>0.82099666893359446</v>
      </c>
      <c r="DK104">
        <f t="shared" si="149"/>
        <v>0.17727357104183727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1761693009.099999</v>
      </c>
      <c r="DR104">
        <v>417.89248387096768</v>
      </c>
      <c r="DS104">
        <v>419.993870967742</v>
      </c>
      <c r="DT104">
        <v>16.50075806451613</v>
      </c>
      <c r="DU104">
        <v>15.46070322580645</v>
      </c>
      <c r="DV104">
        <v>417.0595806451613</v>
      </c>
      <c r="DW104">
        <v>16.31403548387097</v>
      </c>
      <c r="DX104">
        <v>500.04364516129033</v>
      </c>
      <c r="DY104">
        <v>91.192496774193543</v>
      </c>
      <c r="DZ104">
        <v>3.8720709677419363E-2</v>
      </c>
      <c r="EA104">
        <v>24.12565161290323</v>
      </c>
      <c r="EB104">
        <v>23.983422580645161</v>
      </c>
      <c r="EC104">
        <v>999.90000000000032</v>
      </c>
      <c r="ED104">
        <v>0</v>
      </c>
      <c r="EE104">
        <v>0</v>
      </c>
      <c r="EF104">
        <v>10003.688064516131</v>
      </c>
      <c r="EG104">
        <v>0</v>
      </c>
      <c r="EH104">
        <v>1066.5041935483871</v>
      </c>
      <c r="EI104">
        <v>-2.1014377419354839</v>
      </c>
      <c r="EJ104">
        <v>424.90374193548388</v>
      </c>
      <c r="EK104">
        <v>426.58925806451612</v>
      </c>
      <c r="EL104">
        <v>1.0400465806451611</v>
      </c>
      <c r="EM104">
        <v>419.993870967742</v>
      </c>
      <c r="EN104">
        <v>15.46070322580645</v>
      </c>
      <c r="EO104">
        <v>1.504744516129032</v>
      </c>
      <c r="EP104">
        <v>1.4098996774193551</v>
      </c>
      <c r="EQ104">
        <v>13.016445161290321</v>
      </c>
      <c r="ER104">
        <v>12.02451612903225</v>
      </c>
      <c r="ES104">
        <v>599.99596774193549</v>
      </c>
      <c r="ET104">
        <v>0.93299638709677402</v>
      </c>
      <c r="EU104">
        <v>6.7003464516129013E-2</v>
      </c>
      <c r="EV104">
        <v>0</v>
      </c>
      <c r="EW104">
        <v>1295.764516129032</v>
      </c>
      <c r="EX104">
        <v>5.0005600000000019</v>
      </c>
      <c r="EY104">
        <v>7874.5183870967749</v>
      </c>
      <c r="EZ104">
        <v>5081.0864516129031</v>
      </c>
      <c r="FA104">
        <v>37.11877419354839</v>
      </c>
      <c r="FB104">
        <v>40.328258064516113</v>
      </c>
      <c r="FC104">
        <v>38.640806451612889</v>
      </c>
      <c r="FD104">
        <v>39.308322580645161</v>
      </c>
      <c r="FE104">
        <v>38.870677419354827</v>
      </c>
      <c r="FF104">
        <v>555.12838709677419</v>
      </c>
      <c r="FG104">
        <v>39.866451612903226</v>
      </c>
      <c r="FH104">
        <v>0</v>
      </c>
      <c r="FI104">
        <v>76.199999809265137</v>
      </c>
      <c r="FJ104">
        <v>0</v>
      </c>
      <c r="FK104">
        <v>1295.8172</v>
      </c>
      <c r="FL104">
        <v>1.3415384676573121</v>
      </c>
      <c r="FM104">
        <v>-8.192307471290551</v>
      </c>
      <c r="FN104">
        <v>7874.4840000000004</v>
      </c>
      <c r="FO104">
        <v>15</v>
      </c>
      <c r="FP104">
        <v>0</v>
      </c>
      <c r="FQ104" t="s">
        <v>441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-2.11831675</v>
      </c>
      <c r="GD104">
        <v>0.32517669793621101</v>
      </c>
      <c r="GE104">
        <v>4.7926575894147713E-2</v>
      </c>
      <c r="GF104">
        <v>1</v>
      </c>
      <c r="GG104">
        <v>1295.786470588235</v>
      </c>
      <c r="GH104">
        <v>0.2646294916695025</v>
      </c>
      <c r="GI104">
        <v>0.1750778373608502</v>
      </c>
      <c r="GJ104">
        <v>1</v>
      </c>
      <c r="GK104">
        <v>1.0365624250000001</v>
      </c>
      <c r="GL104">
        <v>5.5941399624762182E-2</v>
      </c>
      <c r="GM104">
        <v>2.2339040255668428E-2</v>
      </c>
      <c r="GN104">
        <v>1</v>
      </c>
      <c r="GO104">
        <v>3</v>
      </c>
      <c r="GP104">
        <v>3</v>
      </c>
      <c r="GQ104" t="s">
        <v>470</v>
      </c>
      <c r="GR104">
        <v>3.1286499999999999</v>
      </c>
      <c r="GS104">
        <v>2.7164899999999998</v>
      </c>
      <c r="GT104">
        <v>8.5881100000000002E-2</v>
      </c>
      <c r="GU104">
        <v>8.6786199999999994E-2</v>
      </c>
      <c r="GV104">
        <v>8.2459900000000003E-2</v>
      </c>
      <c r="GW104">
        <v>7.95603E-2</v>
      </c>
      <c r="GX104">
        <v>27433.200000000001</v>
      </c>
      <c r="GY104">
        <v>26493.3</v>
      </c>
      <c r="GZ104">
        <v>30552.9</v>
      </c>
      <c r="HA104">
        <v>29265.4</v>
      </c>
      <c r="HB104">
        <v>38681</v>
      </c>
      <c r="HC104">
        <v>35460.6</v>
      </c>
      <c r="HD104">
        <v>46720.4</v>
      </c>
      <c r="HE104">
        <v>43502.8</v>
      </c>
      <c r="HF104">
        <v>1.83148</v>
      </c>
      <c r="HG104">
        <v>1.8604000000000001</v>
      </c>
      <c r="HH104">
        <v>3.85232E-2</v>
      </c>
      <c r="HI104">
        <v>0</v>
      </c>
      <c r="HJ104">
        <v>23.384799999999998</v>
      </c>
      <c r="HK104">
        <v>999.9</v>
      </c>
      <c r="HL104">
        <v>37.700000000000003</v>
      </c>
      <c r="HM104">
        <v>30.6</v>
      </c>
      <c r="HN104">
        <v>18.228000000000002</v>
      </c>
      <c r="HO104">
        <v>63.5914</v>
      </c>
      <c r="HP104">
        <v>18.120999999999999</v>
      </c>
      <c r="HQ104">
        <v>1</v>
      </c>
      <c r="HR104">
        <v>0.15509899999999999</v>
      </c>
      <c r="HS104">
        <v>2.50264</v>
      </c>
      <c r="HT104">
        <v>20.192399999999999</v>
      </c>
      <c r="HU104">
        <v>5.2384000000000004</v>
      </c>
      <c r="HV104">
        <v>11.9754</v>
      </c>
      <c r="HW104">
        <v>4.9730499999999997</v>
      </c>
      <c r="HX104">
        <v>3.2909000000000002</v>
      </c>
      <c r="HY104">
        <v>9999</v>
      </c>
      <c r="HZ104">
        <v>9999</v>
      </c>
      <c r="IA104">
        <v>9999</v>
      </c>
      <c r="IB104">
        <v>999.9</v>
      </c>
      <c r="IC104">
        <v>4.9729099999999997</v>
      </c>
      <c r="ID104">
        <v>1.8772899999999999</v>
      </c>
      <c r="IE104">
        <v>1.8753200000000001</v>
      </c>
      <c r="IF104">
        <v>1.8782000000000001</v>
      </c>
      <c r="IG104">
        <v>1.87486</v>
      </c>
      <c r="IH104">
        <v>1.8785099999999999</v>
      </c>
      <c r="II104">
        <v>1.8755999999999999</v>
      </c>
      <c r="IJ104">
        <v>1.87677</v>
      </c>
      <c r="IK104">
        <v>0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0.83299999999999996</v>
      </c>
      <c r="IY104">
        <v>0.18629999999999999</v>
      </c>
      <c r="IZ104">
        <v>6.1933660764125778E-2</v>
      </c>
      <c r="JA104">
        <v>2.058711587971173E-3</v>
      </c>
      <c r="JB104">
        <v>-6.1309262243104059E-7</v>
      </c>
      <c r="JC104">
        <v>2.6183910446277612E-10</v>
      </c>
      <c r="JD104">
        <v>3.5078820932035488E-4</v>
      </c>
      <c r="JE104">
        <v>-4.3284922736758413E-3</v>
      </c>
      <c r="JF104">
        <v>1.4186339569364E-3</v>
      </c>
      <c r="JG104">
        <v>-2.7770646863349432E-5</v>
      </c>
      <c r="JH104">
        <v>2</v>
      </c>
      <c r="JI104">
        <v>2136</v>
      </c>
      <c r="JJ104">
        <v>1</v>
      </c>
      <c r="JK104">
        <v>19</v>
      </c>
      <c r="JL104">
        <v>29361550.300000001</v>
      </c>
      <c r="JM104">
        <v>29361550.300000001</v>
      </c>
      <c r="JN104">
        <v>1.1059600000000001</v>
      </c>
      <c r="JO104">
        <v>2.5573700000000001</v>
      </c>
      <c r="JP104">
        <v>1.39893</v>
      </c>
      <c r="JQ104">
        <v>2.3278799999999999</v>
      </c>
      <c r="JR104">
        <v>1.4489700000000001</v>
      </c>
      <c r="JS104">
        <v>2.4670399999999999</v>
      </c>
      <c r="JT104">
        <v>36.4343</v>
      </c>
      <c r="JU104">
        <v>23.763500000000001</v>
      </c>
      <c r="JV104">
        <v>18</v>
      </c>
      <c r="JW104">
        <v>483.39499999999998</v>
      </c>
      <c r="JX104">
        <v>472.54500000000002</v>
      </c>
      <c r="JY104">
        <v>22.010200000000001</v>
      </c>
      <c r="JZ104">
        <v>29.191099999999999</v>
      </c>
      <c r="KA104">
        <v>30.000499999999999</v>
      </c>
      <c r="KB104">
        <v>28.914300000000001</v>
      </c>
      <c r="KC104">
        <v>28.9895</v>
      </c>
      <c r="KD104">
        <v>22.164100000000001</v>
      </c>
      <c r="KE104">
        <v>22.694099999999999</v>
      </c>
      <c r="KF104">
        <v>68.086699999999993</v>
      </c>
      <c r="KG104">
        <v>21.380500000000001</v>
      </c>
      <c r="KH104">
        <v>420</v>
      </c>
      <c r="KI104">
        <v>15.463100000000001</v>
      </c>
      <c r="KJ104">
        <v>100.982</v>
      </c>
      <c r="KK104">
        <v>100.04900000000001</v>
      </c>
    </row>
    <row r="105" spans="1:297" x14ac:dyDescent="0.3">
      <c r="A105">
        <v>89</v>
      </c>
      <c r="B105">
        <v>1761693089.5999999</v>
      </c>
      <c r="C105">
        <v>15639.599999904631</v>
      </c>
      <c r="D105" t="s">
        <v>798</v>
      </c>
      <c r="E105" t="s">
        <v>799</v>
      </c>
      <c r="F105">
        <v>5</v>
      </c>
      <c r="G105" t="s">
        <v>775</v>
      </c>
      <c r="H105" t="s">
        <v>436</v>
      </c>
      <c r="I105">
        <v>1761693081.849999</v>
      </c>
      <c r="J105">
        <f t="shared" si="100"/>
        <v>8.506304914690754E-4</v>
      </c>
      <c r="K105">
        <f t="shared" si="101"/>
        <v>0.85063049146907543</v>
      </c>
      <c r="L105">
        <f t="shared" si="102"/>
        <v>0.8623374287727269</v>
      </c>
      <c r="M105">
        <f t="shared" si="103"/>
        <v>418.31606666666659</v>
      </c>
      <c r="N105">
        <f t="shared" si="104"/>
        <v>373.12859492096999</v>
      </c>
      <c r="O105">
        <f t="shared" si="105"/>
        <v>34.043496601764247</v>
      </c>
      <c r="P105">
        <f t="shared" si="106"/>
        <v>38.166309920702624</v>
      </c>
      <c r="Q105">
        <f t="shared" si="107"/>
        <v>4.2764004039678012E-2</v>
      </c>
      <c r="R105">
        <f t="shared" si="108"/>
        <v>2.7707798857483708</v>
      </c>
      <c r="S105">
        <f t="shared" si="109"/>
        <v>4.2400691163454692E-2</v>
      </c>
      <c r="T105">
        <f t="shared" si="110"/>
        <v>2.6532816800385481E-2</v>
      </c>
      <c r="U105">
        <f t="shared" si="111"/>
        <v>243.49239912043001</v>
      </c>
      <c r="V105">
        <f t="shared" si="112"/>
        <v>25.593932581740727</v>
      </c>
      <c r="W105">
        <f t="shared" si="113"/>
        <v>25.593932581740727</v>
      </c>
      <c r="X105">
        <f t="shared" si="114"/>
        <v>3.2940263428028316</v>
      </c>
      <c r="Y105">
        <f t="shared" si="115"/>
        <v>49.542592544776753</v>
      </c>
      <c r="Z105">
        <f t="shared" si="116"/>
        <v>1.5118433181584301</v>
      </c>
      <c r="AA105">
        <f t="shared" si="117"/>
        <v>3.0516031570047959</v>
      </c>
      <c r="AB105">
        <f t="shared" si="118"/>
        <v>1.7821830246444015</v>
      </c>
      <c r="AC105">
        <f t="shared" si="119"/>
        <v>-37.512804673786228</v>
      </c>
      <c r="AD105">
        <f t="shared" si="120"/>
        <v>-191.4640110012314</v>
      </c>
      <c r="AE105">
        <f t="shared" si="121"/>
        <v>-14.609720467827191</v>
      </c>
      <c r="AF105">
        <f t="shared" si="122"/>
        <v>-9.4137022414827243E-2</v>
      </c>
      <c r="AG105">
        <f t="shared" si="123"/>
        <v>1.0258730554166482</v>
      </c>
      <c r="AH105">
        <f t="shared" si="124"/>
        <v>0.84945754404676632</v>
      </c>
      <c r="AI105">
        <f t="shared" si="125"/>
        <v>0.8623374287727269</v>
      </c>
      <c r="AJ105">
        <v>426.61247837054782</v>
      </c>
      <c r="AK105">
        <v>425.44747878787871</v>
      </c>
      <c r="AL105">
        <v>2.3749114312343032E-2</v>
      </c>
      <c r="AM105">
        <v>64.99746826382804</v>
      </c>
      <c r="AN105">
        <f t="shared" si="126"/>
        <v>0.85063049146907543</v>
      </c>
      <c r="AO105">
        <v>15.582036571007221</v>
      </c>
      <c r="AP105">
        <v>16.585490909090922</v>
      </c>
      <c r="AQ105">
        <v>5.0183861617298251E-5</v>
      </c>
      <c r="AR105">
        <v>96.649150714757255</v>
      </c>
      <c r="AS105">
        <v>0</v>
      </c>
      <c r="AT105">
        <v>0</v>
      </c>
      <c r="AU105">
        <f t="shared" si="127"/>
        <v>1</v>
      </c>
      <c r="AV105">
        <f t="shared" si="128"/>
        <v>0</v>
      </c>
      <c r="AW105">
        <f t="shared" si="129"/>
        <v>48666.203627086456</v>
      </c>
      <c r="AX105" t="s">
        <v>772</v>
      </c>
      <c r="AY105">
        <v>5012.8999999999996</v>
      </c>
      <c r="AZ105">
        <v>972.70384615384614</v>
      </c>
      <c r="BA105">
        <v>1914.968862480476</v>
      </c>
      <c r="BB105">
        <f t="shared" si="130"/>
        <v>0.49205239562282266</v>
      </c>
      <c r="BC105">
        <v>-2.3832491889447081</v>
      </c>
      <c r="BD105" t="s">
        <v>800</v>
      </c>
      <c r="BE105">
        <v>5048.8599999999997</v>
      </c>
      <c r="BF105">
        <v>1186.5138461538461</v>
      </c>
      <c r="BG105">
        <v>1446.6241110769531</v>
      </c>
      <c r="BH105">
        <f t="shared" si="131"/>
        <v>0.17980501149636274</v>
      </c>
      <c r="BI105">
        <v>0.5</v>
      </c>
      <c r="BJ105">
        <f t="shared" si="132"/>
        <v>1122.4812541211211</v>
      </c>
      <c r="BK105">
        <f t="shared" si="133"/>
        <v>0.8623374287727269</v>
      </c>
      <c r="BL105">
        <f t="shared" si="134"/>
        <v>100.91387740084993</v>
      </c>
      <c r="BM105">
        <f t="shared" si="135"/>
        <v>2.8914394835561508E-3</v>
      </c>
      <c r="BN105">
        <f t="shared" si="136"/>
        <v>0.32375013510237927</v>
      </c>
      <c r="BO105">
        <f t="shared" si="137"/>
        <v>835.33464610778901</v>
      </c>
      <c r="BP105" t="s">
        <v>801</v>
      </c>
      <c r="BQ105">
        <v>866.33</v>
      </c>
      <c r="BR105">
        <f t="shared" si="138"/>
        <v>866.33</v>
      </c>
      <c r="BS105">
        <f t="shared" si="139"/>
        <v>0.40113676153575761</v>
      </c>
      <c r="BT105">
        <f t="shared" si="140"/>
        <v>0.44823867752229124</v>
      </c>
      <c r="BU105">
        <f t="shared" si="141"/>
        <v>0.44662158552439002</v>
      </c>
      <c r="BV105">
        <f t="shared" si="142"/>
        <v>0.54884815901533479</v>
      </c>
      <c r="BW105">
        <f t="shared" si="143"/>
        <v>0.4970414302648527</v>
      </c>
      <c r="BX105">
        <f t="shared" si="144"/>
        <v>0.32728030503534117</v>
      </c>
      <c r="BY105">
        <f t="shared" si="145"/>
        <v>0.67271969496465878</v>
      </c>
      <c r="BZ105">
        <v>535</v>
      </c>
      <c r="CA105">
        <v>290.00000000000011</v>
      </c>
      <c r="CB105">
        <v>1422.91</v>
      </c>
      <c r="CC105">
        <v>215</v>
      </c>
      <c r="CD105">
        <v>5048.8599999999997</v>
      </c>
      <c r="CE105">
        <v>1422.01</v>
      </c>
      <c r="CF105">
        <v>0.9</v>
      </c>
      <c r="CG105">
        <v>300.00000000000011</v>
      </c>
      <c r="CH105">
        <v>23.9</v>
      </c>
      <c r="CI105">
        <v>1446.6241110769531</v>
      </c>
      <c r="CJ105">
        <v>1.7380496142346911</v>
      </c>
      <c r="CK105">
        <v>-12.424837102559501</v>
      </c>
      <c r="CL105">
        <v>0.76757272512334407</v>
      </c>
      <c r="CM105">
        <v>0.90345652010322208</v>
      </c>
      <c r="CN105">
        <v>-3.9334075639599524E-3</v>
      </c>
      <c r="CO105">
        <v>289.99999999999989</v>
      </c>
      <c r="CP105">
        <v>1419.94</v>
      </c>
      <c r="CQ105">
        <v>645</v>
      </c>
      <c r="CR105">
        <v>5048.46</v>
      </c>
      <c r="CS105">
        <v>1422.01</v>
      </c>
      <c r="CT105">
        <v>-2.0699999999999998</v>
      </c>
      <c r="DH105">
        <f t="shared" si="146"/>
        <v>1366.4213333333337</v>
      </c>
      <c r="DI105">
        <f t="shared" si="147"/>
        <v>1122.4812541211211</v>
      </c>
      <c r="DJ105">
        <f t="shared" si="148"/>
        <v>0.82147521173639038</v>
      </c>
      <c r="DK105">
        <f t="shared" si="149"/>
        <v>0.17819715865123345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1761693081.849999</v>
      </c>
      <c r="DR105">
        <v>418.31606666666659</v>
      </c>
      <c r="DS105">
        <v>419.97349999999989</v>
      </c>
      <c r="DT105">
        <v>16.570329999999998</v>
      </c>
      <c r="DU105">
        <v>15.56788666666667</v>
      </c>
      <c r="DV105">
        <v>417.48259999999999</v>
      </c>
      <c r="DW105">
        <v>16.382253333333331</v>
      </c>
      <c r="DX105">
        <v>500.00736666666671</v>
      </c>
      <c r="DY105">
        <v>91.199163333333317</v>
      </c>
      <c r="DZ105">
        <v>3.8809486666666677E-2</v>
      </c>
      <c r="EA105">
        <v>24.31219333333333</v>
      </c>
      <c r="EB105">
        <v>23.942133333333331</v>
      </c>
      <c r="EC105">
        <v>999.9000000000002</v>
      </c>
      <c r="ED105">
        <v>0</v>
      </c>
      <c r="EE105">
        <v>0</v>
      </c>
      <c r="EF105">
        <v>10001.43733333333</v>
      </c>
      <c r="EG105">
        <v>0</v>
      </c>
      <c r="EH105">
        <v>1066.4086666666669</v>
      </c>
      <c r="EI105">
        <v>-1.657316</v>
      </c>
      <c r="EJ105">
        <v>425.36453333333338</v>
      </c>
      <c r="EK105">
        <v>426.61496666666659</v>
      </c>
      <c r="EL105">
        <v>1.0024289</v>
      </c>
      <c r="EM105">
        <v>419.97349999999989</v>
      </c>
      <c r="EN105">
        <v>15.56788666666667</v>
      </c>
      <c r="EO105">
        <v>1.511200333333333</v>
      </c>
      <c r="EP105">
        <v>1.41978</v>
      </c>
      <c r="EQ105">
        <v>13.081950000000001</v>
      </c>
      <c r="ER105">
        <v>12.13053</v>
      </c>
      <c r="ES105">
        <v>300.01266666666669</v>
      </c>
      <c r="ET105">
        <v>0.89998733333333336</v>
      </c>
      <c r="EU105">
        <v>0.10001269333333331</v>
      </c>
      <c r="EV105">
        <v>0</v>
      </c>
      <c r="EW105">
        <v>1186.521</v>
      </c>
      <c r="EX105">
        <v>5.0005600000000019</v>
      </c>
      <c r="EY105">
        <v>3676.9009999999989</v>
      </c>
      <c r="EZ105">
        <v>2492.5066666666662</v>
      </c>
      <c r="FA105">
        <v>37.099733333333333</v>
      </c>
      <c r="FB105">
        <v>40.120800000000003</v>
      </c>
      <c r="FC105">
        <v>38.432999999999993</v>
      </c>
      <c r="FD105">
        <v>39.182866666666662</v>
      </c>
      <c r="FE105">
        <v>38.508200000000002</v>
      </c>
      <c r="FF105">
        <v>265.50833333333333</v>
      </c>
      <c r="FG105">
        <v>29.50566666666667</v>
      </c>
      <c r="FH105">
        <v>0</v>
      </c>
      <c r="FI105">
        <v>70.199999809265137</v>
      </c>
      <c r="FJ105">
        <v>0</v>
      </c>
      <c r="FK105">
        <v>1186.5138461538461</v>
      </c>
      <c r="FL105">
        <v>0.58461538275427971</v>
      </c>
      <c r="FM105">
        <v>-3.6239315469051059</v>
      </c>
      <c r="FN105">
        <v>3677.038461538461</v>
      </c>
      <c r="FO105">
        <v>15</v>
      </c>
      <c r="FP105">
        <v>0</v>
      </c>
      <c r="FQ105" t="s">
        <v>441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-1.6720312195121949</v>
      </c>
      <c r="GD105">
        <v>0.23880418118467001</v>
      </c>
      <c r="GE105">
        <v>3.7672135409579158E-2</v>
      </c>
      <c r="GF105">
        <v>1</v>
      </c>
      <c r="GG105">
        <v>1186.4876470588231</v>
      </c>
      <c r="GH105">
        <v>0.52834224656250073</v>
      </c>
      <c r="GI105">
        <v>0.20987473607913831</v>
      </c>
      <c r="GJ105">
        <v>1</v>
      </c>
      <c r="GK105">
        <v>1.0019350243902441</v>
      </c>
      <c r="GL105">
        <v>-3.1705379790940527E-2</v>
      </c>
      <c r="GM105">
        <v>1.380123258102342E-2</v>
      </c>
      <c r="GN105">
        <v>1</v>
      </c>
      <c r="GO105">
        <v>3</v>
      </c>
      <c r="GP105">
        <v>3</v>
      </c>
      <c r="GQ105" t="s">
        <v>470</v>
      </c>
      <c r="GR105">
        <v>3.12866</v>
      </c>
      <c r="GS105">
        <v>2.7160700000000002</v>
      </c>
      <c r="GT105">
        <v>8.5958800000000002E-2</v>
      </c>
      <c r="GU105">
        <v>8.6801900000000001E-2</v>
      </c>
      <c r="GV105">
        <v>8.2842799999999994E-2</v>
      </c>
      <c r="GW105">
        <v>8.0022099999999999E-2</v>
      </c>
      <c r="GX105">
        <v>27430.7</v>
      </c>
      <c r="GY105">
        <v>26492.9</v>
      </c>
      <c r="GZ105">
        <v>30552.7</v>
      </c>
      <c r="HA105">
        <v>29265.5</v>
      </c>
      <c r="HB105">
        <v>38664.800000000003</v>
      </c>
      <c r="HC105">
        <v>35442.6</v>
      </c>
      <c r="HD105">
        <v>46720.5</v>
      </c>
      <c r="HE105">
        <v>43502.7</v>
      </c>
      <c r="HF105">
        <v>1.83127</v>
      </c>
      <c r="HG105">
        <v>1.8612</v>
      </c>
      <c r="HH105">
        <v>2.7664000000000001E-2</v>
      </c>
      <c r="HI105">
        <v>0</v>
      </c>
      <c r="HJ105">
        <v>23.5121</v>
      </c>
      <c r="HK105">
        <v>999.9</v>
      </c>
      <c r="HL105">
        <v>37.9</v>
      </c>
      <c r="HM105">
        <v>30.6</v>
      </c>
      <c r="HN105">
        <v>18.3245</v>
      </c>
      <c r="HO105">
        <v>63.0214</v>
      </c>
      <c r="HP105">
        <v>17.936699999999998</v>
      </c>
      <c r="HQ105">
        <v>1</v>
      </c>
      <c r="HR105">
        <v>0.15337400000000001</v>
      </c>
      <c r="HS105">
        <v>1.1005199999999999</v>
      </c>
      <c r="HT105">
        <v>20.215499999999999</v>
      </c>
      <c r="HU105">
        <v>5.2328599999999996</v>
      </c>
      <c r="HV105">
        <v>11.974</v>
      </c>
      <c r="HW105">
        <v>4.9709500000000002</v>
      </c>
      <c r="HX105">
        <v>3.2904800000000001</v>
      </c>
      <c r="HY105">
        <v>9999</v>
      </c>
      <c r="HZ105">
        <v>9999</v>
      </c>
      <c r="IA105">
        <v>9999</v>
      </c>
      <c r="IB105">
        <v>999.9</v>
      </c>
      <c r="IC105">
        <v>4.97295</v>
      </c>
      <c r="ID105">
        <v>1.8772899999999999</v>
      </c>
      <c r="IE105">
        <v>1.87534</v>
      </c>
      <c r="IF105">
        <v>1.8782000000000001</v>
      </c>
      <c r="IG105">
        <v>1.87486</v>
      </c>
      <c r="IH105">
        <v>1.8785000000000001</v>
      </c>
      <c r="II105">
        <v>1.87561</v>
      </c>
      <c r="IJ105">
        <v>1.8767799999999999</v>
      </c>
      <c r="IK105">
        <v>0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0.83399999999999996</v>
      </c>
      <c r="IY105">
        <v>0.18840000000000001</v>
      </c>
      <c r="IZ105">
        <v>6.1933660764125778E-2</v>
      </c>
      <c r="JA105">
        <v>2.058711587971173E-3</v>
      </c>
      <c r="JB105">
        <v>-6.1309262243104059E-7</v>
      </c>
      <c r="JC105">
        <v>2.6183910446277612E-10</v>
      </c>
      <c r="JD105">
        <v>3.5078820932035488E-4</v>
      </c>
      <c r="JE105">
        <v>-4.3284922736758413E-3</v>
      </c>
      <c r="JF105">
        <v>1.4186339569364E-3</v>
      </c>
      <c r="JG105">
        <v>-2.7770646863349432E-5</v>
      </c>
      <c r="JH105">
        <v>2</v>
      </c>
      <c r="JI105">
        <v>2136</v>
      </c>
      <c r="JJ105">
        <v>1</v>
      </c>
      <c r="JK105">
        <v>19</v>
      </c>
      <c r="JL105">
        <v>29361551.5</v>
      </c>
      <c r="JM105">
        <v>29361551.5</v>
      </c>
      <c r="JN105">
        <v>1.1047400000000001</v>
      </c>
      <c r="JO105">
        <v>2.5451700000000002</v>
      </c>
      <c r="JP105">
        <v>1.39893</v>
      </c>
      <c r="JQ105">
        <v>2.3278799999999999</v>
      </c>
      <c r="JR105">
        <v>1.4489700000000001</v>
      </c>
      <c r="JS105">
        <v>2.5158700000000001</v>
      </c>
      <c r="JT105">
        <v>36.410699999999999</v>
      </c>
      <c r="JU105">
        <v>23.877400000000002</v>
      </c>
      <c r="JV105">
        <v>18</v>
      </c>
      <c r="JW105">
        <v>483.33300000000003</v>
      </c>
      <c r="JX105">
        <v>473.15</v>
      </c>
      <c r="JY105">
        <v>22.8294</v>
      </c>
      <c r="JZ105">
        <v>29.1936</v>
      </c>
      <c r="KA105">
        <v>30.0001</v>
      </c>
      <c r="KB105">
        <v>28.921700000000001</v>
      </c>
      <c r="KC105">
        <v>28.999500000000001</v>
      </c>
      <c r="KD105">
        <v>22.165800000000001</v>
      </c>
      <c r="KE105">
        <v>22.407699999999998</v>
      </c>
      <c r="KF105">
        <v>68.880899999999997</v>
      </c>
      <c r="KG105">
        <v>22.819900000000001</v>
      </c>
      <c r="KH105">
        <v>420</v>
      </c>
      <c r="KI105">
        <v>15.716200000000001</v>
      </c>
      <c r="KJ105">
        <v>100.982</v>
      </c>
      <c r="KK105">
        <v>100.04900000000001</v>
      </c>
    </row>
    <row r="106" spans="1:297" x14ac:dyDescent="0.3">
      <c r="A106">
        <v>90</v>
      </c>
      <c r="B106">
        <v>1761693160.5999999</v>
      </c>
      <c r="C106">
        <v>15710.599999904631</v>
      </c>
      <c r="D106" t="s">
        <v>802</v>
      </c>
      <c r="E106" t="s">
        <v>803</v>
      </c>
      <c r="F106">
        <v>5</v>
      </c>
      <c r="G106" t="s">
        <v>775</v>
      </c>
      <c r="H106" t="s">
        <v>436</v>
      </c>
      <c r="I106">
        <v>1761693152.599999</v>
      </c>
      <c r="J106">
        <f t="shared" si="100"/>
        <v>8.1535021511859411E-4</v>
      </c>
      <c r="K106">
        <f t="shared" si="101"/>
        <v>0.81535021511859407</v>
      </c>
      <c r="L106">
        <f t="shared" si="102"/>
        <v>0.57735875324447938</v>
      </c>
      <c r="M106">
        <f t="shared" si="103"/>
        <v>419.05009677419349</v>
      </c>
      <c r="N106">
        <f t="shared" si="104"/>
        <v>383.84685647402887</v>
      </c>
      <c r="O106">
        <f t="shared" si="105"/>
        <v>35.017578178231325</v>
      </c>
      <c r="P106">
        <f t="shared" si="106"/>
        <v>38.229099123490094</v>
      </c>
      <c r="Q106">
        <f t="shared" si="107"/>
        <v>4.1410258943712717E-2</v>
      </c>
      <c r="R106">
        <f t="shared" si="108"/>
        <v>2.7700916535985036</v>
      </c>
      <c r="S106">
        <f t="shared" si="109"/>
        <v>4.1069401377671594E-2</v>
      </c>
      <c r="T106">
        <f t="shared" si="110"/>
        <v>2.5698766571063333E-2</v>
      </c>
      <c r="U106">
        <f t="shared" si="111"/>
        <v>216.69484617495138</v>
      </c>
      <c r="V106">
        <f t="shared" si="112"/>
        <v>25.629816276853948</v>
      </c>
      <c r="W106">
        <f t="shared" si="113"/>
        <v>25.629816276853948</v>
      </c>
      <c r="X106">
        <f t="shared" si="114"/>
        <v>3.3010485907064666</v>
      </c>
      <c r="Y106">
        <f t="shared" si="115"/>
        <v>49.818917825762995</v>
      </c>
      <c r="Z106">
        <f t="shared" si="116"/>
        <v>1.5379347418607761</v>
      </c>
      <c r="AA106">
        <f t="shared" si="117"/>
        <v>3.0870496770715876</v>
      </c>
      <c r="AB106">
        <f t="shared" si="118"/>
        <v>1.7631138488456906</v>
      </c>
      <c r="AC106">
        <f t="shared" si="119"/>
        <v>-35.956944486730002</v>
      </c>
      <c r="AD106">
        <f t="shared" si="120"/>
        <v>-167.97512875605577</v>
      </c>
      <c r="AE106">
        <f t="shared" si="121"/>
        <v>-12.835333663054758</v>
      </c>
      <c r="AF106">
        <f t="shared" si="122"/>
        <v>-7.256073088916537E-2</v>
      </c>
      <c r="AG106">
        <f t="shared" si="123"/>
        <v>0.44817794889625229</v>
      </c>
      <c r="AH106">
        <f t="shared" si="124"/>
        <v>0.81393622009996647</v>
      </c>
      <c r="AI106">
        <f t="shared" si="125"/>
        <v>0.57735875324447938</v>
      </c>
      <c r="AJ106">
        <v>426.76608398568482</v>
      </c>
      <c r="AK106">
        <v>426.19349090909088</v>
      </c>
      <c r="AL106">
        <v>-2.74400673421007E-2</v>
      </c>
      <c r="AM106">
        <v>64.99746826382804</v>
      </c>
      <c r="AN106">
        <f t="shared" si="126"/>
        <v>0.81535021511859407</v>
      </c>
      <c r="AO106">
        <v>15.89465613436478</v>
      </c>
      <c r="AP106">
        <v>16.856825874125882</v>
      </c>
      <c r="AQ106">
        <v>-3.1280148168858658E-5</v>
      </c>
      <c r="AR106">
        <v>96.649150714757255</v>
      </c>
      <c r="AS106">
        <v>0</v>
      </c>
      <c r="AT106">
        <v>0</v>
      </c>
      <c r="AU106">
        <f t="shared" si="127"/>
        <v>1</v>
      </c>
      <c r="AV106">
        <f t="shared" si="128"/>
        <v>0</v>
      </c>
      <c r="AW106">
        <f t="shared" si="129"/>
        <v>48615.516722910623</v>
      </c>
      <c r="AX106" t="s">
        <v>772</v>
      </c>
      <c r="AY106">
        <v>5012.8999999999996</v>
      </c>
      <c r="AZ106">
        <v>972.70384615384614</v>
      </c>
      <c r="BA106">
        <v>1914.968862480476</v>
      </c>
      <c r="BB106">
        <f t="shared" si="130"/>
        <v>0.49205239562282266</v>
      </c>
      <c r="BC106">
        <v>-2.3832491889447081</v>
      </c>
      <c r="BD106" t="s">
        <v>804</v>
      </c>
      <c r="BE106">
        <v>5034.24</v>
      </c>
      <c r="BF106">
        <v>1042.4842307692311</v>
      </c>
      <c r="BG106">
        <v>1458.4928244918531</v>
      </c>
      <c r="BH106">
        <f t="shared" si="131"/>
        <v>0.28523184121084832</v>
      </c>
      <c r="BI106">
        <v>0.5</v>
      </c>
      <c r="BJ106">
        <f t="shared" si="132"/>
        <v>999.19969250248232</v>
      </c>
      <c r="BK106">
        <f t="shared" si="133"/>
        <v>0.57735875324447938</v>
      </c>
      <c r="BL106">
        <f t="shared" si="134"/>
        <v>142.50178401489825</v>
      </c>
      <c r="BM106">
        <f t="shared" si="135"/>
        <v>2.9629792366872975E-3</v>
      </c>
      <c r="BN106">
        <f t="shared" si="136"/>
        <v>0.3129779113912759</v>
      </c>
      <c r="BO106">
        <f t="shared" si="137"/>
        <v>839.27840349099188</v>
      </c>
      <c r="BP106" t="s">
        <v>805</v>
      </c>
      <c r="BQ106">
        <v>853.47</v>
      </c>
      <c r="BR106">
        <f t="shared" si="138"/>
        <v>853.47</v>
      </c>
      <c r="BS106">
        <f t="shared" si="139"/>
        <v>0.41482742618404467</v>
      </c>
      <c r="BT106">
        <f t="shared" si="140"/>
        <v>0.68759156990815928</v>
      </c>
      <c r="BU106">
        <f t="shared" si="141"/>
        <v>0.43002970057070489</v>
      </c>
      <c r="BV106">
        <f t="shared" si="142"/>
        <v>0.8563565915922603</v>
      </c>
      <c r="BW106">
        <f t="shared" si="143"/>
        <v>0.48444549047164093</v>
      </c>
      <c r="BX106">
        <f t="shared" si="144"/>
        <v>0.56292340914979455</v>
      </c>
      <c r="BY106">
        <f t="shared" si="145"/>
        <v>0.43707659085020545</v>
      </c>
      <c r="BZ106">
        <v>537</v>
      </c>
      <c r="CA106">
        <v>290.00000000000011</v>
      </c>
      <c r="CB106">
        <v>1432.44</v>
      </c>
      <c r="CC106">
        <v>275</v>
      </c>
      <c r="CD106">
        <v>5034.24</v>
      </c>
      <c r="CE106">
        <v>1432.45</v>
      </c>
      <c r="CF106">
        <v>-0.01</v>
      </c>
      <c r="CG106">
        <v>300.00000000000011</v>
      </c>
      <c r="CH106">
        <v>23.9</v>
      </c>
      <c r="CI106">
        <v>1458.4928244918531</v>
      </c>
      <c r="CJ106">
        <v>1.231965479582555</v>
      </c>
      <c r="CK106">
        <v>-13.109832001349851</v>
      </c>
      <c r="CL106">
        <v>0.53989971907720491</v>
      </c>
      <c r="CM106">
        <v>0.95466426630924373</v>
      </c>
      <c r="CN106">
        <v>-4.0462694104560597E-3</v>
      </c>
      <c r="CO106">
        <v>289.99999999999989</v>
      </c>
      <c r="CP106">
        <v>1429.89</v>
      </c>
      <c r="CQ106">
        <v>685</v>
      </c>
      <c r="CR106">
        <v>5033.93</v>
      </c>
      <c r="CS106">
        <v>1432.45</v>
      </c>
      <c r="CT106">
        <v>-2.56</v>
      </c>
      <c r="DH106">
        <f t="shared" si="146"/>
        <v>1216.3869677419361</v>
      </c>
      <c r="DI106">
        <f t="shared" si="147"/>
        <v>999.19969250248232</v>
      </c>
      <c r="DJ106">
        <f t="shared" si="148"/>
        <v>0.82144886372579795</v>
      </c>
      <c r="DK106">
        <f t="shared" si="149"/>
        <v>0.1781463069907902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1761693152.599999</v>
      </c>
      <c r="DR106">
        <v>419.05009677419349</v>
      </c>
      <c r="DS106">
        <v>419.99722580645152</v>
      </c>
      <c r="DT106">
        <v>16.85814516129032</v>
      </c>
      <c r="DU106">
        <v>15.897867741935491</v>
      </c>
      <c r="DV106">
        <v>418.21541935483879</v>
      </c>
      <c r="DW106">
        <v>16.66447419354839</v>
      </c>
      <c r="DX106">
        <v>499.98974193548378</v>
      </c>
      <c r="DY106">
        <v>91.189454838709693</v>
      </c>
      <c r="DZ106">
        <v>3.8537751612903223E-2</v>
      </c>
      <c r="EA106">
        <v>24.50504193548387</v>
      </c>
      <c r="EB106">
        <v>24.031406451612909</v>
      </c>
      <c r="EC106">
        <v>999.90000000000032</v>
      </c>
      <c r="ED106">
        <v>0</v>
      </c>
      <c r="EE106">
        <v>0</v>
      </c>
      <c r="EF106">
        <v>9998.4432258064498</v>
      </c>
      <c r="EG106">
        <v>0</v>
      </c>
      <c r="EH106">
        <v>1066.3709677419361</v>
      </c>
      <c r="EI106">
        <v>-0.94704125806451611</v>
      </c>
      <c r="EJ106">
        <v>426.23580645161297</v>
      </c>
      <c r="EK106">
        <v>426.78212903225801</v>
      </c>
      <c r="EL106">
        <v>0.96027687096774195</v>
      </c>
      <c r="EM106">
        <v>419.99722580645152</v>
      </c>
      <c r="EN106">
        <v>15.897867741935491</v>
      </c>
      <c r="EO106">
        <v>1.5372838709677421</v>
      </c>
      <c r="EP106">
        <v>1.449718387096774</v>
      </c>
      <c r="EQ106">
        <v>13.34412580645161</v>
      </c>
      <c r="ER106">
        <v>12.447912903225809</v>
      </c>
      <c r="ES106">
        <v>150.01599999999999</v>
      </c>
      <c r="ET106">
        <v>0.900066387096774</v>
      </c>
      <c r="EU106">
        <v>9.9933599999999984E-2</v>
      </c>
      <c r="EV106">
        <v>0</v>
      </c>
      <c r="EW106">
        <v>1042.4832258064509</v>
      </c>
      <c r="EX106">
        <v>5.0005600000000019</v>
      </c>
      <c r="EY106">
        <v>1702.23</v>
      </c>
      <c r="EZ106">
        <v>1225.2406451612901</v>
      </c>
      <c r="FA106">
        <v>36.596516129032253</v>
      </c>
      <c r="FB106">
        <v>39.876967741935481</v>
      </c>
      <c r="FC106">
        <v>38.064129032258059</v>
      </c>
      <c r="FD106">
        <v>38.991870967741939</v>
      </c>
      <c r="FE106">
        <v>38.138903225806438</v>
      </c>
      <c r="FF106">
        <v>130.52354838709681</v>
      </c>
      <c r="FG106">
        <v>14.49</v>
      </c>
      <c r="FH106">
        <v>0</v>
      </c>
      <c r="FI106">
        <v>69</v>
      </c>
      <c r="FJ106">
        <v>0</v>
      </c>
      <c r="FK106">
        <v>1042.4842307692311</v>
      </c>
      <c r="FL106">
        <v>0.52615384138116983</v>
      </c>
      <c r="FM106">
        <v>-4.43692317022583</v>
      </c>
      <c r="FN106">
        <v>1701.97</v>
      </c>
      <c r="FO106">
        <v>15</v>
      </c>
      <c r="FP106">
        <v>0</v>
      </c>
      <c r="FQ106" t="s">
        <v>441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-0.9754062195121953</v>
      </c>
      <c r="GD106">
        <v>0.38925919860627001</v>
      </c>
      <c r="GE106">
        <v>5.6394333839885881E-2</v>
      </c>
      <c r="GF106">
        <v>1</v>
      </c>
      <c r="GG106">
        <v>1042.4438235294119</v>
      </c>
      <c r="GH106">
        <v>0.50771581387368836</v>
      </c>
      <c r="GI106">
        <v>0.207676426851722</v>
      </c>
      <c r="GJ106">
        <v>1</v>
      </c>
      <c r="GK106">
        <v>0.95444904878048775</v>
      </c>
      <c r="GL106">
        <v>8.2936620209059328E-2</v>
      </c>
      <c r="GM106">
        <v>1.1592592847350831E-2</v>
      </c>
      <c r="GN106">
        <v>1</v>
      </c>
      <c r="GO106">
        <v>3</v>
      </c>
      <c r="GP106">
        <v>3</v>
      </c>
      <c r="GQ106" t="s">
        <v>470</v>
      </c>
      <c r="GR106">
        <v>3.1288499999999999</v>
      </c>
      <c r="GS106">
        <v>2.7163200000000001</v>
      </c>
      <c r="GT106">
        <v>8.6057499999999995E-2</v>
      </c>
      <c r="GU106">
        <v>8.6770299999999995E-2</v>
      </c>
      <c r="GV106">
        <v>8.3798999999999998E-2</v>
      </c>
      <c r="GW106">
        <v>8.1138399999999999E-2</v>
      </c>
      <c r="GX106">
        <v>27427.3</v>
      </c>
      <c r="GY106">
        <v>26493</v>
      </c>
      <c r="GZ106">
        <v>30552.1</v>
      </c>
      <c r="HA106">
        <v>29264.6</v>
      </c>
      <c r="HB106">
        <v>38623.599999999999</v>
      </c>
      <c r="HC106">
        <v>35398.199999999997</v>
      </c>
      <c r="HD106">
        <v>46719.9</v>
      </c>
      <c r="HE106">
        <v>43501.4</v>
      </c>
      <c r="HF106">
        <v>1.8311299999999999</v>
      </c>
      <c r="HG106">
        <v>1.86205</v>
      </c>
      <c r="HH106">
        <v>2.2865799999999999E-2</v>
      </c>
      <c r="HI106">
        <v>0</v>
      </c>
      <c r="HJ106">
        <v>23.665800000000001</v>
      </c>
      <c r="HK106">
        <v>999.9</v>
      </c>
      <c r="HL106">
        <v>38.200000000000003</v>
      </c>
      <c r="HM106">
        <v>30.6</v>
      </c>
      <c r="HN106">
        <v>18.469200000000001</v>
      </c>
      <c r="HO106">
        <v>63.211399999999998</v>
      </c>
      <c r="HP106">
        <v>17.8886</v>
      </c>
      <c r="HQ106">
        <v>1</v>
      </c>
      <c r="HR106">
        <v>0.154807</v>
      </c>
      <c r="HS106">
        <v>1.5806</v>
      </c>
      <c r="HT106">
        <v>20.2133</v>
      </c>
      <c r="HU106">
        <v>5.23855</v>
      </c>
      <c r="HV106">
        <v>11.974</v>
      </c>
      <c r="HW106">
        <v>4.9735500000000004</v>
      </c>
      <c r="HX106">
        <v>3.29095</v>
      </c>
      <c r="HY106">
        <v>9999</v>
      </c>
      <c r="HZ106">
        <v>9999</v>
      </c>
      <c r="IA106">
        <v>9999</v>
      </c>
      <c r="IB106">
        <v>999.9</v>
      </c>
      <c r="IC106">
        <v>4.9729400000000004</v>
      </c>
      <c r="ID106">
        <v>1.8772899999999999</v>
      </c>
      <c r="IE106">
        <v>1.8753599999999999</v>
      </c>
      <c r="IF106">
        <v>1.8782000000000001</v>
      </c>
      <c r="IG106">
        <v>1.8749199999999999</v>
      </c>
      <c r="IH106">
        <v>1.8785000000000001</v>
      </c>
      <c r="II106">
        <v>1.87561</v>
      </c>
      <c r="IJ106">
        <v>1.87679</v>
      </c>
      <c r="IK106">
        <v>0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0.83499999999999996</v>
      </c>
      <c r="IY106">
        <v>0.19359999999999999</v>
      </c>
      <c r="IZ106">
        <v>6.1933660764125778E-2</v>
      </c>
      <c r="JA106">
        <v>2.058711587971173E-3</v>
      </c>
      <c r="JB106">
        <v>-6.1309262243104059E-7</v>
      </c>
      <c r="JC106">
        <v>2.6183910446277612E-10</v>
      </c>
      <c r="JD106">
        <v>3.5078820932035488E-4</v>
      </c>
      <c r="JE106">
        <v>-4.3284922736758413E-3</v>
      </c>
      <c r="JF106">
        <v>1.4186339569364E-3</v>
      </c>
      <c r="JG106">
        <v>-2.7770646863349432E-5</v>
      </c>
      <c r="JH106">
        <v>2</v>
      </c>
      <c r="JI106">
        <v>2136</v>
      </c>
      <c r="JJ106">
        <v>1</v>
      </c>
      <c r="JK106">
        <v>19</v>
      </c>
      <c r="JL106">
        <v>29361552.699999999</v>
      </c>
      <c r="JM106">
        <v>29361552.699999999</v>
      </c>
      <c r="JN106">
        <v>1.1059600000000001</v>
      </c>
      <c r="JO106">
        <v>2.5524900000000001</v>
      </c>
      <c r="JP106">
        <v>1.39893</v>
      </c>
      <c r="JQ106">
        <v>2.3290999999999999</v>
      </c>
      <c r="JR106">
        <v>1.4489700000000001</v>
      </c>
      <c r="JS106">
        <v>2.5817899999999998</v>
      </c>
      <c r="JT106">
        <v>36.410699999999999</v>
      </c>
      <c r="JU106">
        <v>23.8598</v>
      </c>
      <c r="JV106">
        <v>18</v>
      </c>
      <c r="JW106">
        <v>483.28199999999998</v>
      </c>
      <c r="JX106">
        <v>473.74900000000002</v>
      </c>
      <c r="JY106">
        <v>22.777200000000001</v>
      </c>
      <c r="JZ106">
        <v>29.191099999999999</v>
      </c>
      <c r="KA106">
        <v>30.000399999999999</v>
      </c>
      <c r="KB106">
        <v>28.9267</v>
      </c>
      <c r="KC106">
        <v>29.0045</v>
      </c>
      <c r="KD106">
        <v>22.173400000000001</v>
      </c>
      <c r="KE106">
        <v>22.123699999999999</v>
      </c>
      <c r="KF106">
        <v>70.008200000000002</v>
      </c>
      <c r="KG106">
        <v>22.731300000000001</v>
      </c>
      <c r="KH106">
        <v>420</v>
      </c>
      <c r="KI106">
        <v>15.881500000000001</v>
      </c>
      <c r="KJ106">
        <v>100.98</v>
      </c>
      <c r="KK106">
        <v>100.04600000000001</v>
      </c>
    </row>
    <row r="107" spans="1:297" x14ac:dyDescent="0.3">
      <c r="A107">
        <v>91</v>
      </c>
      <c r="B107">
        <v>1761693290.0999999</v>
      </c>
      <c r="C107">
        <v>15840.099999904631</v>
      </c>
      <c r="D107" t="s">
        <v>806</v>
      </c>
      <c r="E107" t="s">
        <v>807</v>
      </c>
      <c r="F107">
        <v>5</v>
      </c>
      <c r="G107" t="s">
        <v>775</v>
      </c>
      <c r="H107" t="s">
        <v>436</v>
      </c>
      <c r="I107">
        <v>1761693282.349999</v>
      </c>
      <c r="J107">
        <f t="shared" si="100"/>
        <v>7.605013391513432E-4</v>
      </c>
      <c r="K107">
        <f t="shared" si="101"/>
        <v>0.76050133915134321</v>
      </c>
      <c r="L107">
        <f t="shared" si="102"/>
        <v>-1.0281114743930544</v>
      </c>
      <c r="M107">
        <f t="shared" si="103"/>
        <v>420.84743333333341</v>
      </c>
      <c r="N107">
        <f t="shared" si="104"/>
        <v>449.79746857915563</v>
      </c>
      <c r="O107">
        <f t="shared" si="105"/>
        <v>41.037002629130185</v>
      </c>
      <c r="P107">
        <f t="shared" si="106"/>
        <v>38.395763503776706</v>
      </c>
      <c r="Q107">
        <f t="shared" si="107"/>
        <v>3.8780678382845657E-2</v>
      </c>
      <c r="R107">
        <f t="shared" si="108"/>
        <v>2.7695113931974555</v>
      </c>
      <c r="S107">
        <f t="shared" si="109"/>
        <v>3.8481504900344216E-2</v>
      </c>
      <c r="T107">
        <f t="shared" si="110"/>
        <v>2.4077627593865395E-2</v>
      </c>
      <c r="U107">
        <f t="shared" si="111"/>
        <v>198.64165189422428</v>
      </c>
      <c r="V107">
        <f t="shared" si="112"/>
        <v>25.598526587951064</v>
      </c>
      <c r="W107">
        <f t="shared" si="113"/>
        <v>25.598526587951064</v>
      </c>
      <c r="X107">
        <f t="shared" si="114"/>
        <v>3.2949246362980844</v>
      </c>
      <c r="Y107">
        <f t="shared" si="115"/>
        <v>49.678432201025913</v>
      </c>
      <c r="Z107">
        <f t="shared" si="116"/>
        <v>1.5396519842724705</v>
      </c>
      <c r="AA107">
        <f t="shared" si="117"/>
        <v>3.0992362601987971</v>
      </c>
      <c r="AB107">
        <f t="shared" si="118"/>
        <v>1.7552726520256139</v>
      </c>
      <c r="AC107">
        <f t="shared" si="119"/>
        <v>-33.538109056574235</v>
      </c>
      <c r="AD107">
        <f t="shared" si="120"/>
        <v>-153.43531896513866</v>
      </c>
      <c r="AE107">
        <f t="shared" si="121"/>
        <v>-11.728805630531621</v>
      </c>
      <c r="AF107">
        <f t="shared" si="122"/>
        <v>-6.0581758020219922E-2</v>
      </c>
      <c r="AG107">
        <f t="shared" si="123"/>
        <v>-1.0289388860845443</v>
      </c>
      <c r="AH107">
        <f t="shared" si="124"/>
        <v>0.77824055208825615</v>
      </c>
      <c r="AI107">
        <f t="shared" si="125"/>
        <v>-1.0281114743930544</v>
      </c>
      <c r="AJ107">
        <v>426.79041575947679</v>
      </c>
      <c r="AK107">
        <v>428.05061818181798</v>
      </c>
      <c r="AL107">
        <v>-1.3602498917308929E-3</v>
      </c>
      <c r="AM107">
        <v>64.99746826382804</v>
      </c>
      <c r="AN107">
        <f t="shared" si="126"/>
        <v>0.76050133915134321</v>
      </c>
      <c r="AO107">
        <v>15.953743789963751</v>
      </c>
      <c r="AP107">
        <v>16.856302797202801</v>
      </c>
      <c r="AQ107">
        <v>-7.5521496189717274E-4</v>
      </c>
      <c r="AR107">
        <v>96.649150714757255</v>
      </c>
      <c r="AS107">
        <v>0</v>
      </c>
      <c r="AT107">
        <v>0</v>
      </c>
      <c r="AU107">
        <f t="shared" si="127"/>
        <v>1</v>
      </c>
      <c r="AV107">
        <f t="shared" si="128"/>
        <v>0</v>
      </c>
      <c r="AW107">
        <f t="shared" si="129"/>
        <v>48588.935838979029</v>
      </c>
      <c r="AX107" t="s">
        <v>772</v>
      </c>
      <c r="AY107">
        <v>5012.8999999999996</v>
      </c>
      <c r="AZ107">
        <v>972.70384615384614</v>
      </c>
      <c r="BA107">
        <v>1914.968862480476</v>
      </c>
      <c r="BB107">
        <f t="shared" si="130"/>
        <v>0.49205239562282266</v>
      </c>
      <c r="BC107">
        <v>-2.3832491889447081</v>
      </c>
      <c r="BD107" t="s">
        <v>808</v>
      </c>
      <c r="BE107">
        <v>5025.8900000000003</v>
      </c>
      <c r="BF107">
        <v>935.06965384615387</v>
      </c>
      <c r="BG107">
        <v>1493.591080840172</v>
      </c>
      <c r="BH107">
        <f t="shared" si="131"/>
        <v>0.37394534163918525</v>
      </c>
      <c r="BI107">
        <v>0.5</v>
      </c>
      <c r="BJ107">
        <f t="shared" si="132"/>
        <v>916.80453018958076</v>
      </c>
      <c r="BK107">
        <f t="shared" si="133"/>
        <v>-1.0281114743930544</v>
      </c>
      <c r="BL107">
        <f t="shared" si="134"/>
        <v>171.41739162904776</v>
      </c>
      <c r="BM107">
        <f t="shared" si="135"/>
        <v>1.4781097496010763E-3</v>
      </c>
      <c r="BN107">
        <f t="shared" si="136"/>
        <v>0.28212392738933023</v>
      </c>
      <c r="BO107">
        <f t="shared" si="137"/>
        <v>850.7830803720384</v>
      </c>
      <c r="BP107" t="s">
        <v>809</v>
      </c>
      <c r="BQ107">
        <v>852.8</v>
      </c>
      <c r="BR107">
        <f t="shared" si="138"/>
        <v>852.8</v>
      </c>
      <c r="BS107">
        <f t="shared" si="139"/>
        <v>0.42902712064919102</v>
      </c>
      <c r="BT107">
        <f t="shared" si="140"/>
        <v>0.87161236117973706</v>
      </c>
      <c r="BU107">
        <f t="shared" si="141"/>
        <v>0.39671449288794175</v>
      </c>
      <c r="BV107">
        <f t="shared" si="142"/>
        <v>1.0722501720172799</v>
      </c>
      <c r="BW107">
        <f t="shared" si="143"/>
        <v>0.4471966743316258</v>
      </c>
      <c r="BX107">
        <f t="shared" si="144"/>
        <v>0.79492583098667857</v>
      </c>
      <c r="BY107">
        <f t="shared" si="145"/>
        <v>0.20507416901332143</v>
      </c>
      <c r="BZ107">
        <v>539</v>
      </c>
      <c r="CA107">
        <v>290.00000000000011</v>
      </c>
      <c r="CB107">
        <v>1468.07</v>
      </c>
      <c r="CC107">
        <v>215</v>
      </c>
      <c r="CD107">
        <v>5025.8900000000003</v>
      </c>
      <c r="CE107">
        <v>1468.79</v>
      </c>
      <c r="CF107">
        <v>-0.72</v>
      </c>
      <c r="CG107">
        <v>300.00000000000011</v>
      </c>
      <c r="CH107">
        <v>23.9</v>
      </c>
      <c r="CI107">
        <v>1493.591080840172</v>
      </c>
      <c r="CJ107">
        <v>1.259472003381225</v>
      </c>
      <c r="CK107">
        <v>-12.46647726553833</v>
      </c>
      <c r="CL107">
        <v>0.54918504179986949</v>
      </c>
      <c r="CM107">
        <v>0.94846196546295336</v>
      </c>
      <c r="CN107">
        <v>-4.1224776418242529E-3</v>
      </c>
      <c r="CO107">
        <v>289.99999999999989</v>
      </c>
      <c r="CP107">
        <v>1466.83</v>
      </c>
      <c r="CQ107">
        <v>645</v>
      </c>
      <c r="CR107">
        <v>5025.58</v>
      </c>
      <c r="CS107">
        <v>1468.79</v>
      </c>
      <c r="CT107">
        <v>-1.96</v>
      </c>
      <c r="DH107">
        <f t="shared" si="146"/>
        <v>1116.2132466666667</v>
      </c>
      <c r="DI107">
        <f t="shared" si="147"/>
        <v>916.80453018958076</v>
      </c>
      <c r="DJ107">
        <f t="shared" si="148"/>
        <v>0.82135249059928506</v>
      </c>
      <c r="DK107">
        <f t="shared" si="149"/>
        <v>0.17796030685662018</v>
      </c>
      <c r="DL107">
        <v>6</v>
      </c>
      <c r="DM107">
        <v>0.5</v>
      </c>
      <c r="DN107" t="s">
        <v>440</v>
      </c>
      <c r="DO107">
        <v>2</v>
      </c>
      <c r="DP107" t="b">
        <v>1</v>
      </c>
      <c r="DQ107">
        <v>1761693282.349999</v>
      </c>
      <c r="DR107">
        <v>420.84743333333341</v>
      </c>
      <c r="DS107">
        <v>420.00576666666672</v>
      </c>
      <c r="DT107">
        <v>16.875783333333331</v>
      </c>
      <c r="DU107">
        <v>15.95769333333333</v>
      </c>
      <c r="DV107">
        <v>420.00953333333331</v>
      </c>
      <c r="DW107">
        <v>16.681783333333339</v>
      </c>
      <c r="DX107">
        <v>500.02100000000007</v>
      </c>
      <c r="DY107">
        <v>91.195529999999991</v>
      </c>
      <c r="DZ107">
        <v>3.8871026666666669E-2</v>
      </c>
      <c r="EA107">
        <v>24.57089666666667</v>
      </c>
      <c r="EB107">
        <v>24.018946666666661</v>
      </c>
      <c r="EC107">
        <v>999.9000000000002</v>
      </c>
      <c r="ED107">
        <v>0</v>
      </c>
      <c r="EE107">
        <v>0</v>
      </c>
      <c r="EF107">
        <v>9994.3559999999998</v>
      </c>
      <c r="EG107">
        <v>0</v>
      </c>
      <c r="EH107">
        <v>1066.2280000000001</v>
      </c>
      <c r="EI107">
        <v>0.8416910666666666</v>
      </c>
      <c r="EJ107">
        <v>428.07153333333338</v>
      </c>
      <c r="EK107">
        <v>426.81666666666672</v>
      </c>
      <c r="EL107">
        <v>0.9181134000000003</v>
      </c>
      <c r="EM107">
        <v>420.00576666666672</v>
      </c>
      <c r="EN107">
        <v>15.95769333333333</v>
      </c>
      <c r="EO107">
        <v>1.538997333333334</v>
      </c>
      <c r="EP107">
        <v>1.4552683333333329</v>
      </c>
      <c r="EQ107">
        <v>13.361183333333329</v>
      </c>
      <c r="ER107">
        <v>12.506116666666671</v>
      </c>
      <c r="ES107">
        <v>49.985246666666669</v>
      </c>
      <c r="ET107">
        <v>0.89983513333333354</v>
      </c>
      <c r="EU107">
        <v>0.1001648666666667</v>
      </c>
      <c r="EV107">
        <v>0</v>
      </c>
      <c r="EW107">
        <v>935.05909999999994</v>
      </c>
      <c r="EX107">
        <v>5.0005600000000019</v>
      </c>
      <c r="EY107">
        <v>603.31473333333338</v>
      </c>
      <c r="EZ107">
        <v>380.04910000000001</v>
      </c>
      <c r="FA107">
        <v>35.724799999999988</v>
      </c>
      <c r="FB107">
        <v>39.332999999999977</v>
      </c>
      <c r="FC107">
        <v>37.349799999999988</v>
      </c>
      <c r="FD107">
        <v>38.54546666666667</v>
      </c>
      <c r="FE107">
        <v>37.432866666666662</v>
      </c>
      <c r="FF107">
        <v>40.478000000000023</v>
      </c>
      <c r="FG107">
        <v>4.5070000000000006</v>
      </c>
      <c r="FH107">
        <v>0</v>
      </c>
      <c r="FI107">
        <v>127.3999998569489</v>
      </c>
      <c r="FJ107">
        <v>0</v>
      </c>
      <c r="FK107">
        <v>935.06965384615387</v>
      </c>
      <c r="FL107">
        <v>3.1462905998142929</v>
      </c>
      <c r="FM107">
        <v>3.5966153829494352</v>
      </c>
      <c r="FN107">
        <v>603.40957692307688</v>
      </c>
      <c r="FO107">
        <v>15</v>
      </c>
      <c r="FP107">
        <v>0</v>
      </c>
      <c r="FQ107" t="s">
        <v>441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0.82064589999999993</v>
      </c>
      <c r="GD107">
        <v>0.38530550093808508</v>
      </c>
      <c r="GE107">
        <v>4.7803252754284417E-2</v>
      </c>
      <c r="GF107">
        <v>1</v>
      </c>
      <c r="GG107">
        <v>934.8514705882352</v>
      </c>
      <c r="GH107">
        <v>3.222643239896076</v>
      </c>
      <c r="GI107">
        <v>0.35321050508111279</v>
      </c>
      <c r="GJ107">
        <v>0</v>
      </c>
      <c r="GK107">
        <v>0.908400125</v>
      </c>
      <c r="GL107">
        <v>0.10024425140712841</v>
      </c>
      <c r="GM107">
        <v>2.01132332323616E-2</v>
      </c>
      <c r="GN107">
        <v>0</v>
      </c>
      <c r="GO107">
        <v>1</v>
      </c>
      <c r="GP107">
        <v>3</v>
      </c>
      <c r="GQ107" t="s">
        <v>442</v>
      </c>
      <c r="GR107">
        <v>3.1286</v>
      </c>
      <c r="GS107">
        <v>2.7164700000000002</v>
      </c>
      <c r="GT107">
        <v>8.6341899999999999E-2</v>
      </c>
      <c r="GU107">
        <v>8.6776000000000006E-2</v>
      </c>
      <c r="GV107">
        <v>8.3795400000000006E-2</v>
      </c>
      <c r="GW107">
        <v>8.1267400000000004E-2</v>
      </c>
      <c r="GX107">
        <v>27419.1</v>
      </c>
      <c r="GY107">
        <v>26492.3</v>
      </c>
      <c r="GZ107">
        <v>30552.6</v>
      </c>
      <c r="HA107">
        <v>29264.1</v>
      </c>
      <c r="HB107">
        <v>38624</v>
      </c>
      <c r="HC107">
        <v>35392.5</v>
      </c>
      <c r="HD107">
        <v>46720.1</v>
      </c>
      <c r="HE107">
        <v>43500.5</v>
      </c>
      <c r="HF107">
        <v>1.83083</v>
      </c>
      <c r="HG107">
        <v>1.86287</v>
      </c>
      <c r="HH107">
        <v>1.24574E-2</v>
      </c>
      <c r="HI107">
        <v>0</v>
      </c>
      <c r="HJ107">
        <v>23.8127</v>
      </c>
      <c r="HK107">
        <v>999.9</v>
      </c>
      <c r="HL107">
        <v>38.799999999999997</v>
      </c>
      <c r="HM107">
        <v>30.6</v>
      </c>
      <c r="HN107">
        <v>18.760300000000001</v>
      </c>
      <c r="HO107">
        <v>63.351399999999998</v>
      </c>
      <c r="HP107">
        <v>17.868600000000001</v>
      </c>
      <c r="HQ107">
        <v>1</v>
      </c>
      <c r="HR107">
        <v>0.15501999999999999</v>
      </c>
      <c r="HS107">
        <v>1.7475000000000001</v>
      </c>
      <c r="HT107">
        <v>20.212399999999999</v>
      </c>
      <c r="HU107">
        <v>5.2401999999999997</v>
      </c>
      <c r="HV107">
        <v>11.9757</v>
      </c>
      <c r="HW107">
        <v>4.9734999999999996</v>
      </c>
      <c r="HX107">
        <v>3.2909999999999999</v>
      </c>
      <c r="HY107">
        <v>9999</v>
      </c>
      <c r="HZ107">
        <v>9999</v>
      </c>
      <c r="IA107">
        <v>9999</v>
      </c>
      <c r="IB107">
        <v>999.9</v>
      </c>
      <c r="IC107">
        <v>4.9729400000000004</v>
      </c>
      <c r="ID107">
        <v>1.8772899999999999</v>
      </c>
      <c r="IE107">
        <v>1.87538</v>
      </c>
      <c r="IF107">
        <v>1.8782000000000001</v>
      </c>
      <c r="IG107">
        <v>1.8749</v>
      </c>
      <c r="IH107">
        <v>1.8785099999999999</v>
      </c>
      <c r="II107">
        <v>1.87561</v>
      </c>
      <c r="IJ107">
        <v>1.8768</v>
      </c>
      <c r="IK107">
        <v>0</v>
      </c>
      <c r="IL107">
        <v>0</v>
      </c>
      <c r="IM107">
        <v>0</v>
      </c>
      <c r="IN107">
        <v>0</v>
      </c>
      <c r="IO107" t="s">
        <v>443</v>
      </c>
      <c r="IP107" t="s">
        <v>444</v>
      </c>
      <c r="IQ107" t="s">
        <v>445</v>
      </c>
      <c r="IR107" t="s">
        <v>445</v>
      </c>
      <c r="IS107" t="s">
        <v>445</v>
      </c>
      <c r="IT107" t="s">
        <v>445</v>
      </c>
      <c r="IU107">
        <v>0</v>
      </c>
      <c r="IV107">
        <v>100</v>
      </c>
      <c r="IW107">
        <v>100</v>
      </c>
      <c r="IX107">
        <v>0.83799999999999997</v>
      </c>
      <c r="IY107">
        <v>0.19359999999999999</v>
      </c>
      <c r="IZ107">
        <v>6.1933660764125778E-2</v>
      </c>
      <c r="JA107">
        <v>2.058711587971173E-3</v>
      </c>
      <c r="JB107">
        <v>-6.1309262243104059E-7</v>
      </c>
      <c r="JC107">
        <v>2.6183910446277612E-10</v>
      </c>
      <c r="JD107">
        <v>3.5078820932035488E-4</v>
      </c>
      <c r="JE107">
        <v>-4.3284922736758413E-3</v>
      </c>
      <c r="JF107">
        <v>1.4186339569364E-3</v>
      </c>
      <c r="JG107">
        <v>-2.7770646863349432E-5</v>
      </c>
      <c r="JH107">
        <v>2</v>
      </c>
      <c r="JI107">
        <v>2136</v>
      </c>
      <c r="JJ107">
        <v>1</v>
      </c>
      <c r="JK107">
        <v>19</v>
      </c>
      <c r="JL107">
        <v>29361554.800000001</v>
      </c>
      <c r="JM107">
        <v>29361554.800000001</v>
      </c>
      <c r="JN107">
        <v>1.1059600000000001</v>
      </c>
      <c r="JO107">
        <v>2.5463900000000002</v>
      </c>
      <c r="JP107">
        <v>1.39893</v>
      </c>
      <c r="JQ107">
        <v>2.3290999999999999</v>
      </c>
      <c r="JR107">
        <v>1.4489700000000001</v>
      </c>
      <c r="JS107">
        <v>2.5341800000000001</v>
      </c>
      <c r="JT107">
        <v>36.387099999999997</v>
      </c>
      <c r="JU107">
        <v>23.868600000000001</v>
      </c>
      <c r="JV107">
        <v>18</v>
      </c>
      <c r="JW107">
        <v>483.15600000000001</v>
      </c>
      <c r="JX107">
        <v>474.351</v>
      </c>
      <c r="JY107">
        <v>22.597200000000001</v>
      </c>
      <c r="JZ107">
        <v>29.1936</v>
      </c>
      <c r="KA107">
        <v>30.0001</v>
      </c>
      <c r="KB107">
        <v>28.9329</v>
      </c>
      <c r="KC107">
        <v>29.011900000000001</v>
      </c>
      <c r="KD107">
        <v>22.177800000000001</v>
      </c>
      <c r="KE107">
        <v>23.259</v>
      </c>
      <c r="KF107">
        <v>71.129800000000003</v>
      </c>
      <c r="KG107">
        <v>22.589200000000002</v>
      </c>
      <c r="KH107">
        <v>420</v>
      </c>
      <c r="KI107">
        <v>16.003699999999998</v>
      </c>
      <c r="KJ107">
        <v>100.98099999999999</v>
      </c>
      <c r="KK107">
        <v>100.044</v>
      </c>
    </row>
    <row r="108" spans="1:297" x14ac:dyDescent="0.3">
      <c r="A108">
        <v>92</v>
      </c>
      <c r="B108">
        <v>1761693380.5999999</v>
      </c>
      <c r="C108">
        <v>15930.599999904631</v>
      </c>
      <c r="D108" t="s">
        <v>810</v>
      </c>
      <c r="E108" t="s">
        <v>811</v>
      </c>
      <c r="F108">
        <v>5</v>
      </c>
      <c r="G108" t="s">
        <v>775</v>
      </c>
      <c r="H108" t="s">
        <v>436</v>
      </c>
      <c r="I108">
        <v>1761693372.849999</v>
      </c>
      <c r="J108">
        <f t="shared" si="100"/>
        <v>6.7302123401344468E-4</v>
      </c>
      <c r="K108">
        <f t="shared" si="101"/>
        <v>0.67302123401344471</v>
      </c>
      <c r="L108">
        <f t="shared" si="102"/>
        <v>-2.1723664295365546</v>
      </c>
      <c r="M108">
        <f t="shared" si="103"/>
        <v>422.12983333333341</v>
      </c>
      <c r="N108">
        <f t="shared" si="104"/>
        <v>503.31314564096971</v>
      </c>
      <c r="O108">
        <f t="shared" si="105"/>
        <v>45.917568975385905</v>
      </c>
      <c r="P108">
        <f t="shared" si="106"/>
        <v>38.511165278560327</v>
      </c>
      <c r="Q108">
        <f t="shared" si="107"/>
        <v>3.6908734436089441E-2</v>
      </c>
      <c r="R108">
        <f t="shared" si="108"/>
        <v>2.770264258771383</v>
      </c>
      <c r="S108">
        <f t="shared" si="109"/>
        <v>3.6637710250284623E-2</v>
      </c>
      <c r="T108">
        <f t="shared" si="110"/>
        <v>2.2922753319370631E-2</v>
      </c>
      <c r="U108">
        <f t="shared" si="111"/>
        <v>106.13201532813625</v>
      </c>
      <c r="V108">
        <f t="shared" si="112"/>
        <v>25.003538753752981</v>
      </c>
      <c r="W108">
        <f t="shared" si="113"/>
        <v>25.003538753752981</v>
      </c>
      <c r="X108">
        <f t="shared" si="114"/>
        <v>3.1803484915582398</v>
      </c>
      <c r="Y108">
        <f t="shared" si="115"/>
        <v>50.073624627807526</v>
      </c>
      <c r="Z108">
        <f t="shared" si="116"/>
        <v>1.5479038018010596</v>
      </c>
      <c r="AA108">
        <f t="shared" si="117"/>
        <v>3.0912557525173803</v>
      </c>
      <c r="AB108">
        <f t="shared" si="118"/>
        <v>1.6324446897571803</v>
      </c>
      <c r="AC108">
        <f t="shared" si="119"/>
        <v>-29.680236419992909</v>
      </c>
      <c r="AD108">
        <f t="shared" si="120"/>
        <v>-71.052312258997546</v>
      </c>
      <c r="AE108">
        <f t="shared" si="121"/>
        <v>-5.4124309482104254</v>
      </c>
      <c r="AF108">
        <f t="shared" si="122"/>
        <v>-1.2964299064634588E-2</v>
      </c>
      <c r="AG108">
        <f t="shared" si="123"/>
        <v>-2.0618146448573582</v>
      </c>
      <c r="AH108">
        <f t="shared" si="124"/>
        <v>0.6642233151058452</v>
      </c>
      <c r="AI108">
        <f t="shared" si="125"/>
        <v>-2.1723664295365546</v>
      </c>
      <c r="AJ108">
        <v>426.94725805686392</v>
      </c>
      <c r="AK108">
        <v>429.52089090909078</v>
      </c>
      <c r="AL108">
        <v>1.5882323854644359E-2</v>
      </c>
      <c r="AM108">
        <v>64.99746826382804</v>
      </c>
      <c r="AN108">
        <f t="shared" si="126"/>
        <v>0.67302123401344471</v>
      </c>
      <c r="AO108">
        <v>16.181235394768741</v>
      </c>
      <c r="AP108">
        <v>16.97431608391609</v>
      </c>
      <c r="AQ108">
        <v>1.16768204054295E-4</v>
      </c>
      <c r="AR108">
        <v>96.649150714757255</v>
      </c>
      <c r="AS108">
        <v>0</v>
      </c>
      <c r="AT108">
        <v>0</v>
      </c>
      <c r="AU108">
        <f t="shared" si="127"/>
        <v>1</v>
      </c>
      <c r="AV108">
        <f t="shared" si="128"/>
        <v>0</v>
      </c>
      <c r="AW108">
        <f t="shared" si="129"/>
        <v>48616.596211879209</v>
      </c>
      <c r="AX108" t="s">
        <v>812</v>
      </c>
      <c r="AY108">
        <v>5022.6000000000004</v>
      </c>
      <c r="AZ108">
        <v>854.36153846153843</v>
      </c>
      <c r="BA108">
        <v>1530.36369183889</v>
      </c>
      <c r="BB108">
        <f t="shared" si="130"/>
        <v>0.44172647128413323</v>
      </c>
      <c r="BC108">
        <v>-2.1723664295366012</v>
      </c>
      <c r="BD108" t="s">
        <v>491</v>
      </c>
      <c r="BE108" t="s">
        <v>491</v>
      </c>
      <c r="BF108">
        <v>0</v>
      </c>
      <c r="BG108">
        <v>0</v>
      </c>
      <c r="BH108" t="e">
        <f t="shared" si="131"/>
        <v>#DIV/0!</v>
      </c>
      <c r="BI108">
        <v>0.5</v>
      </c>
      <c r="BJ108">
        <f t="shared" si="132"/>
        <v>448.88112798520137</v>
      </c>
      <c r="BK108">
        <f t="shared" si="133"/>
        <v>-2.1723664295365546</v>
      </c>
      <c r="BL108" t="e">
        <f t="shared" si="134"/>
        <v>#DIV/0!</v>
      </c>
      <c r="BM108">
        <f t="shared" si="135"/>
        <v>1.038790987795634E-16</v>
      </c>
      <c r="BN108" t="e">
        <f t="shared" si="136"/>
        <v>#DIV/0!</v>
      </c>
      <c r="BO108" t="e">
        <f t="shared" si="137"/>
        <v>#DIV/0!</v>
      </c>
      <c r="BP108" t="s">
        <v>491</v>
      </c>
      <c r="BQ108">
        <v>0</v>
      </c>
      <c r="BR108" t="e">
        <f t="shared" si="138"/>
        <v>#DIV/0!</v>
      </c>
      <c r="BS108" t="e">
        <f t="shared" si="139"/>
        <v>#DIV/0!</v>
      </c>
      <c r="BT108" t="e">
        <f t="shared" si="140"/>
        <v>#DIV/0!</v>
      </c>
      <c r="BU108" t="e">
        <f t="shared" si="141"/>
        <v>#DIV/0!</v>
      </c>
      <c r="BV108">
        <f t="shared" si="142"/>
        <v>0</v>
      </c>
      <c r="BW108">
        <f t="shared" si="143"/>
        <v>2.2638444037390881</v>
      </c>
      <c r="BX108" t="e">
        <f t="shared" si="144"/>
        <v>#DIV/0!</v>
      </c>
      <c r="BY108" t="e">
        <f t="shared" si="145"/>
        <v>#DIV/0!</v>
      </c>
      <c r="BZ108">
        <v>541</v>
      </c>
      <c r="CA108">
        <v>290.00000000000011</v>
      </c>
      <c r="CB108">
        <v>1503.41</v>
      </c>
      <c r="CC108">
        <v>235</v>
      </c>
      <c r="CD108">
        <v>5022.6000000000004</v>
      </c>
      <c r="CE108">
        <v>1503.91</v>
      </c>
      <c r="CF108">
        <v>-0.5</v>
      </c>
      <c r="CG108">
        <v>300.00000000000011</v>
      </c>
      <c r="CH108">
        <v>23.9</v>
      </c>
      <c r="CI108">
        <v>1530.36369183889</v>
      </c>
      <c r="CJ108">
        <v>1.6314317230418749</v>
      </c>
      <c r="CK108">
        <v>-13.28610529066149</v>
      </c>
      <c r="CL108">
        <v>0.70986572662143088</v>
      </c>
      <c r="CM108">
        <v>0.92598511418780804</v>
      </c>
      <c r="CN108">
        <v>-4.1574402669632997E-3</v>
      </c>
      <c r="CO108">
        <v>289.99999999999989</v>
      </c>
      <c r="CP108">
        <v>1501.17</v>
      </c>
      <c r="CQ108">
        <v>755</v>
      </c>
      <c r="CR108">
        <v>5021.8500000000004</v>
      </c>
      <c r="CS108">
        <v>1503.91</v>
      </c>
      <c r="CT108">
        <v>-2.74</v>
      </c>
      <c r="DH108">
        <f t="shared" si="146"/>
        <v>1066.22000056</v>
      </c>
      <c r="DI108">
        <f t="shared" si="147"/>
        <v>448.88112798520137</v>
      </c>
      <c r="DJ108">
        <f t="shared" si="148"/>
        <v>0.42100235200000002</v>
      </c>
      <c r="DK108">
        <f t="shared" si="149"/>
        <v>9.9540446879999994E-2</v>
      </c>
      <c r="DL108">
        <v>6</v>
      </c>
      <c r="DM108">
        <v>0.5</v>
      </c>
      <c r="DN108" t="s">
        <v>440</v>
      </c>
      <c r="DO108">
        <v>2</v>
      </c>
      <c r="DP108" t="b">
        <v>1</v>
      </c>
      <c r="DQ108">
        <v>1761693372.849999</v>
      </c>
      <c r="DR108">
        <v>422.12983333333341</v>
      </c>
      <c r="DS108">
        <v>419.9921333333333</v>
      </c>
      <c r="DT108">
        <v>16.96693333333333</v>
      </c>
      <c r="DU108">
        <v>16.183393333333331</v>
      </c>
      <c r="DV108">
        <v>421.28986666666663</v>
      </c>
      <c r="DW108">
        <v>16.771159999999998</v>
      </c>
      <c r="DX108">
        <v>500.00266666666658</v>
      </c>
      <c r="DY108">
        <v>91.191793333333351</v>
      </c>
      <c r="DZ108">
        <v>3.8823973333333331E-2</v>
      </c>
      <c r="EA108">
        <v>24.527796666666671</v>
      </c>
      <c r="EB108">
        <v>23.995423333333331</v>
      </c>
      <c r="EC108">
        <v>999.9000000000002</v>
      </c>
      <c r="ED108">
        <v>0</v>
      </c>
      <c r="EE108">
        <v>0</v>
      </c>
      <c r="EF108">
        <v>9999.2046666666665</v>
      </c>
      <c r="EG108">
        <v>0</v>
      </c>
      <c r="EH108">
        <v>1066.2149999999999</v>
      </c>
      <c r="EI108">
        <v>2.1377846666666671</v>
      </c>
      <c r="EJ108">
        <v>429.4158333333333</v>
      </c>
      <c r="EK108">
        <v>426.90083333333342</v>
      </c>
      <c r="EL108">
        <v>0.78354360000000001</v>
      </c>
      <c r="EM108">
        <v>419.9921333333333</v>
      </c>
      <c r="EN108">
        <v>16.183393333333331</v>
      </c>
      <c r="EO108">
        <v>1.547245666666667</v>
      </c>
      <c r="EP108">
        <v>1.4757929999999999</v>
      </c>
      <c r="EQ108">
        <v>13.443199999999999</v>
      </c>
      <c r="ER108">
        <v>12.71963666666667</v>
      </c>
      <c r="ES108">
        <v>5.0005599999999976E-3</v>
      </c>
      <c r="ET108">
        <v>0</v>
      </c>
      <c r="EU108">
        <v>0</v>
      </c>
      <c r="EV108">
        <v>0</v>
      </c>
      <c r="EW108">
        <v>854.71666666666658</v>
      </c>
      <c r="EX108">
        <v>5.0005599999999976E-3</v>
      </c>
      <c r="EY108">
        <v>165.47666666666669</v>
      </c>
      <c r="EZ108">
        <v>-1.8633333333333331</v>
      </c>
      <c r="FA108">
        <v>35.220599999999997</v>
      </c>
      <c r="FB108">
        <v>38.953799999999987</v>
      </c>
      <c r="FC108">
        <v>36.912199999999999</v>
      </c>
      <c r="FD108">
        <v>38.129133333333343</v>
      </c>
      <c r="FE108">
        <v>36.841399999999993</v>
      </c>
      <c r="FF108">
        <v>0</v>
      </c>
      <c r="FG108">
        <v>0</v>
      </c>
      <c r="FH108">
        <v>0</v>
      </c>
      <c r="FI108">
        <v>88.5</v>
      </c>
      <c r="FJ108">
        <v>0</v>
      </c>
      <c r="FK108">
        <v>854.36153846153843</v>
      </c>
      <c r="FL108">
        <v>-2.4000000365336969</v>
      </c>
      <c r="FM108">
        <v>-17.025640725932409</v>
      </c>
      <c r="FN108">
        <v>166.22307692307689</v>
      </c>
      <c r="FO108">
        <v>15</v>
      </c>
      <c r="FP108">
        <v>0</v>
      </c>
      <c r="FQ108" t="s">
        <v>441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2.1215385365853661</v>
      </c>
      <c r="GD108">
        <v>0.28998815331010269</v>
      </c>
      <c r="GE108">
        <v>3.3128637494600682E-2</v>
      </c>
      <c r="GF108">
        <v>1</v>
      </c>
      <c r="GG108">
        <v>854.25588235294117</v>
      </c>
      <c r="GH108">
        <v>-0.87853335475451966</v>
      </c>
      <c r="GI108">
        <v>5.6862161085574217</v>
      </c>
      <c r="GJ108">
        <v>1</v>
      </c>
      <c r="GK108">
        <v>0.79348109756097562</v>
      </c>
      <c r="GL108">
        <v>-8.5469017421600957E-2</v>
      </c>
      <c r="GM108">
        <v>2.3166736494279021E-2</v>
      </c>
      <c r="GN108">
        <v>1</v>
      </c>
      <c r="GO108">
        <v>3</v>
      </c>
      <c r="GP108">
        <v>3</v>
      </c>
      <c r="GQ108" t="s">
        <v>470</v>
      </c>
      <c r="GR108">
        <v>3.1285699999999999</v>
      </c>
      <c r="GS108">
        <v>2.7168000000000001</v>
      </c>
      <c r="GT108">
        <v>8.6548299999999995E-2</v>
      </c>
      <c r="GU108">
        <v>8.6782899999999996E-2</v>
      </c>
      <c r="GV108">
        <v>8.4205600000000005E-2</v>
      </c>
      <c r="GW108">
        <v>8.2015699999999997E-2</v>
      </c>
      <c r="GX108">
        <v>27413.9</v>
      </c>
      <c r="GY108">
        <v>26492.3</v>
      </c>
      <c r="GZ108">
        <v>30553.7</v>
      </c>
      <c r="HA108">
        <v>29264.3</v>
      </c>
      <c r="HB108">
        <v>38608.1</v>
      </c>
      <c r="HC108">
        <v>35363.599999999999</v>
      </c>
      <c r="HD108">
        <v>46721.9</v>
      </c>
      <c r="HE108">
        <v>43500.800000000003</v>
      </c>
      <c r="HF108">
        <v>1.8303499999999999</v>
      </c>
      <c r="HG108">
        <v>1.86355</v>
      </c>
      <c r="HH108">
        <v>9.2312699999999998E-3</v>
      </c>
      <c r="HI108">
        <v>0</v>
      </c>
      <c r="HJ108">
        <v>23.837</v>
      </c>
      <c r="HK108">
        <v>999.9</v>
      </c>
      <c r="HL108">
        <v>39.299999999999997</v>
      </c>
      <c r="HM108">
        <v>30.5</v>
      </c>
      <c r="HN108">
        <v>18.893599999999999</v>
      </c>
      <c r="HO108">
        <v>63.681399999999996</v>
      </c>
      <c r="HP108">
        <v>17.708300000000001</v>
      </c>
      <c r="HQ108">
        <v>1</v>
      </c>
      <c r="HR108">
        <v>0.15465999999999999</v>
      </c>
      <c r="HS108">
        <v>1.63348</v>
      </c>
      <c r="HT108">
        <v>20.215199999999999</v>
      </c>
      <c r="HU108">
        <v>5.2394499999999997</v>
      </c>
      <c r="HV108">
        <v>11.9757</v>
      </c>
      <c r="HW108">
        <v>4.9731500000000004</v>
      </c>
      <c r="HX108">
        <v>3.2909999999999999</v>
      </c>
      <c r="HY108">
        <v>9999</v>
      </c>
      <c r="HZ108">
        <v>9999</v>
      </c>
      <c r="IA108">
        <v>9999</v>
      </c>
      <c r="IB108">
        <v>999.9</v>
      </c>
      <c r="IC108">
        <v>4.9729200000000002</v>
      </c>
      <c r="ID108">
        <v>1.8772800000000001</v>
      </c>
      <c r="IE108">
        <v>1.87531</v>
      </c>
      <c r="IF108">
        <v>1.8781699999999999</v>
      </c>
      <c r="IG108">
        <v>1.8748499999999999</v>
      </c>
      <c r="IH108">
        <v>1.8784400000000001</v>
      </c>
      <c r="II108">
        <v>1.87558</v>
      </c>
      <c r="IJ108">
        <v>1.8767100000000001</v>
      </c>
      <c r="IK108">
        <v>0</v>
      </c>
      <c r="IL108">
        <v>0</v>
      </c>
      <c r="IM108">
        <v>0</v>
      </c>
      <c r="IN108">
        <v>0</v>
      </c>
      <c r="IO108" t="s">
        <v>443</v>
      </c>
      <c r="IP108" t="s">
        <v>444</v>
      </c>
      <c r="IQ108" t="s">
        <v>445</v>
      </c>
      <c r="IR108" t="s">
        <v>445</v>
      </c>
      <c r="IS108" t="s">
        <v>445</v>
      </c>
      <c r="IT108" t="s">
        <v>445</v>
      </c>
      <c r="IU108">
        <v>0</v>
      </c>
      <c r="IV108">
        <v>100</v>
      </c>
      <c r="IW108">
        <v>100</v>
      </c>
      <c r="IX108">
        <v>0.84</v>
      </c>
      <c r="IY108">
        <v>0.19589999999999999</v>
      </c>
      <c r="IZ108">
        <v>6.1933660764125778E-2</v>
      </c>
      <c r="JA108">
        <v>2.058711587971173E-3</v>
      </c>
      <c r="JB108">
        <v>-6.1309262243104059E-7</v>
      </c>
      <c r="JC108">
        <v>2.6183910446277612E-10</v>
      </c>
      <c r="JD108">
        <v>3.5078820932035488E-4</v>
      </c>
      <c r="JE108">
        <v>-4.3284922736758413E-3</v>
      </c>
      <c r="JF108">
        <v>1.4186339569364E-3</v>
      </c>
      <c r="JG108">
        <v>-2.7770646863349432E-5</v>
      </c>
      <c r="JH108">
        <v>2</v>
      </c>
      <c r="JI108">
        <v>2136</v>
      </c>
      <c r="JJ108">
        <v>1</v>
      </c>
      <c r="JK108">
        <v>19</v>
      </c>
      <c r="JL108">
        <v>29361556.300000001</v>
      </c>
      <c r="JM108">
        <v>29361556.300000001</v>
      </c>
      <c r="JN108">
        <v>1.1059600000000001</v>
      </c>
      <c r="JO108">
        <v>2.5451700000000002</v>
      </c>
      <c r="JP108">
        <v>1.39893</v>
      </c>
      <c r="JQ108">
        <v>2.3290999999999999</v>
      </c>
      <c r="JR108">
        <v>1.4489700000000001</v>
      </c>
      <c r="JS108">
        <v>2.6196299999999999</v>
      </c>
      <c r="JT108">
        <v>36.363500000000002</v>
      </c>
      <c r="JU108">
        <v>23.886099999999999</v>
      </c>
      <c r="JV108">
        <v>18</v>
      </c>
      <c r="JW108">
        <v>482.91899999999998</v>
      </c>
      <c r="JX108">
        <v>474.83600000000001</v>
      </c>
      <c r="JY108">
        <v>22.6252</v>
      </c>
      <c r="JZ108">
        <v>29.196100000000001</v>
      </c>
      <c r="KA108">
        <v>30.0001</v>
      </c>
      <c r="KB108">
        <v>28.936699999999998</v>
      </c>
      <c r="KC108">
        <v>29.0169</v>
      </c>
      <c r="KD108">
        <v>22.180900000000001</v>
      </c>
      <c r="KE108">
        <v>23.779699999999998</v>
      </c>
      <c r="KF108">
        <v>72.3249</v>
      </c>
      <c r="KG108">
        <v>22.624300000000002</v>
      </c>
      <c r="KH108">
        <v>420</v>
      </c>
      <c r="KI108">
        <v>16.119800000000001</v>
      </c>
      <c r="KJ108">
        <v>100.985</v>
      </c>
      <c r="KK108">
        <v>100.045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Garza, Garrison</cp:lastModifiedBy>
  <dcterms:created xsi:type="dcterms:W3CDTF">2025-10-28T23:18:42Z</dcterms:created>
  <dcterms:modified xsi:type="dcterms:W3CDTF">2026-02-08T02:05:10Z</dcterms:modified>
</cp:coreProperties>
</file>