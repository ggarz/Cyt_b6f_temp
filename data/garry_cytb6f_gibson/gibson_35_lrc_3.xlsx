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<sst xmlns="http://schemas.openxmlformats.org/spreadsheetml/2006/main" count="1549" uniqueCount="564">
  <si>
    <t>File opened</t>
  </si>
  <si>
    <t>2025-11-01 11:31:27</t>
  </si>
  <si>
    <t>Console s/n</t>
  </si>
  <si>
    <t>68C-901352</t>
  </si>
  <si>
    <t>Console ver</t>
  </si>
  <si>
    <t>Bluestem v.2.1.11</t>
  </si>
  <si>
    <t>Scripts ver</t>
  </si>
  <si>
    <t>2023.02  2.1.11, Jun 2023</t>
  </si>
  <si>
    <t>Head s/n</t>
  </si>
  <si>
    <t>68H-581348</t>
  </si>
  <si>
    <t>Head ver</t>
  </si>
  <si>
    <t>1.4.23</t>
  </si>
  <si>
    <t>Head cal</t>
  </si>
  <si>
    <t>{"co2aspan2a": "0.301852", "co2bspanconc2": "301.4", "co2bspan2": "-0.0345572", "chamberpressurezero": "2.57718", "co2bspan2b": "0.0918352", "h2oaspan1": "0.998365", "co2azero": "0.889706", "h2obzero": "1.07561", "tbzero": "0.197208", "flowbzero": "0.21929", "co2aspan2": "-0.0361282", "co2aspanconc2": "301.4", "h2oaspan2": "0", "co2aspanconc1": "2473", "h2obspanconc2": "0", "h2oaspanconc2": "0", "tazero": "0.243513", "ssb_ref": "33484.6", "h2oaspan2a": "0.0644972", "co2aspan1": "1.00085", "flowmeterzero": "2.48435", "h2obspanconc1": "11.69", "co2bspan1": "1.0003", "h2oaspanconc1": "11.69", "flowazero": "0.20627", "co2aspan2b": "0.298816", "co2bspan2a": "0.0920224", "h2obspan2a": "0.064441", "co2bspanconc1": "394.6", "h2obspan2b": "0.0640621", "h2oazero": "1.05632", "h2obspan1": "0.99412", "ssa_ref": "34683.2", "oxygen": "21", "h2oaspan2b": "0.0643918", "co2bzero": "0.968552", "h2obspan2": "0"}</t>
  </si>
  <si>
    <t>Factory cal date</t>
  </si>
  <si>
    <t>01 Sep 2023</t>
  </si>
  <si>
    <t>CO2 rangematch</t>
  </si>
  <si>
    <t>Sat Nov  1 11:01</t>
  </si>
  <si>
    <t>H2O rangematch</t>
  </si>
  <si>
    <t>Sat Nov  1 11:07</t>
  </si>
  <si>
    <t>Chamber type</t>
  </si>
  <si>
    <t>6800-01A</t>
  </si>
  <si>
    <t>Chamber s/n</t>
  </si>
  <si>
    <t>MPF-651288</t>
  </si>
  <si>
    <t>Chamber rev</t>
  </si>
  <si>
    <t>0</t>
  </si>
  <si>
    <t>Chamber cal</t>
  </si>
  <si>
    <t>Fluorometer</t>
  </si>
  <si>
    <t>Flr. Version</t>
  </si>
  <si>
    <t>11:31:27</t>
  </si>
  <si>
    <t>Stability Definition:	ΔCO2 (Meas2): Slp&lt;0.5 Per=20	ΔH2O (Meas2): Slp&lt;0.1 Per=20	F (FlrLS): Per=20</t>
  </si>
  <si>
    <t>SysConst</t>
  </si>
  <si>
    <t>AvgTime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</si>
  <si>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</si>
  <si>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</si>
  <si>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</si>
  <si>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</si>
  <si>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</si>
  <si>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</si>
  <si>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</si>
  <si>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</si>
  <si>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</si>
  <si>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</si>
  <si>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</si>
  <si>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</si>
  <si>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</si>
  <si>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</si>
  <si>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</si>
  <si>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</si>
  <si>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</si>
  <si>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</si>
  <si>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</si>
  <si>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</si>
  <si>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</si>
  <si>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</si>
  <si>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</si>
  <si>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</si>
  <si>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</si>
  <si>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</si>
  <si>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</si>
  <si>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</si>
  <si>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</si>
  <si>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</si>
  <si>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</si>
  <si>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</si>
  <si>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</si>
  <si>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</si>
  <si>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</si>
  <si>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</si>
  <si>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</si>
  <si>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</si>
  <si>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</si>
  <si>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</si>
  <si>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</si>
  <si>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</si>
  <si>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</si>
  <si>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</si>
  <si>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</si>
  <si>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</si>
  <si>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</si>
  <si>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</si>
  <si>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</si>
  <si>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5.75496 223.397 389.732 689.064 898.295 1107.39 1289.68 1428.01</t>
  </si>
  <si>
    <t>Fs_true</t>
  </si>
  <si>
    <t>-1.12057 220.57 376.819 619.13 799.207 1007.95 1200.74 1401.12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</si>
  <si>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</si>
  <si>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</si>
  <si>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</si>
  <si>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</si>
  <si>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</si>
  <si>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</si>
  <si>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</si>
  <si>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</si>
  <si>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</si>
  <si>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</si>
  <si>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</si>
  <si>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</si>
  <si>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</si>
  <si>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</si>
  <si>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</si>
  <si>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</si>
  <si>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</si>
  <si>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</si>
  <si>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</si>
  <si>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</si>
  <si>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</si>
  <si>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</si>
  <si>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</si>
  <si>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</si>
  <si>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</si>
  <si>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</si>
  <si>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</si>
  <si>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</si>
  <si>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</si>
  <si>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</si>
  <si>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</si>
  <si>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</si>
  <si>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</si>
  <si>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</si>
  <si>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</si>
  <si>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</si>
  <si>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</si>
  <si>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</si>
  <si>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</si>
  <si>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</si>
  <si>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</si>
  <si>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</si>
  <si>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</si>
  <si>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</si>
  <si>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</si>
  <si>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</si>
  <si>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</si>
  <si>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</si>
  <si>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</si>
  <si>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</si>
  <si>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</si>
  <si>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</si>
  <si>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</si>
  <si>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</si>
  <si>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</si>
  <si>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</si>
  <si>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</si>
  <si>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</si>
  <si>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</si>
  <si>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</si>
  <si>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</si>
  <si>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</si>
  <si>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</si>
  <si>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</si>
  <si>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</si>
  <si>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</si>
  <si>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</si>
  <si>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</si>
  <si>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</si>
  <si>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</si>
  <si>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</si>
  <si>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</si>
  <si>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</si>
  <si>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</si>
  <si>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</si>
  <si>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</si>
  <si>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</si>
  <si>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</si>
  <si>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</si>
  <si>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</si>
  <si>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</si>
  <si>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</si>
  <si>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</si>
  <si>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</si>
  <si>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</si>
  <si>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</si>
  <si>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</si>
  <si>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</si>
  <si>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</si>
  <si>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</si>
  <si>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</si>
  <si>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</si>
  <si>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</si>
  <si>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</si>
  <si>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</si>
  <si>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</si>
  <si>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</si>
  <si>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</si>
  <si>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</si>
  <si>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</si>
  <si>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</si>
  <si>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</si>
  <si>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</si>
  <si>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</si>
  <si>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</si>
  <si>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</si>
  <si>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</si>
  <si>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</si>
  <si>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</si>
  <si>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</si>
  <si>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</si>
  <si>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</si>
  <si>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</si>
  <si>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</si>
  <si>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</si>
  <si>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</si>
  <si>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</si>
  <si>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</si>
  <si>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</si>
  <si>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</si>
  <si>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</si>
  <si>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</si>
  <si>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</si>
  <si>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</si>
  <si>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</si>
  <si>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</si>
  <si>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</si>
  <si>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</si>
  <si>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</si>
  <si>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</si>
  <si>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</si>
  <si>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</si>
  <si>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</si>
  <si>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</si>
  <si>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</si>
  <si>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</si>
  <si>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</si>
  <si>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</si>
  <si>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</si>
  <si>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</si>
  <si>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</si>
  <si>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</si>
  <si>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</si>
  <si>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</si>
  <si>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</si>
  <si>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</si>
  <si>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</si>
  <si>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</si>
  <si>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</si>
  <si>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</si>
  <si>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</si>
  <si>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</si>
  <si>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</si>
  <si>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</si>
  <si>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</si>
  <si>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</si>
  <si>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</si>
  <si>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</si>
  <si>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</si>
  <si>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</si>
  <si>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</si>
  <si>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</si>
  <si>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</si>
  <si>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</si>
  <si>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</si>
  <si>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</si>
  <si>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</si>
  <si>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</si>
  <si>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</si>
  <si>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</si>
  <si>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</si>
  <si>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</si>
  <si>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</si>
  <si>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</si>
  <si>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</si>
  <si>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</si>
  <si>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</si>
  <si>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</si>
  <si>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</si>
  <si>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</si>
  <si>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</si>
  <si>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</si>
  <si>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</si>
  <si>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</si>
  <si>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</si>
  <si>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</si>
  <si>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</si>
  <si>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</si>
  <si>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</si>
  <si>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</si>
  <si>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</si>
  <si>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</si>
  <si>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</si>
  <si>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</si>
  <si>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</si>
  <si>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</si>
  <si>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</si>
  <si>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</si>
  <si>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</si>
  <si>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</si>
  <si>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</si>
  <si>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</si>
  <si>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</si>
  <si>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</si>
  <si>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</si>
  <si>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</si>
  <si>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</si>
  <si>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</si>
  <si>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</si>
  <si>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</si>
  <si>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</si>
  <si>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</si>
  <si>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</si>
  <si>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</si>
  <si>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</si>
  <si>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</si>
  <si>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</si>
  <si>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</si>
  <si>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</si>
  <si>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</si>
  <si>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</si>
  <si>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</si>
  <si>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</si>
  <si>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</si>
  <si>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</si>
  <si>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</si>
  <si>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</si>
  <si>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</si>
  <si>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</si>
  <si>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</si>
  <si>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</si>
  <si>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</si>
  <si>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</si>
  <si>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</si>
  <si>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</si>
  <si>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</si>
  <si>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</si>
  <si>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</si>
  <si>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</si>
  <si>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</si>
  <si>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</si>
  <si>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</si>
  <si>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</si>
  <si>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</si>
  <si>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</si>
  <si>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</si>
  <si>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</si>
  <si>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</si>
  <si>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</si>
  <si>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</si>
  <si>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CO2_hrs</t>
  </si>
  <si>
    <t>AccH2O_des</t>
  </si>
  <si>
    <t>AccH2O_hum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</si>
  <si>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</si>
  <si>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</si>
  <si>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</si>
  <si>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</si>
  <si>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</si>
  <si>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</si>
  <si>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</si>
  <si>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</si>
  <si>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</si>
  <si>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</si>
  <si>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</si>
  <si>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</si>
  <si>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</si>
  <si>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</si>
  <si>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</si>
  <si>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</si>
  <si>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</si>
  <si>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</si>
  <si>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</si>
  <si>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</si>
  <si>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</si>
  <si>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</si>
  <si>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</si>
  <si>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</si>
  <si>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</si>
  <si>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</si>
  <si>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</si>
  <si>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</si>
  <si>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</si>
  <si>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</si>
  <si>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</si>
  <si>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</si>
  <si>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</si>
  <si>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</si>
  <si>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</si>
  <si>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</si>
  <si>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</si>
  <si>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</si>
  <si>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</si>
  <si>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</si>
  <si>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</si>
  <si>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</si>
  <si>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</si>
  <si>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</si>
  <si>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</si>
  <si>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</si>
  <si>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</si>
  <si>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</si>
  <si>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</si>
  <si>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</si>
  <si>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</si>
  <si>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</si>
  <si>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</si>
  <si>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</si>
  <si>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</si>
  <si>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</si>
  <si>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</si>
  <si>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</si>
  <si>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</si>
  <si>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</si>
  <si>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</si>
  <si>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</si>
  <si>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</si>
  <si>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</si>
  <si>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</si>
  <si>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</si>
  <si>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</si>
  <si>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</si>
  <si>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</si>
  <si>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</si>
  <si>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</si>
  <si>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</si>
  <si>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</si>
  <si>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</si>
  <si>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</si>
  <si>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</si>
  <si>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</si>
  <si>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</si>
  <si>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</si>
  <si>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</si>
  <si>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</si>
  <si>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</si>
  <si>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</si>
  <si>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</si>
  <si>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</si>
  <si>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</si>
  <si>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</si>
  <si>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</si>
  <si>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</si>
  <si>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</si>
  <si>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</si>
  <si>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</si>
  <si>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</si>
  <si>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</si>
  <si>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</si>
  <si>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20251102 10:37:11</t>
  </si>
  <si>
    <t>10:37:11</t>
  </si>
  <si>
    <t>gg_32</t>
  </si>
  <si>
    <t>gibson</t>
  </si>
  <si>
    <t>MPF-793-20251031-18_05_18</t>
  </si>
  <si>
    <t>MPF-794-20251101-11_36_28</t>
  </si>
  <si>
    <t>DARK-795-20251101-11_36_36</t>
  </si>
  <si>
    <t>0: Broadleaf</t>
  </si>
  <si>
    <t>--:--:--</t>
  </si>
  <si>
    <t>2/2</t>
  </si>
  <si>
    <t>11111111</t>
  </si>
  <si>
    <t>oooooooo</t>
  </si>
  <si>
    <t>off</t>
  </si>
  <si>
    <t>20251102 10:38:40</t>
  </si>
  <si>
    <t>10:38:40</t>
  </si>
  <si>
    <t>MPF-796-20251101-11_37_58</t>
  </si>
  <si>
    <t>DARK-797-20251101-11_38_06</t>
  </si>
  <si>
    <t>20251102 10:39:52</t>
  </si>
  <si>
    <t>10:39:52</t>
  </si>
  <si>
    <t>MPF-798-20251101-11_39_11</t>
  </si>
  <si>
    <t>DARK-799-20251101-11_39_19</t>
  </si>
  <si>
    <t>20251102 10:41:35</t>
  </si>
  <si>
    <t>10:41:35</t>
  </si>
  <si>
    <t>MPF-800-20251101-11_40_53</t>
  </si>
  <si>
    <t>DARK-801-20251101-11_41_01</t>
  </si>
  <si>
    <t>1/2</t>
  </si>
  <si>
    <t>20251102 10:43:17</t>
  </si>
  <si>
    <t>10:43:17</t>
  </si>
  <si>
    <t>MPF-802-20251101-11_42_35</t>
  </si>
  <si>
    <t>DARK-803-20251101-11_42_42</t>
  </si>
  <si>
    <t>20251102 10:44:59</t>
  </si>
  <si>
    <t>10:44:59</t>
  </si>
  <si>
    <t>MPF-804-20251101-11_44_17</t>
  </si>
  <si>
    <t>DARK-805-20251101-11_44_25</t>
  </si>
  <si>
    <t>20251102 10:46:37</t>
  </si>
  <si>
    <t>10:46:37</t>
  </si>
  <si>
    <t>MPF-806-20251101-11_45_56</t>
  </si>
  <si>
    <t>DARK-807-20251101-11_46_03</t>
  </si>
  <si>
    <t>20251102 10:48:20</t>
  </si>
  <si>
    <t>10:48:20</t>
  </si>
  <si>
    <t>MPF-808-20251101-11_47_39</t>
  </si>
  <si>
    <t>DARK-809-20251101-11_47_47</t>
  </si>
  <si>
    <t>20251102 10:50:03</t>
  </si>
  <si>
    <t>10:50:03</t>
  </si>
  <si>
    <t>MPF-810-20251101-11_49_23</t>
  </si>
  <si>
    <t>DARK-811-20251101-11_49_31</t>
  </si>
  <si>
    <t>20251102 10:51:47</t>
  </si>
  <si>
    <t>10:51:47</t>
  </si>
  <si>
    <t>MPF-812-20251101-11_51_05</t>
  </si>
  <si>
    <t>-</t>
  </si>
  <si>
    <t>20251102 11:08:03</t>
  </si>
  <si>
    <t>11:08:03</t>
  </si>
  <si>
    <t>gg_14</t>
  </si>
  <si>
    <t>MPF-813-20251101-12_07_21</t>
  </si>
  <si>
    <t>DARK-814-20251101-12_07_29</t>
  </si>
  <si>
    <t>0/2</t>
  </si>
  <si>
    <t>20251102 11:09:45</t>
  </si>
  <si>
    <t>11:09:45</t>
  </si>
  <si>
    <t>MPF-815-20251101-12_09_04</t>
  </si>
  <si>
    <t>DARK-816-20251101-12_09_12</t>
  </si>
  <si>
    <t>20251102 11:11:28</t>
  </si>
  <si>
    <t>11:11:28</t>
  </si>
  <si>
    <t>MPF-817-20251101-12_10_46</t>
  </si>
  <si>
    <t>DARK-818-20251101-12_10_54</t>
  </si>
  <si>
    <t>20251102 11:13:10</t>
  </si>
  <si>
    <t>11:13:10</t>
  </si>
  <si>
    <t>MPF-819-20251101-12_12_29</t>
  </si>
  <si>
    <t>DARK-820-20251101-12_12_37</t>
  </si>
  <si>
    <t>20251102 11:14:53</t>
  </si>
  <si>
    <t>11:14:53</t>
  </si>
  <si>
    <t>MPF-821-20251101-12_14_12</t>
  </si>
  <si>
    <t>DARK-822-20251101-12_14_20</t>
  </si>
  <si>
    <t>20251102 11:16:36</t>
  </si>
  <si>
    <t>11:16:36</t>
  </si>
  <si>
    <t>MPF-823-20251101-12_15_55</t>
  </si>
  <si>
    <t>DARK-824-20251101-12_16_03</t>
  </si>
  <si>
    <t>20251102 11:18:19</t>
  </si>
  <si>
    <t>11:18:19</t>
  </si>
  <si>
    <t>MPF-825-20251101-12_17_38</t>
  </si>
  <si>
    <t>DARK-826-20251101-12_17_46</t>
  </si>
  <si>
    <t>20251102 11:20:02</t>
  </si>
  <si>
    <t>11:20:02</t>
  </si>
  <si>
    <t>MPF-827-20251101-12_19_20</t>
  </si>
  <si>
    <t>DARK-828-20251101-12_19_28</t>
  </si>
  <si>
    <t>20251102 11:21:44</t>
  </si>
  <si>
    <t>11:21:44</t>
  </si>
  <si>
    <t>MPF-829-20251101-12_21_03</t>
  </si>
  <si>
    <t>DARK-830-20251101-12_21_11</t>
  </si>
  <si>
    <t>20251102 11:23:27</t>
  </si>
  <si>
    <t>11:23:27</t>
  </si>
  <si>
    <t>MPF-831-20251101-12_22_46</t>
  </si>
  <si>
    <t>20251102 12:11:48</t>
  </si>
  <si>
    <t>12:11:48</t>
  </si>
  <si>
    <t>gg_40</t>
  </si>
  <si>
    <t>MPF-832-20251101-13_11_06</t>
  </si>
  <si>
    <t>DARK-833-20251101-13_11_13</t>
  </si>
  <si>
    <t>20251102 12:12:59</t>
  </si>
  <si>
    <t>12:12:59</t>
  </si>
  <si>
    <t>MPF-834-20251101-13_12_17</t>
  </si>
  <si>
    <t>DARK-835-20251101-13_12_25</t>
  </si>
  <si>
    <t>20251102 12:14:41</t>
  </si>
  <si>
    <t>12:14:41</t>
  </si>
  <si>
    <t>MPF-836-20251101-13_14_00</t>
  </si>
  <si>
    <t>DARK-837-20251101-13_14_07</t>
  </si>
  <si>
    <t>20251102 12:16:23</t>
  </si>
  <si>
    <t>12:16:23</t>
  </si>
  <si>
    <t>MPF-838-20251101-13_15_42</t>
  </si>
  <si>
    <t>DARK-839-20251101-13_15_49</t>
  </si>
  <si>
    <t>20251102 12:18:05</t>
  </si>
  <si>
    <t>12:18:05</t>
  </si>
  <si>
    <t>MPF-840-20251101-13_17_23</t>
  </si>
  <si>
    <t>DARK-841-20251101-13_17_30</t>
  </si>
  <si>
    <t>20251102 12:19:46</t>
  </si>
  <si>
    <t>12:19:46</t>
  </si>
  <si>
    <t>MPF-842-20251101-13_19_04</t>
  </si>
  <si>
    <t>DARK-843-20251101-13_19_12</t>
  </si>
  <si>
    <t>20251102 12:21:27</t>
  </si>
  <si>
    <t>12:21:27</t>
  </si>
  <si>
    <t>MPF-844-20251101-13_20_45</t>
  </si>
  <si>
    <t>DARK-845-20251101-13_20_52</t>
  </si>
  <si>
    <t>20251102 12:23:00</t>
  </si>
  <si>
    <t>12:23:00</t>
  </si>
  <si>
    <t>MPF-846-20251101-13_22_18</t>
  </si>
  <si>
    <t>DARK-847-20251101-13_22_25</t>
  </si>
  <si>
    <t>20251102 12:24:22</t>
  </si>
  <si>
    <t>12:24:22</t>
  </si>
  <si>
    <t>MPF-848-20251101-13_23_41</t>
  </si>
  <si>
    <t>DARK-849-20251101-13_23_48</t>
  </si>
  <si>
    <t>20251102 12:25:45</t>
  </si>
  <si>
    <t>12:25:45</t>
  </si>
  <si>
    <t>MPF-850-20251101-13_25_04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</si>
</sst>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K46"/>
  <sheetViews>
    <sheetView tabSelected="1" workbookViewId="0"/>
  </sheetViews>
  <sheetFormatPr defaultRowHeight="15"/>
  <sheetData>
    <row r="2" spans="1:297">
      <c r="A2" t="s">
        <v>31</v>
      </c>
      <c r="B2" t="s">
        <v>32</v>
      </c>
      <c r="C2" t="s">
        <v>33</v>
      </c>
    </row>
    <row r="3" spans="1:297">
      <c r="B3">
        <v>4</v>
      </c>
      <c r="C3">
        <v>21</v>
      </c>
    </row>
    <row r="4" spans="1:297">
      <c r="A4" t="s">
        <v>34</v>
      </c>
      <c r="B4" t="s">
        <v>35</v>
      </c>
      <c r="C4" t="s">
        <v>36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97">
      <c r="B5" t="s">
        <v>21</v>
      </c>
      <c r="C5" t="s">
        <v>37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</v>
      </c>
    </row>
    <row r="6" spans="1:297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97">
      <c r="B7">
        <v>0</v>
      </c>
      <c r="C7">
        <v>0</v>
      </c>
      <c r="D7">
        <v>0</v>
      </c>
      <c r="E7">
        <v>1</v>
      </c>
    </row>
    <row r="8" spans="1:297">
      <c r="A8" t="s">
        <v>51</v>
      </c>
      <c r="B8" t="s">
        <v>52</v>
      </c>
      <c r="C8" t="s">
        <v>54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</row>
    <row r="9" spans="1:297">
      <c r="B9" t="s">
        <v>53</v>
      </c>
      <c r="C9" t="s">
        <v>55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0.1911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97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</row>
    <row r="11" spans="1:297">
      <c r="B11">
        <v>0</v>
      </c>
      <c r="C11">
        <v>0</v>
      </c>
      <c r="D11">
        <v>0</v>
      </c>
      <c r="E11">
        <v>0</v>
      </c>
      <c r="F11">
        <v>1</v>
      </c>
    </row>
    <row r="12" spans="1:297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83</v>
      </c>
      <c r="H12" t="s">
        <v>85</v>
      </c>
    </row>
    <row r="13" spans="1:297">
      <c r="B13">
        <v>-6276</v>
      </c>
      <c r="C13">
        <v>6.6</v>
      </c>
      <c r="D13">
        <v>1.709e-05</v>
      </c>
      <c r="E13">
        <v>3.11</v>
      </c>
      <c r="F13" t="s">
        <v>82</v>
      </c>
      <c r="G13" t="s">
        <v>84</v>
      </c>
      <c r="H13">
        <v>0</v>
      </c>
    </row>
    <row r="14" spans="1:297">
      <c r="A14" t="s">
        <v>86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87</v>
      </c>
      <c r="H14" t="s">
        <v>87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88</v>
      </c>
      <c r="AF14" t="s">
        <v>88</v>
      </c>
      <c r="AG14" t="s">
        <v>88</v>
      </c>
      <c r="AH14" t="s">
        <v>88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91</v>
      </c>
      <c r="AY14" t="s">
        <v>91</v>
      </c>
      <c r="AZ14" t="s">
        <v>91</v>
      </c>
      <c r="BA14" t="s">
        <v>91</v>
      </c>
      <c r="BB14" t="s">
        <v>91</v>
      </c>
      <c r="BC14" t="s">
        <v>91</v>
      </c>
      <c r="BD14" t="s">
        <v>91</v>
      </c>
      <c r="BE14" t="s">
        <v>91</v>
      </c>
      <c r="BF14" t="s">
        <v>91</v>
      </c>
      <c r="BG14" t="s">
        <v>91</v>
      </c>
      <c r="BH14" t="s">
        <v>91</v>
      </c>
      <c r="BI14" t="s">
        <v>91</v>
      </c>
      <c r="BJ14" t="s">
        <v>91</v>
      </c>
      <c r="BK14" t="s">
        <v>91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92</v>
      </c>
      <c r="CA14" t="s">
        <v>92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92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94</v>
      </c>
      <c r="DI14" t="s">
        <v>94</v>
      </c>
      <c r="DJ14" t="s">
        <v>94</v>
      </c>
      <c r="DK14" t="s">
        <v>94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96</v>
      </c>
      <c r="DR14" t="s">
        <v>96</v>
      </c>
      <c r="DS14" t="s">
        <v>96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98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99</v>
      </c>
      <c r="FL14" t="s">
        <v>99</v>
      </c>
      <c r="FM14" t="s">
        <v>99</v>
      </c>
      <c r="FN14" t="s">
        <v>99</v>
      </c>
      <c r="FO14" t="s">
        <v>99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102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  <c r="HI14" t="s">
        <v>102</v>
      </c>
      <c r="HJ14" t="s">
        <v>103</v>
      </c>
      <c r="HK14" t="s">
        <v>103</v>
      </c>
      <c r="HL14" t="s">
        <v>103</v>
      </c>
      <c r="HM14" t="s">
        <v>103</v>
      </c>
      <c r="HN14" t="s">
        <v>103</v>
      </c>
      <c r="HO14" t="s">
        <v>103</v>
      </c>
      <c r="HP14" t="s">
        <v>103</v>
      </c>
      <c r="HQ14" t="s">
        <v>103</v>
      </c>
      <c r="HR14" t="s">
        <v>103</v>
      </c>
      <c r="HS14" t="s">
        <v>103</v>
      </c>
      <c r="HT14" t="s">
        <v>103</v>
      </c>
      <c r="HU14" t="s">
        <v>103</v>
      </c>
      <c r="HV14" t="s">
        <v>103</v>
      </c>
      <c r="HW14" t="s">
        <v>103</v>
      </c>
      <c r="HX14" t="s">
        <v>103</v>
      </c>
      <c r="HY14" t="s">
        <v>103</v>
      </c>
      <c r="HZ14" t="s">
        <v>103</v>
      </c>
      <c r="IA14" t="s">
        <v>103</v>
      </c>
      <c r="IB14" t="s">
        <v>103</v>
      </c>
      <c r="IC14" t="s">
        <v>104</v>
      </c>
      <c r="ID14" t="s">
        <v>104</v>
      </c>
      <c r="IE14" t="s">
        <v>104</v>
      </c>
      <c r="IF14" t="s">
        <v>104</v>
      </c>
      <c r="IG14" t="s">
        <v>104</v>
      </c>
      <c r="IH14" t="s">
        <v>104</v>
      </c>
      <c r="II14" t="s">
        <v>104</v>
      </c>
      <c r="IJ14" t="s">
        <v>104</v>
      </c>
      <c r="IK14" t="s">
        <v>104</v>
      </c>
      <c r="IL14" t="s">
        <v>104</v>
      </c>
      <c r="IM14" t="s">
        <v>104</v>
      </c>
      <c r="IN14" t="s">
        <v>104</v>
      </c>
      <c r="IO14" t="s">
        <v>104</v>
      </c>
      <c r="IP14" t="s">
        <v>104</v>
      </c>
      <c r="IQ14" t="s">
        <v>104</v>
      </c>
      <c r="IR14" t="s">
        <v>104</v>
      </c>
      <c r="IS14" t="s">
        <v>104</v>
      </c>
      <c r="IT14" t="s">
        <v>104</v>
      </c>
      <c r="IU14" t="s">
        <v>104</v>
      </c>
      <c r="IV14" t="s">
        <v>105</v>
      </c>
      <c r="IW14" t="s">
        <v>105</v>
      </c>
      <c r="IX14" t="s">
        <v>105</v>
      </c>
      <c r="IY14" t="s">
        <v>105</v>
      </c>
      <c r="IZ14" t="s">
        <v>105</v>
      </c>
      <c r="JA14" t="s">
        <v>105</v>
      </c>
      <c r="JB14" t="s">
        <v>105</v>
      </c>
      <c r="JC14" t="s">
        <v>105</v>
      </c>
      <c r="JD14" t="s">
        <v>105</v>
      </c>
      <c r="JE14" t="s">
        <v>105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106</v>
      </c>
      <c r="JO14" t="s">
        <v>106</v>
      </c>
      <c r="JP14" t="s">
        <v>106</v>
      </c>
      <c r="JQ14" t="s">
        <v>106</v>
      </c>
      <c r="JR14" t="s">
        <v>106</v>
      </c>
      <c r="JS14" t="s">
        <v>106</v>
      </c>
      <c r="JT14" t="s">
        <v>106</v>
      </c>
      <c r="JU14" t="s">
        <v>106</v>
      </c>
      <c r="JV14" t="s">
        <v>107</v>
      </c>
      <c r="JW14" t="s">
        <v>107</v>
      </c>
      <c r="JX14" t="s">
        <v>107</v>
      </c>
      <c r="JY14" t="s">
        <v>107</v>
      </c>
      <c r="JZ14" t="s">
        <v>107</v>
      </c>
      <c r="KA14" t="s">
        <v>107</v>
      </c>
      <c r="KB14" t="s">
        <v>107</v>
      </c>
      <c r="KC14" t="s">
        <v>107</v>
      </c>
      <c r="KD14" t="s">
        <v>107</v>
      </c>
      <c r="KE14" t="s">
        <v>107</v>
      </c>
      <c r="KF14" t="s">
        <v>107</v>
      </c>
      <c r="KG14" t="s">
        <v>107</v>
      </c>
      <c r="KH14" t="s">
        <v>107</v>
      </c>
      <c r="KI14" t="s">
        <v>107</v>
      </c>
      <c r="KJ14" t="s">
        <v>107</v>
      </c>
      <c r="KK14" t="s">
        <v>107</v>
      </c>
    </row>
    <row r="15" spans="1:297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139</v>
      </c>
      <c r="AG15" t="s">
        <v>140</v>
      </c>
      <c r="AH15" t="s">
        <v>141</v>
      </c>
      <c r="AI15" t="s">
        <v>142</v>
      </c>
      <c r="AJ15" t="s">
        <v>143</v>
      </c>
      <c r="AK15" t="s">
        <v>144</v>
      </c>
      <c r="AL15" t="s">
        <v>145</v>
      </c>
      <c r="AM15" t="s">
        <v>146</v>
      </c>
      <c r="AN15" t="s">
        <v>147</v>
      </c>
      <c r="AO15" t="s">
        <v>148</v>
      </c>
      <c r="AP15" t="s">
        <v>149</v>
      </c>
      <c r="AQ15" t="s">
        <v>150</v>
      </c>
      <c r="AR15" t="s">
        <v>151</v>
      </c>
      <c r="AS15" t="s">
        <v>90</v>
      </c>
      <c r="AT15" t="s">
        <v>152</v>
      </c>
      <c r="AU15" t="s">
        <v>153</v>
      </c>
      <c r="AV15" t="s">
        <v>154</v>
      </c>
      <c r="AW15" t="s">
        <v>155</v>
      </c>
      <c r="AX15" t="s">
        <v>156</v>
      </c>
      <c r="AY15" t="s">
        <v>157</v>
      </c>
      <c r="AZ15" t="s">
        <v>158</v>
      </c>
      <c r="BA15" t="s">
        <v>159</v>
      </c>
      <c r="BB15" t="s">
        <v>160</v>
      </c>
      <c r="BC15" t="s">
        <v>161</v>
      </c>
      <c r="BD15" t="s">
        <v>162</v>
      </c>
      <c r="BE15" t="s">
        <v>163</v>
      </c>
      <c r="BF15" t="s">
        <v>164</v>
      </c>
      <c r="BG15" t="s">
        <v>165</v>
      </c>
      <c r="BH15" t="s">
        <v>166</v>
      </c>
      <c r="BI15" t="s">
        <v>167</v>
      </c>
      <c r="BJ15" t="s">
        <v>168</v>
      </c>
      <c r="BK15" t="s">
        <v>169</v>
      </c>
      <c r="BL15" t="s">
        <v>170</v>
      </c>
      <c r="BM15" t="s">
        <v>171</v>
      </c>
      <c r="BN15" t="s">
        <v>172</v>
      </c>
      <c r="BO15" t="s">
        <v>173</v>
      </c>
      <c r="BP15" t="s">
        <v>174</v>
      </c>
      <c r="BQ15" t="s">
        <v>175</v>
      </c>
      <c r="BR15" t="s">
        <v>176</v>
      </c>
      <c r="BS15" t="s">
        <v>177</v>
      </c>
      <c r="BT15" t="s">
        <v>178</v>
      </c>
      <c r="BU15" t="s">
        <v>179</v>
      </c>
      <c r="BV15" t="s">
        <v>180</v>
      </c>
      <c r="BW15" t="s">
        <v>181</v>
      </c>
      <c r="BX15" t="s">
        <v>182</v>
      </c>
      <c r="BY15" t="s">
        <v>183</v>
      </c>
      <c r="BZ15" t="s">
        <v>184</v>
      </c>
      <c r="CA15" t="s">
        <v>185</v>
      </c>
      <c r="CB15" t="s">
        <v>186</v>
      </c>
      <c r="CC15" t="s">
        <v>187</v>
      </c>
      <c r="CD15" t="s">
        <v>188</v>
      </c>
      <c r="CE15" t="s">
        <v>189</v>
      </c>
      <c r="CF15" t="s">
        <v>190</v>
      </c>
      <c r="CG15" t="s">
        <v>191</v>
      </c>
      <c r="CH15" t="s">
        <v>192</v>
      </c>
      <c r="CI15" t="s">
        <v>193</v>
      </c>
      <c r="CJ15" t="s">
        <v>194</v>
      </c>
      <c r="CK15" t="s">
        <v>195</v>
      </c>
      <c r="CL15" t="s">
        <v>196</v>
      </c>
      <c r="CM15" t="s">
        <v>197</v>
      </c>
      <c r="CN15" t="s">
        <v>198</v>
      </c>
      <c r="CO15" t="s">
        <v>199</v>
      </c>
      <c r="CP15" t="s">
        <v>200</v>
      </c>
      <c r="CQ15" t="s">
        <v>201</v>
      </c>
      <c r="CR15" t="s">
        <v>202</v>
      </c>
      <c r="CS15" t="s">
        <v>203</v>
      </c>
      <c r="CT15" t="s">
        <v>204</v>
      </c>
      <c r="CU15" t="s">
        <v>184</v>
      </c>
      <c r="CV15" t="s">
        <v>205</v>
      </c>
      <c r="CW15" t="s">
        <v>206</v>
      </c>
      <c r="CX15" t="s">
        <v>207</v>
      </c>
      <c r="CY15" t="s">
        <v>158</v>
      </c>
      <c r="CZ15" t="s">
        <v>208</v>
      </c>
      <c r="DA15" t="s">
        <v>209</v>
      </c>
      <c r="DB15" t="s">
        <v>210</v>
      </c>
      <c r="DC15" t="s">
        <v>211</v>
      </c>
      <c r="DD15" t="s">
        <v>212</v>
      </c>
      <c r="DE15" t="s">
        <v>213</v>
      </c>
      <c r="DF15" t="s">
        <v>214</v>
      </c>
      <c r="DG15" t="s">
        <v>215</v>
      </c>
      <c r="DH15" t="s">
        <v>216</v>
      </c>
      <c r="DI15" t="s">
        <v>217</v>
      </c>
      <c r="DJ15" t="s">
        <v>218</v>
      </c>
      <c r="DK15" t="s">
        <v>219</v>
      </c>
      <c r="DL15" t="s">
        <v>220</v>
      </c>
      <c r="DM15" t="s">
        <v>221</v>
      </c>
      <c r="DN15" t="s">
        <v>222</v>
      </c>
      <c r="DO15" t="s">
        <v>223</v>
      </c>
      <c r="DP15" t="s">
        <v>224</v>
      </c>
      <c r="DQ15" t="s">
        <v>116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109</v>
      </c>
      <c r="FQ15" t="s">
        <v>112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  <c r="GD15" t="s">
        <v>287</v>
      </c>
      <c r="GE15" t="s">
        <v>288</v>
      </c>
      <c r="GF15" t="s">
        <v>289</v>
      </c>
      <c r="GG15" t="s">
        <v>290</v>
      </c>
      <c r="GH15" t="s">
        <v>291</v>
      </c>
      <c r="GI15" t="s">
        <v>292</v>
      </c>
      <c r="GJ15" t="s">
        <v>293</v>
      </c>
      <c r="GK15" t="s">
        <v>294</v>
      </c>
      <c r="GL15" t="s">
        <v>295</v>
      </c>
      <c r="GM15" t="s">
        <v>296</v>
      </c>
      <c r="GN15" t="s">
        <v>297</v>
      </c>
      <c r="GO15" t="s">
        <v>298</v>
      </c>
      <c r="GP15" t="s">
        <v>299</v>
      </c>
      <c r="GQ15" t="s">
        <v>300</v>
      </c>
      <c r="GR15" t="s">
        <v>301</v>
      </c>
      <c r="GS15" t="s">
        <v>302</v>
      </c>
      <c r="GT15" t="s">
        <v>303</v>
      </c>
      <c r="GU15" t="s">
        <v>304</v>
      </c>
      <c r="GV15" t="s">
        <v>305</v>
      </c>
      <c r="GW15" t="s">
        <v>306</v>
      </c>
      <c r="GX15" t="s">
        <v>307</v>
      </c>
      <c r="GY15" t="s">
        <v>308</v>
      </c>
      <c r="GZ15" t="s">
        <v>309</v>
      </c>
      <c r="HA15" t="s">
        <v>310</v>
      </c>
      <c r="HB15" t="s">
        <v>311</v>
      </c>
      <c r="HC15" t="s">
        <v>312</v>
      </c>
      <c r="HD15" t="s">
        <v>313</v>
      </c>
      <c r="HE15" t="s">
        <v>314</v>
      </c>
      <c r="HF15" t="s">
        <v>315</v>
      </c>
      <c r="HG15" t="s">
        <v>316</v>
      </c>
      <c r="HH15" t="s">
        <v>317</v>
      </c>
      <c r="HI15" t="s">
        <v>318</v>
      </c>
      <c r="HJ15" t="s">
        <v>319</v>
      </c>
      <c r="HK15" t="s">
        <v>320</v>
      </c>
      <c r="HL15" t="s">
        <v>321</v>
      </c>
      <c r="HM15" t="s">
        <v>322</v>
      </c>
      <c r="HN15" t="s">
        <v>323</v>
      </c>
      <c r="HO15" t="s">
        <v>324</v>
      </c>
      <c r="HP15" t="s">
        <v>325</v>
      </c>
      <c r="HQ15" t="s">
        <v>326</v>
      </c>
      <c r="HR15" t="s">
        <v>327</v>
      </c>
      <c r="HS15" t="s">
        <v>328</v>
      </c>
      <c r="HT15" t="s">
        <v>329</v>
      </c>
      <c r="HU15" t="s">
        <v>330</v>
      </c>
      <c r="HV15" t="s">
        <v>331</v>
      </c>
      <c r="HW15" t="s">
        <v>332</v>
      </c>
      <c r="HX15" t="s">
        <v>333</v>
      </c>
      <c r="HY15" t="s">
        <v>334</v>
      </c>
      <c r="HZ15" t="s">
        <v>335</v>
      </c>
      <c r="IA15" t="s">
        <v>336</v>
      </c>
      <c r="IB15" t="s">
        <v>337</v>
      </c>
      <c r="IC15" t="s">
        <v>338</v>
      </c>
      <c r="ID15" t="s">
        <v>339</v>
      </c>
      <c r="IE15" t="s">
        <v>340</v>
      </c>
      <c r="IF15" t="s">
        <v>341</v>
      </c>
      <c r="IG15" t="s">
        <v>342</v>
      </c>
      <c r="IH15" t="s">
        <v>343</v>
      </c>
      <c r="II15" t="s">
        <v>344</v>
      </c>
      <c r="IJ15" t="s">
        <v>345</v>
      </c>
      <c r="IK15" t="s">
        <v>346</v>
      </c>
      <c r="IL15" t="s">
        <v>347</v>
      </c>
      <c r="IM15" t="s">
        <v>348</v>
      </c>
      <c r="IN15" t="s">
        <v>349</v>
      </c>
      <c r="IO15" t="s">
        <v>350</v>
      </c>
      <c r="IP15" t="s">
        <v>351</v>
      </c>
      <c r="IQ15" t="s">
        <v>352</v>
      </c>
      <c r="IR15" t="s">
        <v>353</v>
      </c>
      <c r="IS15" t="s">
        <v>354</v>
      </c>
      <c r="IT15" t="s">
        <v>355</v>
      </c>
      <c r="IU15" t="s">
        <v>356</v>
      </c>
      <c r="IV15" t="s">
        <v>357</v>
      </c>
      <c r="IW15" t="s">
        <v>358</v>
      </c>
      <c r="IX15" t="s">
        <v>359</v>
      </c>
      <c r="IY15" t="s">
        <v>360</v>
      </c>
      <c r="IZ15" t="s">
        <v>361</v>
      </c>
      <c r="JA15" t="s">
        <v>362</v>
      </c>
      <c r="JB15" t="s">
        <v>363</v>
      </c>
      <c r="JC15" t="s">
        <v>364</v>
      </c>
      <c r="JD15" t="s">
        <v>365</v>
      </c>
      <c r="JE15" t="s">
        <v>366</v>
      </c>
      <c r="JF15" t="s">
        <v>367</v>
      </c>
      <c r="JG15" t="s">
        <v>368</v>
      </c>
      <c r="JH15" t="s">
        <v>369</v>
      </c>
      <c r="JI15" t="s">
        <v>370</v>
      </c>
      <c r="JJ15" t="s">
        <v>371</v>
      </c>
      <c r="JK15" t="s">
        <v>372</v>
      </c>
      <c r="JL15" t="s">
        <v>373</v>
      </c>
      <c r="JM15" t="s">
        <v>374</v>
      </c>
      <c r="JN15" t="s">
        <v>375</v>
      </c>
      <c r="JO15" t="s">
        <v>376</v>
      </c>
      <c r="JP15" t="s">
        <v>377</v>
      </c>
      <c r="JQ15" t="s">
        <v>378</v>
      </c>
      <c r="JR15" t="s">
        <v>379</v>
      </c>
      <c r="JS15" t="s">
        <v>380</v>
      </c>
      <c r="JT15" t="s">
        <v>381</v>
      </c>
      <c r="JU15" t="s">
        <v>382</v>
      </c>
      <c r="JV15" t="s">
        <v>383</v>
      </c>
      <c r="JW15" t="s">
        <v>384</v>
      </c>
      <c r="JX15" t="s">
        <v>385</v>
      </c>
      <c r="JY15" t="s">
        <v>386</v>
      </c>
      <c r="JZ15" t="s">
        <v>387</v>
      </c>
      <c r="KA15" t="s">
        <v>388</v>
      </c>
      <c r="KB15" t="s">
        <v>389</v>
      </c>
      <c r="KC15" t="s">
        <v>390</v>
      </c>
      <c r="KD15" t="s">
        <v>391</v>
      </c>
      <c r="KE15" t="s">
        <v>392</v>
      </c>
      <c r="KF15" t="s">
        <v>393</v>
      </c>
      <c r="KG15" t="s">
        <v>394</v>
      </c>
      <c r="KH15" t="s">
        <v>395</v>
      </c>
      <c r="KI15" t="s">
        <v>396</v>
      </c>
      <c r="KJ15" t="s">
        <v>397</v>
      </c>
      <c r="KK15" t="s">
        <v>398</v>
      </c>
    </row>
    <row r="16" spans="1:297">
      <c r="B16" t="s">
        <v>399</v>
      </c>
      <c r="C16" t="s">
        <v>399</v>
      </c>
      <c r="F16" t="s">
        <v>399</v>
      </c>
      <c r="I16" t="s">
        <v>399</v>
      </c>
      <c r="J16" t="s">
        <v>400</v>
      </c>
      <c r="K16" t="s">
        <v>401</v>
      </c>
      <c r="L16" t="s">
        <v>402</v>
      </c>
      <c r="M16" t="s">
        <v>403</v>
      </c>
      <c r="N16" t="s">
        <v>403</v>
      </c>
      <c r="O16" t="s">
        <v>232</v>
      </c>
      <c r="P16" t="s">
        <v>232</v>
      </c>
      <c r="Q16" t="s">
        <v>400</v>
      </c>
      <c r="R16" t="s">
        <v>400</v>
      </c>
      <c r="S16" t="s">
        <v>400</v>
      </c>
      <c r="T16" t="s">
        <v>400</v>
      </c>
      <c r="U16" t="s">
        <v>404</v>
      </c>
      <c r="V16" t="s">
        <v>405</v>
      </c>
      <c r="W16" t="s">
        <v>405</v>
      </c>
      <c r="X16" t="s">
        <v>406</v>
      </c>
      <c r="Y16" t="s">
        <v>407</v>
      </c>
      <c r="Z16" t="s">
        <v>406</v>
      </c>
      <c r="AA16" t="s">
        <v>406</v>
      </c>
      <c r="AB16" t="s">
        <v>406</v>
      </c>
      <c r="AC16" t="s">
        <v>404</v>
      </c>
      <c r="AD16" t="s">
        <v>404</v>
      </c>
      <c r="AE16" t="s">
        <v>404</v>
      </c>
      <c r="AF16" t="s">
        <v>404</v>
      </c>
      <c r="AG16" t="s">
        <v>402</v>
      </c>
      <c r="AH16" t="s">
        <v>401</v>
      </c>
      <c r="AI16" t="s">
        <v>402</v>
      </c>
      <c r="AJ16" t="s">
        <v>403</v>
      </c>
      <c r="AK16" t="s">
        <v>403</v>
      </c>
      <c r="AL16" t="s">
        <v>408</v>
      </c>
      <c r="AM16" t="s">
        <v>409</v>
      </c>
      <c r="AN16" t="s">
        <v>401</v>
      </c>
      <c r="AO16" t="s">
        <v>410</v>
      </c>
      <c r="AP16" t="s">
        <v>410</v>
      </c>
      <c r="AQ16" t="s">
        <v>411</v>
      </c>
      <c r="AR16" t="s">
        <v>409</v>
      </c>
      <c r="AS16" t="s">
        <v>412</v>
      </c>
      <c r="AT16" t="s">
        <v>407</v>
      </c>
      <c r="AV16" t="s">
        <v>407</v>
      </c>
      <c r="AW16" t="s">
        <v>412</v>
      </c>
      <c r="BC16" t="s">
        <v>402</v>
      </c>
      <c r="BJ16" t="s">
        <v>402</v>
      </c>
      <c r="BK16" t="s">
        <v>402</v>
      </c>
      <c r="BL16" t="s">
        <v>402</v>
      </c>
      <c r="BM16" t="s">
        <v>413</v>
      </c>
      <c r="CA16" t="s">
        <v>414</v>
      </c>
      <c r="CC16" t="s">
        <v>414</v>
      </c>
      <c r="CD16" t="s">
        <v>402</v>
      </c>
      <c r="CG16" t="s">
        <v>414</v>
      </c>
      <c r="CH16" t="s">
        <v>407</v>
      </c>
      <c r="CK16" t="s">
        <v>415</v>
      </c>
      <c r="CL16" t="s">
        <v>415</v>
      </c>
      <c r="CN16" t="s">
        <v>416</v>
      </c>
      <c r="CO16" t="s">
        <v>414</v>
      </c>
      <c r="CQ16" t="s">
        <v>414</v>
      </c>
      <c r="CR16" t="s">
        <v>402</v>
      </c>
      <c r="CV16" t="s">
        <v>414</v>
      </c>
      <c r="CX16" t="s">
        <v>417</v>
      </c>
      <c r="DA16" t="s">
        <v>414</v>
      </c>
      <c r="DB16" t="s">
        <v>414</v>
      </c>
      <c r="DD16" t="s">
        <v>414</v>
      </c>
      <c r="DF16" t="s">
        <v>414</v>
      </c>
      <c r="DH16" t="s">
        <v>402</v>
      </c>
      <c r="DI16" t="s">
        <v>402</v>
      </c>
      <c r="DK16" t="s">
        <v>418</v>
      </c>
      <c r="DL16" t="s">
        <v>419</v>
      </c>
      <c r="DO16" t="s">
        <v>400</v>
      </c>
      <c r="DQ16" t="s">
        <v>399</v>
      </c>
      <c r="DR16" t="s">
        <v>403</v>
      </c>
      <c r="DS16" t="s">
        <v>403</v>
      </c>
      <c r="DT16" t="s">
        <v>410</v>
      </c>
      <c r="DU16" t="s">
        <v>410</v>
      </c>
      <c r="DV16" t="s">
        <v>403</v>
      </c>
      <c r="DW16" t="s">
        <v>410</v>
      </c>
      <c r="DX16" t="s">
        <v>412</v>
      </c>
      <c r="DY16" t="s">
        <v>406</v>
      </c>
      <c r="DZ16" t="s">
        <v>406</v>
      </c>
      <c r="EA16" t="s">
        <v>405</v>
      </c>
      <c r="EB16" t="s">
        <v>405</v>
      </c>
      <c r="EC16" t="s">
        <v>405</v>
      </c>
      <c r="ED16" t="s">
        <v>405</v>
      </c>
      <c r="EE16" t="s">
        <v>405</v>
      </c>
      <c r="EF16" t="s">
        <v>420</v>
      </c>
      <c r="EG16" t="s">
        <v>402</v>
      </c>
      <c r="EH16" t="s">
        <v>402</v>
      </c>
      <c r="EI16" t="s">
        <v>403</v>
      </c>
      <c r="EJ16" t="s">
        <v>403</v>
      </c>
      <c r="EK16" t="s">
        <v>403</v>
      </c>
      <c r="EL16" t="s">
        <v>410</v>
      </c>
      <c r="EM16" t="s">
        <v>403</v>
      </c>
      <c r="EN16" t="s">
        <v>410</v>
      </c>
      <c r="EO16" t="s">
        <v>406</v>
      </c>
      <c r="EP16" t="s">
        <v>406</v>
      </c>
      <c r="EQ16" t="s">
        <v>405</v>
      </c>
      <c r="ER16" t="s">
        <v>405</v>
      </c>
      <c r="ES16" t="s">
        <v>402</v>
      </c>
      <c r="EX16" t="s">
        <v>402</v>
      </c>
      <c r="FA16" t="s">
        <v>405</v>
      </c>
      <c r="FB16" t="s">
        <v>405</v>
      </c>
      <c r="FC16" t="s">
        <v>405</v>
      </c>
      <c r="FD16" t="s">
        <v>405</v>
      </c>
      <c r="FE16" t="s">
        <v>405</v>
      </c>
      <c r="FF16" t="s">
        <v>402</v>
      </c>
      <c r="FG16" t="s">
        <v>402</v>
      </c>
      <c r="FH16" t="s">
        <v>402</v>
      </c>
      <c r="FI16" t="s">
        <v>399</v>
      </c>
      <c r="FL16" t="s">
        <v>421</v>
      </c>
      <c r="FM16" t="s">
        <v>421</v>
      </c>
      <c r="FO16" t="s">
        <v>399</v>
      </c>
      <c r="FP16" t="s">
        <v>422</v>
      </c>
      <c r="FR16" t="s">
        <v>399</v>
      </c>
      <c r="FS16" t="s">
        <v>399</v>
      </c>
      <c r="FU16" t="s">
        <v>423</v>
      </c>
      <c r="FV16" t="s">
        <v>424</v>
      </c>
      <c r="FW16" t="s">
        <v>423</v>
      </c>
      <c r="FX16" t="s">
        <v>424</v>
      </c>
      <c r="FY16" t="s">
        <v>423</v>
      </c>
      <c r="FZ16" t="s">
        <v>424</v>
      </c>
      <c r="GA16" t="s">
        <v>407</v>
      </c>
      <c r="GB16" t="s">
        <v>407</v>
      </c>
      <c r="GC16" t="s">
        <v>403</v>
      </c>
      <c r="GD16" t="s">
        <v>425</v>
      </c>
      <c r="GE16" t="s">
        <v>403</v>
      </c>
      <c r="GH16" t="s">
        <v>426</v>
      </c>
      <c r="GK16" t="s">
        <v>410</v>
      </c>
      <c r="GL16" t="s">
        <v>427</v>
      </c>
      <c r="GM16" t="s">
        <v>410</v>
      </c>
      <c r="GR16" t="s">
        <v>428</v>
      </c>
      <c r="GS16" t="s">
        <v>428</v>
      </c>
      <c r="HF16" t="s">
        <v>428</v>
      </c>
      <c r="HG16" t="s">
        <v>428</v>
      </c>
      <c r="HH16" t="s">
        <v>429</v>
      </c>
      <c r="HI16" t="s">
        <v>429</v>
      </c>
      <c r="HJ16" t="s">
        <v>405</v>
      </c>
      <c r="HK16" t="s">
        <v>405</v>
      </c>
      <c r="HL16" t="s">
        <v>407</v>
      </c>
      <c r="HM16" t="s">
        <v>405</v>
      </c>
      <c r="HN16" t="s">
        <v>410</v>
      </c>
      <c r="HO16" t="s">
        <v>407</v>
      </c>
      <c r="HP16" t="s">
        <v>407</v>
      </c>
      <c r="HR16" t="s">
        <v>428</v>
      </c>
      <c r="HS16" t="s">
        <v>428</v>
      </c>
      <c r="HT16" t="s">
        <v>428</v>
      </c>
      <c r="HU16" t="s">
        <v>428</v>
      </c>
      <c r="HV16" t="s">
        <v>428</v>
      </c>
      <c r="HW16" t="s">
        <v>428</v>
      </c>
      <c r="HX16" t="s">
        <v>428</v>
      </c>
      <c r="HY16" t="s">
        <v>430</v>
      </c>
      <c r="HZ16" t="s">
        <v>431</v>
      </c>
      <c r="IA16" t="s">
        <v>430</v>
      </c>
      <c r="IB16" t="s">
        <v>430</v>
      </c>
      <c r="IC16" t="s">
        <v>428</v>
      </c>
      <c r="ID16" t="s">
        <v>428</v>
      </c>
      <c r="IE16" t="s">
        <v>428</v>
      </c>
      <c r="IF16" t="s">
        <v>428</v>
      </c>
      <c r="IG16" t="s">
        <v>428</v>
      </c>
      <c r="IH16" t="s">
        <v>428</v>
      </c>
      <c r="II16" t="s">
        <v>428</v>
      </c>
      <c r="IJ16" t="s">
        <v>428</v>
      </c>
      <c r="IK16" t="s">
        <v>428</v>
      </c>
      <c r="IL16" t="s">
        <v>428</v>
      </c>
      <c r="IM16" t="s">
        <v>428</v>
      </c>
      <c r="IN16" t="s">
        <v>428</v>
      </c>
      <c r="IU16" t="s">
        <v>428</v>
      </c>
      <c r="IV16" t="s">
        <v>407</v>
      </c>
      <c r="IW16" t="s">
        <v>407</v>
      </c>
      <c r="IX16" t="s">
        <v>423</v>
      </c>
      <c r="IY16" t="s">
        <v>424</v>
      </c>
      <c r="IZ16" t="s">
        <v>423</v>
      </c>
      <c r="JD16" t="s">
        <v>424</v>
      </c>
      <c r="JH16" t="s">
        <v>403</v>
      </c>
      <c r="JI16" t="s">
        <v>403</v>
      </c>
      <c r="JJ16" t="s">
        <v>410</v>
      </c>
      <c r="JK16" t="s">
        <v>410</v>
      </c>
      <c r="JL16" t="s">
        <v>432</v>
      </c>
      <c r="JM16" t="s">
        <v>432</v>
      </c>
      <c r="JN16" t="s">
        <v>428</v>
      </c>
      <c r="JO16" t="s">
        <v>428</v>
      </c>
      <c r="JP16" t="s">
        <v>428</v>
      </c>
      <c r="JQ16" t="s">
        <v>428</v>
      </c>
      <c r="JR16" t="s">
        <v>428</v>
      </c>
      <c r="JS16" t="s">
        <v>428</v>
      </c>
      <c r="JT16" t="s">
        <v>405</v>
      </c>
      <c r="JU16" t="s">
        <v>428</v>
      </c>
      <c r="JW16" t="s">
        <v>412</v>
      </c>
      <c r="JX16" t="s">
        <v>412</v>
      </c>
      <c r="JY16" t="s">
        <v>405</v>
      </c>
      <c r="JZ16" t="s">
        <v>405</v>
      </c>
      <c r="KA16" t="s">
        <v>405</v>
      </c>
      <c r="KB16" t="s">
        <v>405</v>
      </c>
      <c r="KC16" t="s">
        <v>405</v>
      </c>
      <c r="KD16" t="s">
        <v>407</v>
      </c>
      <c r="KE16" t="s">
        <v>407</v>
      </c>
      <c r="KF16" t="s">
        <v>407</v>
      </c>
      <c r="KG16" t="s">
        <v>405</v>
      </c>
      <c r="KH16" t="s">
        <v>403</v>
      </c>
      <c r="KI16" t="s">
        <v>410</v>
      </c>
      <c r="KJ16" t="s">
        <v>407</v>
      </c>
      <c r="KK16" t="s">
        <v>407</v>
      </c>
    </row>
    <row r="17" spans="1:297">
      <c r="A17">
        <v>1</v>
      </c>
      <c r="B17">
        <v>1762101431.1</v>
      </c>
      <c r="C17">
        <v>0</v>
      </c>
      <c r="D17" t="s">
        <v>433</v>
      </c>
      <c r="E17" t="s">
        <v>434</v>
      </c>
      <c r="F17">
        <v>5</v>
      </c>
      <c r="G17" t="s">
        <v>435</v>
      </c>
      <c r="H17" t="s">
        <v>436</v>
      </c>
      <c r="I17">
        <v>1762101423.1</v>
      </c>
      <c r="J17">
        <f>(K17)/1000</f>
        <v>0</v>
      </c>
      <c r="K17">
        <f>IF(DP17, AN17, AH17)</f>
        <v>0</v>
      </c>
      <c r="L17">
        <f>IF(DP17, AI17, AG17)</f>
        <v>0</v>
      </c>
      <c r="M17">
        <f>DR17 - IF(AU17&gt;1, L17*DL17*100.0/(AW17), 0)</f>
        <v>0</v>
      </c>
      <c r="N17">
        <f>((T17-J17/2)*M17-L17)/(T17+J17/2)</f>
        <v>0</v>
      </c>
      <c r="O17">
        <f>N17*(DY17+DZ17)/1000.0</f>
        <v>0</v>
      </c>
      <c r="P17">
        <f>(DR17 - IF(AU17&gt;1, L17*DL17*100.0/(AW17), 0))*(DY17+DZ17)/1000.0</f>
        <v>0</v>
      </c>
      <c r="Q17">
        <f>2.0/((1/S17-1/R17)+SIGN(S17)*SQRT((1/S17-1/R17)*(1/S17-1/R17) + 4*DM17/((DM17+1)*(DM17+1))*(2*1/S17*1/R17-1/R17*1/R17)))</f>
        <v>0</v>
      </c>
      <c r="R17">
        <f>IF(LEFT(DN17,1)&lt;&gt;"0",IF(LEFT(DN17,1)="1",3.0,DO17),$D$5+$E$5*(EF17*DY17/($K$5*1000))+$F$5*(EF17*DY17/($K$5*1000))*MAX(MIN(DL17,$J$5),$I$5)*MAX(MIN(DL17,$J$5),$I$5)+$G$5*MAX(MIN(DL17,$J$5),$I$5)*(EF17*DY17/($K$5*1000))+$H$5*(EF17*DY17/($K$5*1000))*(EF17*DY17/($K$5*1000)))</f>
        <v>0</v>
      </c>
      <c r="S17">
        <f>J17*(1000-(1000*0.61365*exp(17.502*W17/(240.97+W17))/(DY17+DZ17)+DT17)/2)/(1000*0.61365*exp(17.502*W17/(240.97+W17))/(DY17+DZ17)-DT17)</f>
        <v>0</v>
      </c>
      <c r="T17">
        <f>1/((DM17+1)/(Q17/1.6)+1/(R17/1.37)) + DM17/((DM17+1)/(Q17/1.6) + DM17/(R17/1.37))</f>
        <v>0</v>
      </c>
      <c r="U17">
        <f>(DH17*DK17)</f>
        <v>0</v>
      </c>
      <c r="V17">
        <f>(EA17+(U17+2*0.95*5.67E-8*(((EA17+$B$7)+273)^4-(EA17+273)^4)-44100*J17)/(1.84*29.3*R17+8*0.95*5.67E-8*(EA17+273)^3))</f>
        <v>0</v>
      </c>
      <c r="W17">
        <f>($C$7*EB17+$D$7*EC17+$E$7*V17)</f>
        <v>0</v>
      </c>
      <c r="X17">
        <f>0.61365*exp(17.502*W17/(240.97+W17))</f>
        <v>0</v>
      </c>
      <c r="Y17">
        <f>(Z17/AA17*100)</f>
        <v>0</v>
      </c>
      <c r="Z17">
        <f>DT17*(DY17+DZ17)/1000</f>
        <v>0</v>
      </c>
      <c r="AA17">
        <f>0.61365*exp(17.502*EA17/(240.97+EA17))</f>
        <v>0</v>
      </c>
      <c r="AB17">
        <f>(X17-DT17*(DY17+DZ17)/1000)</f>
        <v>0</v>
      </c>
      <c r="AC17">
        <f>(-J17*44100)</f>
        <v>0</v>
      </c>
      <c r="AD17">
        <f>2*29.3*R17*0.92*(EA17-W17)</f>
        <v>0</v>
      </c>
      <c r="AE17">
        <f>2*0.95*5.67E-8*(((EA17+$B$7)+273)^4-(W17+273)^4)</f>
        <v>0</v>
      </c>
      <c r="AF17">
        <f>U17+AE17+AC17+AD17</f>
        <v>0</v>
      </c>
      <c r="AG17">
        <f>DX17*AU17*(DS17-DR17*(1000-AU17*DU17)/(1000-AU17*DT17))/(100*DL17)</f>
        <v>0</v>
      </c>
      <c r="AH17">
        <f>1000*DX17*AU17*(DT17-DU17)/(100*DL17*(1000-AU17*DT17))</f>
        <v>0</v>
      </c>
      <c r="AI17">
        <f>(AJ17 - AK17 - DY17*1E3/(8.314*(EA17+273.15)) * AM17/DX17 * AL17) * DX17/(100*DL17) * (1000 - DU17)/1000</f>
        <v>0</v>
      </c>
      <c r="AJ17">
        <v>428.456692914197</v>
      </c>
      <c r="AK17">
        <v>432.637848484849</v>
      </c>
      <c r="AL17">
        <v>0.00685328432674761</v>
      </c>
      <c r="AM17">
        <v>62.9314890995317</v>
      </c>
      <c r="AN17">
        <f>(AP17 - AO17 + DY17*1E3/(8.314*(EA17+273.15)) * AR17/DX17 * AQ17) * DX17/(100*DL17) * 1000/(1000 - AP17)</f>
        <v>0</v>
      </c>
      <c r="AO17">
        <v>19.8189170147693</v>
      </c>
      <c r="AP17">
        <v>33.4014587878788</v>
      </c>
      <c r="AQ17">
        <v>-0.000552999617975357</v>
      </c>
      <c r="AR17">
        <v>102.231304413022</v>
      </c>
      <c r="AS17">
        <v>0</v>
      </c>
      <c r="AT17">
        <v>0</v>
      </c>
      <c r="AU17">
        <f>IF(AS17*$H$13&gt;=AW17,1.0,(AW17/(AW17-AS17*$H$13)))</f>
        <v>0</v>
      </c>
      <c r="AV17">
        <f>(AU17-1)*100</f>
        <v>0</v>
      </c>
      <c r="AW17">
        <f>MAX(0,($B$13+$C$13*EF17)/(1+$D$13*EF17)*DY17/(EA17+273)*$E$13)</f>
        <v>0</v>
      </c>
      <c r="AX17" t="s">
        <v>437</v>
      </c>
      <c r="AY17">
        <v>5054.09</v>
      </c>
      <c r="AZ17">
        <v>869.238461538462</v>
      </c>
      <c r="BA17">
        <v>1928.38</v>
      </c>
      <c r="BB17">
        <f>1-AZ17/BA17</f>
        <v>0</v>
      </c>
      <c r="BC17">
        <v>-3.86797898255815</v>
      </c>
      <c r="BD17" t="s">
        <v>438</v>
      </c>
      <c r="BE17">
        <v>5082.19</v>
      </c>
      <c r="BF17">
        <v>1029.38769230769</v>
      </c>
      <c r="BG17">
        <v>1048.16407654417</v>
      </c>
      <c r="BH17">
        <f>1-BF17/BG17</f>
        <v>0</v>
      </c>
      <c r="BI17">
        <v>0.5</v>
      </c>
      <c r="BJ17">
        <f>DI17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439</v>
      </c>
      <c r="BQ17">
        <v>919.4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BZ17">
        <v>794</v>
      </c>
      <c r="CA17">
        <v>290</v>
      </c>
      <c r="CB17">
        <v>1033.46</v>
      </c>
      <c r="CC17">
        <v>105</v>
      </c>
      <c r="CD17">
        <v>5082.19</v>
      </c>
      <c r="CE17">
        <v>1032.31</v>
      </c>
      <c r="CF17">
        <v>1.15</v>
      </c>
      <c r="CG17">
        <v>300</v>
      </c>
      <c r="CH17">
        <v>23.9</v>
      </c>
      <c r="CI17">
        <v>1048.16407654417</v>
      </c>
      <c r="CJ17">
        <v>1.80372641425491</v>
      </c>
      <c r="CK17">
        <v>-8.05612651346455</v>
      </c>
      <c r="CL17">
        <v>0.844122174108299</v>
      </c>
      <c r="CM17">
        <v>0.764871790371233</v>
      </c>
      <c r="CN17">
        <v>-0.00254506718576196</v>
      </c>
      <c r="CO17">
        <v>290</v>
      </c>
      <c r="CP17">
        <v>1031.25</v>
      </c>
      <c r="CQ17">
        <v>775</v>
      </c>
      <c r="CR17">
        <v>5077.24</v>
      </c>
      <c r="CS17">
        <v>1032.3</v>
      </c>
      <c r="CT17">
        <v>-1.05</v>
      </c>
      <c r="DH17">
        <f>$B$11*EG17+$C$11*EH17+$F$11*ES17*(1-EV17)</f>
        <v>0</v>
      </c>
      <c r="DI17">
        <f>DH17*DJ17</f>
        <v>0</v>
      </c>
      <c r="DJ17">
        <f>($B$11*$D$9+$C$11*$D$9+$F$11*((FF17+EX17)/MAX(FF17+EX17+FG17, 0.1)*$I$9+FG17/MAX(FF17+EX17+FG17, 0.1)*$J$9))/($B$11+$C$11+$F$11)</f>
        <v>0</v>
      </c>
      <c r="DK17">
        <f>($B$11*$K$9+$C$11*$K$9+$F$11*((FF17+EX17)/MAX(FF17+EX17+FG17, 0.1)*$P$9+FG17/MAX(FF17+EX17+FG17, 0.1)*$Q$9))/($B$11+$C$11+$F$11)</f>
        <v>0</v>
      </c>
      <c r="DL17">
        <v>6</v>
      </c>
      <c r="DM17">
        <v>0.5</v>
      </c>
      <c r="DN17" t="s">
        <v>440</v>
      </c>
      <c r="DO17">
        <v>2</v>
      </c>
      <c r="DP17" t="b">
        <v>1</v>
      </c>
      <c r="DQ17">
        <v>1762101423.1</v>
      </c>
      <c r="DR17">
        <v>418.123066666667</v>
      </c>
      <c r="DS17">
        <v>419.9354</v>
      </c>
      <c r="DT17">
        <v>33.4116266666667</v>
      </c>
      <c r="DU17">
        <v>19.8231933333333</v>
      </c>
      <c r="DV17">
        <v>409.8156</v>
      </c>
      <c r="DW17">
        <v>33.0822733333333</v>
      </c>
      <c r="DX17">
        <v>500.0298</v>
      </c>
      <c r="DY17">
        <v>90.8876666666667</v>
      </c>
      <c r="DZ17">
        <v>0.0406359933333333</v>
      </c>
      <c r="EA17">
        <v>49.4462733333333</v>
      </c>
      <c r="EB17">
        <v>47.8020266666667</v>
      </c>
      <c r="EC17">
        <v>999.9</v>
      </c>
      <c r="ED17">
        <v>0</v>
      </c>
      <c r="EE17">
        <v>0</v>
      </c>
      <c r="EF17">
        <v>9988.08066666667</v>
      </c>
      <c r="EG17">
        <v>0</v>
      </c>
      <c r="EH17">
        <v>1089.538</v>
      </c>
      <c r="EI17">
        <v>-1.81212866666667</v>
      </c>
      <c r="EJ17">
        <v>432.576266666667</v>
      </c>
      <c r="EK17">
        <v>428.428133333333</v>
      </c>
      <c r="EL17">
        <v>13.5884333333333</v>
      </c>
      <c r="EM17">
        <v>419.9354</v>
      </c>
      <c r="EN17">
        <v>19.8231933333333</v>
      </c>
      <c r="EO17">
        <v>3.036704</v>
      </c>
      <c r="EP17">
        <v>1.80168333333333</v>
      </c>
      <c r="EQ17">
        <v>24.23056</v>
      </c>
      <c r="ER17">
        <v>15.8014133333333</v>
      </c>
      <c r="ES17">
        <v>2000.00733333333</v>
      </c>
      <c r="ET17">
        <v>0.9800062</v>
      </c>
      <c r="EU17">
        <v>0.0199936466666667</v>
      </c>
      <c r="EV17">
        <v>0</v>
      </c>
      <c r="EW17">
        <v>1029.60133333333</v>
      </c>
      <c r="EX17">
        <v>5.00016</v>
      </c>
      <c r="EY17">
        <v>21556.6466666667</v>
      </c>
      <c r="EZ17">
        <v>18234.32</v>
      </c>
      <c r="FA17">
        <v>53.6622666666667</v>
      </c>
      <c r="FB17">
        <v>54.1914</v>
      </c>
      <c r="FC17">
        <v>53.4414666666667</v>
      </c>
      <c r="FD17">
        <v>54.483</v>
      </c>
      <c r="FE17">
        <v>56.4955333333333</v>
      </c>
      <c r="FF17">
        <v>1955.11733333333</v>
      </c>
      <c r="FG17">
        <v>39.89</v>
      </c>
      <c r="FH17">
        <v>0</v>
      </c>
      <c r="FI17">
        <v>1762101464.9</v>
      </c>
      <c r="FJ17">
        <v>0</v>
      </c>
      <c r="FK17">
        <v>1029.38769230769</v>
      </c>
      <c r="FL17">
        <v>-15.7135042658714</v>
      </c>
      <c r="FM17">
        <v>-297.805128108127</v>
      </c>
      <c r="FN17">
        <v>21554.2307692308</v>
      </c>
      <c r="FO17">
        <v>15</v>
      </c>
      <c r="FP17">
        <v>0</v>
      </c>
      <c r="FQ17" t="s">
        <v>441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-1.79002238095238</v>
      </c>
      <c r="GD17">
        <v>-0.41541038961039</v>
      </c>
      <c r="GE17">
        <v>0.0706075405999186</v>
      </c>
      <c r="GF17">
        <v>1</v>
      </c>
      <c r="GG17">
        <v>1030.52147058824</v>
      </c>
      <c r="GH17">
        <v>-16.415126058373</v>
      </c>
      <c r="GI17">
        <v>1.62932886283053</v>
      </c>
      <c r="GJ17">
        <v>-1</v>
      </c>
      <c r="GK17">
        <v>13.5952238095238</v>
      </c>
      <c r="GL17">
        <v>-0.0874363636363753</v>
      </c>
      <c r="GM17">
        <v>0.0100624670250586</v>
      </c>
      <c r="GN17">
        <v>1</v>
      </c>
      <c r="GO17">
        <v>2</v>
      </c>
      <c r="GP17">
        <v>2</v>
      </c>
      <c r="GQ17" t="s">
        <v>442</v>
      </c>
      <c r="GR17">
        <v>3.12359</v>
      </c>
      <c r="GS17">
        <v>2.66665</v>
      </c>
      <c r="GT17">
        <v>0.0863546</v>
      </c>
      <c r="GU17">
        <v>0.0878235</v>
      </c>
      <c r="GV17">
        <v>0.126036</v>
      </c>
      <c r="GW17">
        <v>0.0872284</v>
      </c>
      <c r="GX17">
        <v>22882.9</v>
      </c>
      <c r="GY17">
        <v>21615.4</v>
      </c>
      <c r="GZ17">
        <v>22446.7</v>
      </c>
      <c r="HA17">
        <v>23127.2</v>
      </c>
      <c r="HB17">
        <v>33552.7</v>
      </c>
      <c r="HC17">
        <v>34985.3</v>
      </c>
      <c r="HD17">
        <v>40593.1</v>
      </c>
      <c r="HE17">
        <v>41309.5</v>
      </c>
      <c r="HF17">
        <v>1.79713</v>
      </c>
      <c r="HG17">
        <v>2.1668</v>
      </c>
      <c r="HH17">
        <v>0.162065</v>
      </c>
      <c r="HI17">
        <v>0</v>
      </c>
      <c r="HJ17">
        <v>45.2102</v>
      </c>
      <c r="HK17">
        <v>999.9</v>
      </c>
      <c r="HL17">
        <v>52.399</v>
      </c>
      <c r="HM17">
        <v>26.425</v>
      </c>
      <c r="HN17">
        <v>19.9476</v>
      </c>
      <c r="HO17">
        <v>57.7236</v>
      </c>
      <c r="HP17">
        <v>23.5096</v>
      </c>
      <c r="HQ17">
        <v>2</v>
      </c>
      <c r="HR17">
        <v>1.06142</v>
      </c>
      <c r="HS17">
        <v>-3.22998</v>
      </c>
      <c r="HT17">
        <v>20.1707</v>
      </c>
      <c r="HU17">
        <v>5.22927</v>
      </c>
      <c r="HV17">
        <v>11.998</v>
      </c>
      <c r="HW17">
        <v>4.95375</v>
      </c>
      <c r="HX17">
        <v>3.304</v>
      </c>
      <c r="HY17">
        <v>9999</v>
      </c>
      <c r="HZ17">
        <v>999.9</v>
      </c>
      <c r="IA17">
        <v>9999</v>
      </c>
      <c r="IB17">
        <v>9999</v>
      </c>
      <c r="IC17">
        <v>1.86848</v>
      </c>
      <c r="ID17">
        <v>1.86417</v>
      </c>
      <c r="IE17">
        <v>1.8718</v>
      </c>
      <c r="IF17">
        <v>1.86263</v>
      </c>
      <c r="IG17">
        <v>1.86203</v>
      </c>
      <c r="IH17">
        <v>1.86856</v>
      </c>
      <c r="II17">
        <v>1.85866</v>
      </c>
      <c r="IJ17">
        <v>1.86509</v>
      </c>
      <c r="IK17">
        <v>5</v>
      </c>
      <c r="IL17">
        <v>0</v>
      </c>
      <c r="IM17">
        <v>0</v>
      </c>
      <c r="IN17">
        <v>0</v>
      </c>
      <c r="IO17" t="s">
        <v>443</v>
      </c>
      <c r="IP17" t="s">
        <v>444</v>
      </c>
      <c r="IQ17" t="s">
        <v>445</v>
      </c>
      <c r="IR17" t="s">
        <v>445</v>
      </c>
      <c r="IS17" t="s">
        <v>445</v>
      </c>
      <c r="IT17" t="s">
        <v>445</v>
      </c>
      <c r="IU17">
        <v>0</v>
      </c>
      <c r="IV17">
        <v>100</v>
      </c>
      <c r="IW17">
        <v>100</v>
      </c>
      <c r="IX17">
        <v>8.308</v>
      </c>
      <c r="IY17">
        <v>0.3293</v>
      </c>
      <c r="IZ17">
        <v>5.63042802259986</v>
      </c>
      <c r="JA17">
        <v>0.00813484245791346</v>
      </c>
      <c r="JB17">
        <v>-4.34547228418155e-06</v>
      </c>
      <c r="JC17">
        <v>1.0644471544636e-09</v>
      </c>
      <c r="JD17">
        <v>0.329354282981013</v>
      </c>
      <c r="JE17">
        <v>0</v>
      </c>
      <c r="JF17">
        <v>0</v>
      </c>
      <c r="JG17">
        <v>0</v>
      </c>
      <c r="JH17">
        <v>-3</v>
      </c>
      <c r="JI17">
        <v>2169</v>
      </c>
      <c r="JJ17">
        <v>1</v>
      </c>
      <c r="JK17">
        <v>22</v>
      </c>
      <c r="JL17">
        <v>29368357.2</v>
      </c>
      <c r="JM17">
        <v>29368357.2</v>
      </c>
      <c r="JN17">
        <v>1.30249</v>
      </c>
      <c r="JO17">
        <v>2.34375</v>
      </c>
      <c r="JP17">
        <v>2.09839</v>
      </c>
      <c r="JQ17">
        <v>2.65381</v>
      </c>
      <c r="JR17">
        <v>2.24365</v>
      </c>
      <c r="JS17">
        <v>2.33521</v>
      </c>
      <c r="JT17">
        <v>33.513</v>
      </c>
      <c r="JU17">
        <v>24.1313</v>
      </c>
      <c r="JV17">
        <v>18</v>
      </c>
      <c r="JW17">
        <v>557.865</v>
      </c>
      <c r="JX17">
        <v>816.153</v>
      </c>
      <c r="JY17">
        <v>52.1124</v>
      </c>
      <c r="JZ17">
        <v>40.603</v>
      </c>
      <c r="KA17">
        <v>30.0045</v>
      </c>
      <c r="KB17">
        <v>38.6782</v>
      </c>
      <c r="KC17">
        <v>38.7356</v>
      </c>
      <c r="KD17">
        <v>26.1218</v>
      </c>
      <c r="KE17">
        <v>0</v>
      </c>
      <c r="KF17">
        <v>100</v>
      </c>
      <c r="KG17">
        <v>52.3642</v>
      </c>
      <c r="KH17">
        <v>420</v>
      </c>
      <c r="KI17">
        <v>23.2649</v>
      </c>
      <c r="KJ17">
        <v>90.8794</v>
      </c>
      <c r="KK17">
        <v>96.2184</v>
      </c>
    </row>
    <row r="18" spans="1:297">
      <c r="A18">
        <v>2</v>
      </c>
      <c r="B18">
        <v>1762101520</v>
      </c>
      <c r="C18">
        <v>88.9000000953674</v>
      </c>
      <c r="D18" t="s">
        <v>446</v>
      </c>
      <c r="E18" t="s">
        <v>447</v>
      </c>
      <c r="F18">
        <v>5</v>
      </c>
      <c r="G18" t="s">
        <v>435</v>
      </c>
      <c r="H18" t="s">
        <v>436</v>
      </c>
      <c r="I18">
        <v>1762101511.51875</v>
      </c>
      <c r="J18">
        <f>(K18)/1000</f>
        <v>0</v>
      </c>
      <c r="K18">
        <f>IF(DP18, AN18, AH18)</f>
        <v>0</v>
      </c>
      <c r="L18">
        <f>IF(DP18, AI18, AG18)</f>
        <v>0</v>
      </c>
      <c r="M18">
        <f>DR18 - IF(AU18&gt;1, L18*DL18*100.0/(AW18), 0)</f>
        <v>0</v>
      </c>
      <c r="N18">
        <f>((T18-J18/2)*M18-L18)/(T18+J18/2)</f>
        <v>0</v>
      </c>
      <c r="O18">
        <f>N18*(DY18+DZ18)/1000.0</f>
        <v>0</v>
      </c>
      <c r="P18">
        <f>(DR18 - IF(AU18&gt;1, L18*DL18*100.0/(AW18), 0))*(DY18+DZ18)/1000.0</f>
        <v>0</v>
      </c>
      <c r="Q18">
        <f>2.0/((1/S18-1/R18)+SIGN(S18)*SQRT((1/S18-1/R18)*(1/S18-1/R18) + 4*DM18/((DM18+1)*(DM18+1))*(2*1/S18*1/R18-1/R18*1/R18)))</f>
        <v>0</v>
      </c>
      <c r="R18">
        <f>IF(LEFT(DN18,1)&lt;&gt;"0",IF(LEFT(DN18,1)="1",3.0,DO18),$D$5+$E$5*(EF18*DY18/($K$5*1000))+$F$5*(EF18*DY18/($K$5*1000))*MAX(MIN(DL18,$J$5),$I$5)*MAX(MIN(DL18,$J$5),$I$5)+$G$5*MAX(MIN(DL18,$J$5),$I$5)*(EF18*DY18/($K$5*1000))+$H$5*(EF18*DY18/($K$5*1000))*(EF18*DY18/($K$5*1000)))</f>
        <v>0</v>
      </c>
      <c r="S18">
        <f>J18*(1000-(1000*0.61365*exp(17.502*W18/(240.97+W18))/(DY18+DZ18)+DT18)/2)/(1000*0.61365*exp(17.502*W18/(240.97+W18))/(DY18+DZ18)-DT18)</f>
        <v>0</v>
      </c>
      <c r="T18">
        <f>1/((DM18+1)/(Q18/1.6)+1/(R18/1.37)) + DM18/((DM18+1)/(Q18/1.6) + DM18/(R18/1.37))</f>
        <v>0</v>
      </c>
      <c r="U18">
        <f>(DH18*DK18)</f>
        <v>0</v>
      </c>
      <c r="V18">
        <f>(EA18+(U18+2*0.95*5.67E-8*(((EA18+$B$7)+273)^4-(EA18+273)^4)-44100*J18)/(1.84*29.3*R18+8*0.95*5.67E-8*(EA18+273)^3))</f>
        <v>0</v>
      </c>
      <c r="W18">
        <f>($C$7*EB18+$D$7*EC18+$E$7*V18)</f>
        <v>0</v>
      </c>
      <c r="X18">
        <f>0.61365*exp(17.502*W18/(240.97+W18))</f>
        <v>0</v>
      </c>
      <c r="Y18">
        <f>(Z18/AA18*100)</f>
        <v>0</v>
      </c>
      <c r="Z18">
        <f>DT18*(DY18+DZ18)/1000</f>
        <v>0</v>
      </c>
      <c r="AA18">
        <f>0.61365*exp(17.502*EA18/(240.97+EA18))</f>
        <v>0</v>
      </c>
      <c r="AB18">
        <f>(X18-DT18*(DY18+DZ18)/1000)</f>
        <v>0</v>
      </c>
      <c r="AC18">
        <f>(-J18*44100)</f>
        <v>0</v>
      </c>
      <c r="AD18">
        <f>2*29.3*R18*0.92*(EA18-W18)</f>
        <v>0</v>
      </c>
      <c r="AE18">
        <f>2*0.95*5.67E-8*(((EA18+$B$7)+273)^4-(W18+273)^4)</f>
        <v>0</v>
      </c>
      <c r="AF18">
        <f>U18+AE18+AC18+AD18</f>
        <v>0</v>
      </c>
      <c r="AG18">
        <f>DX18*AU18*(DS18-DR18*(1000-AU18*DU18)/(1000-AU18*DT18))/(100*DL18)</f>
        <v>0</v>
      </c>
      <c r="AH18">
        <f>1000*DX18*AU18*(DT18-DU18)/(100*DL18*(1000-AU18*DT18))</f>
        <v>0</v>
      </c>
      <c r="AI18">
        <f>(AJ18 - AK18 - DY18*1E3/(8.314*(EA18+273.15)) * AM18/DX18 * AL18) * DX18/(100*DL18) * (1000 - DU18)/1000</f>
        <v>0</v>
      </c>
      <c r="AJ18">
        <v>428.464831804091</v>
      </c>
      <c r="AK18">
        <v>432.770012121212</v>
      </c>
      <c r="AL18">
        <v>-0.0273184833850583</v>
      </c>
      <c r="AM18">
        <v>62.9314890995317</v>
      </c>
      <c r="AN18">
        <f>(AP18 - AO18 + DY18*1E3/(8.314*(EA18+273.15)) * AR18/DX18 * AQ18) * DX18/(100*DL18) * 1000/(1000 - AP18)</f>
        <v>0</v>
      </c>
      <c r="AO18">
        <v>19.774268914107</v>
      </c>
      <c r="AP18">
        <v>33.3147212121212</v>
      </c>
      <c r="AQ18">
        <v>-0.000107561310233377</v>
      </c>
      <c r="AR18">
        <v>102.231304413022</v>
      </c>
      <c r="AS18">
        <v>0</v>
      </c>
      <c r="AT18">
        <v>0</v>
      </c>
      <c r="AU18">
        <f>IF(AS18*$H$13&gt;=AW18,1.0,(AW18/(AW18-AS18*$H$13)))</f>
        <v>0</v>
      </c>
      <c r="AV18">
        <f>(AU18-1)*100</f>
        <v>0</v>
      </c>
      <c r="AW18">
        <f>MAX(0,($B$13+$C$13*EF18)/(1+$D$13*EF18)*DY18/(EA18+273)*$E$13)</f>
        <v>0</v>
      </c>
      <c r="AX18" t="s">
        <v>437</v>
      </c>
      <c r="AY18">
        <v>5054.09</v>
      </c>
      <c r="AZ18">
        <v>869.238461538462</v>
      </c>
      <c r="BA18">
        <v>1928.38</v>
      </c>
      <c r="BB18">
        <f>1-AZ18/BA18</f>
        <v>0</v>
      </c>
      <c r="BC18">
        <v>-3.86797898255815</v>
      </c>
      <c r="BD18" t="s">
        <v>448</v>
      </c>
      <c r="BE18">
        <v>5084.15</v>
      </c>
      <c r="BF18">
        <v>1007.43423076923</v>
      </c>
      <c r="BG18">
        <v>1021.80427056439</v>
      </c>
      <c r="BH18">
        <f>1-BF18/BG18</f>
        <v>0</v>
      </c>
      <c r="BI18">
        <v>0.5</v>
      </c>
      <c r="BJ18">
        <f>DI18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449</v>
      </c>
      <c r="BQ18">
        <v>905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BZ18">
        <v>796</v>
      </c>
      <c r="CA18">
        <v>290</v>
      </c>
      <c r="CB18">
        <v>1012.08</v>
      </c>
      <c r="CC18">
        <v>105</v>
      </c>
      <c r="CD18">
        <v>5084.15</v>
      </c>
      <c r="CE18">
        <v>1011.04</v>
      </c>
      <c r="CF18">
        <v>1.04</v>
      </c>
      <c r="CG18">
        <v>300</v>
      </c>
      <c r="CH18">
        <v>23.9</v>
      </c>
      <c r="CI18">
        <v>1021.80427056439</v>
      </c>
      <c r="CJ18">
        <v>1.66055051188191</v>
      </c>
      <c r="CK18">
        <v>-5.47237401468714</v>
      </c>
      <c r="CL18">
        <v>0.772816015511329</v>
      </c>
      <c r="CM18">
        <v>0.641676733810018</v>
      </c>
      <c r="CN18">
        <v>-0.00271339621802002</v>
      </c>
      <c r="CO18">
        <v>290</v>
      </c>
      <c r="CP18">
        <v>1010.16</v>
      </c>
      <c r="CQ18">
        <v>815</v>
      </c>
      <c r="CR18">
        <v>5078.58</v>
      </c>
      <c r="CS18">
        <v>1011.03</v>
      </c>
      <c r="CT18">
        <v>-0.87</v>
      </c>
      <c r="DH18">
        <f>$B$11*EG18+$C$11*EH18+$F$11*ES18*(1-EV18)</f>
        <v>0</v>
      </c>
      <c r="DI18">
        <f>DH18*DJ18</f>
        <v>0</v>
      </c>
      <c r="DJ18">
        <f>($B$11*$D$9+$C$11*$D$9+$F$11*((FF18+EX18)/MAX(FF18+EX18+FG18, 0.1)*$I$9+FG18/MAX(FF18+EX18+FG18, 0.1)*$J$9))/($B$11+$C$11+$F$11)</f>
        <v>0</v>
      </c>
      <c r="DK18">
        <f>($B$11*$K$9+$C$11*$K$9+$F$11*((FF18+EX18)/MAX(FF18+EX18+FG18, 0.1)*$P$9+FG18/MAX(FF18+EX18+FG18, 0.1)*$Q$9))/($B$11+$C$11+$F$11)</f>
        <v>0</v>
      </c>
      <c r="DL18">
        <v>6</v>
      </c>
      <c r="DM18">
        <v>0.5</v>
      </c>
      <c r="DN18" t="s">
        <v>440</v>
      </c>
      <c r="DO18">
        <v>2</v>
      </c>
      <c r="DP18" t="b">
        <v>1</v>
      </c>
      <c r="DQ18">
        <v>1762101511.51875</v>
      </c>
      <c r="DR18">
        <v>418.397125</v>
      </c>
      <c r="DS18">
        <v>419.9788125</v>
      </c>
      <c r="DT18">
        <v>33.31369375</v>
      </c>
      <c r="DU18">
        <v>19.77725625</v>
      </c>
      <c r="DV18">
        <v>410.088125</v>
      </c>
      <c r="DW18">
        <v>32.98433125</v>
      </c>
      <c r="DX18">
        <v>499.982625</v>
      </c>
      <c r="DY18">
        <v>90.89505625</v>
      </c>
      <c r="DZ18">
        <v>0.04190341875</v>
      </c>
      <c r="EA18">
        <v>49.85873125</v>
      </c>
      <c r="EB18">
        <v>48.01506875</v>
      </c>
      <c r="EC18">
        <v>999.9</v>
      </c>
      <c r="ED18">
        <v>0</v>
      </c>
      <c r="EE18">
        <v>0</v>
      </c>
      <c r="EF18">
        <v>9991.86625</v>
      </c>
      <c r="EG18">
        <v>0</v>
      </c>
      <c r="EH18">
        <v>1088.450625</v>
      </c>
      <c r="EI18">
        <v>-1.58166</v>
      </c>
      <c r="EJ18">
        <v>432.81575</v>
      </c>
      <c r="EK18">
        <v>428.4525</v>
      </c>
      <c r="EL18">
        <v>13.5364375</v>
      </c>
      <c r="EM18">
        <v>419.9788125</v>
      </c>
      <c r="EN18">
        <v>19.77725625</v>
      </c>
      <c r="EO18">
        <v>3.028049375</v>
      </c>
      <c r="EP18">
        <v>1.797654375</v>
      </c>
      <c r="EQ18">
        <v>24.18295625</v>
      </c>
      <c r="ER18">
        <v>15.7664125</v>
      </c>
      <c r="ES18">
        <v>1799.99</v>
      </c>
      <c r="ET18">
        <v>0.97799725</v>
      </c>
      <c r="EU18">
        <v>0.022002725</v>
      </c>
      <c r="EV18">
        <v>0</v>
      </c>
      <c r="EW18">
        <v>1007.5475</v>
      </c>
      <c r="EX18">
        <v>5.00016</v>
      </c>
      <c r="EY18">
        <v>19048.23125</v>
      </c>
      <c r="EZ18">
        <v>16395.33125</v>
      </c>
      <c r="FA18">
        <v>54.3395625</v>
      </c>
      <c r="FB18">
        <v>55.0153125</v>
      </c>
      <c r="FC18">
        <v>54.253625</v>
      </c>
      <c r="FD18">
        <v>55.284875</v>
      </c>
      <c r="FE18">
        <v>57.2225</v>
      </c>
      <c r="FF18">
        <v>1755.495625</v>
      </c>
      <c r="FG18">
        <v>39.49375</v>
      </c>
      <c r="FH18">
        <v>0</v>
      </c>
      <c r="FI18">
        <v>85.3999998569489</v>
      </c>
      <c r="FJ18">
        <v>0</v>
      </c>
      <c r="FK18">
        <v>1007.43423076923</v>
      </c>
      <c r="FL18">
        <v>-13.2646153871812</v>
      </c>
      <c r="FM18">
        <v>-218.772649512385</v>
      </c>
      <c r="FN18">
        <v>19045.55</v>
      </c>
      <c r="FO18">
        <v>15</v>
      </c>
      <c r="FP18">
        <v>0</v>
      </c>
      <c r="FQ18" t="s">
        <v>441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-1.58301523809524</v>
      </c>
      <c r="GD18">
        <v>0.180342448838135</v>
      </c>
      <c r="GE18">
        <v>0.0555385764362246</v>
      </c>
      <c r="GF18">
        <v>1</v>
      </c>
      <c r="GG18">
        <v>1008.36823529412</v>
      </c>
      <c r="GH18">
        <v>-13.1746371288989</v>
      </c>
      <c r="GI18">
        <v>1.30883529406477</v>
      </c>
      <c r="GJ18">
        <v>-1</v>
      </c>
      <c r="GK18">
        <v>13.5320380952381</v>
      </c>
      <c r="GL18">
        <v>0.0891140139939404</v>
      </c>
      <c r="GM18">
        <v>0.00924798439766725</v>
      </c>
      <c r="GN18">
        <v>1</v>
      </c>
      <c r="GO18">
        <v>2</v>
      </c>
      <c r="GP18">
        <v>2</v>
      </c>
      <c r="GQ18" t="s">
        <v>442</v>
      </c>
      <c r="GR18">
        <v>3.12359</v>
      </c>
      <c r="GS18">
        <v>2.66703</v>
      </c>
      <c r="GT18">
        <v>0.0862226</v>
      </c>
      <c r="GU18">
        <v>0.0876643</v>
      </c>
      <c r="GV18">
        <v>0.125566</v>
      </c>
      <c r="GW18">
        <v>0.0869325</v>
      </c>
      <c r="GX18">
        <v>22831.9</v>
      </c>
      <c r="GY18">
        <v>21578.1</v>
      </c>
      <c r="GZ18">
        <v>22396.6</v>
      </c>
      <c r="HA18">
        <v>23086.6</v>
      </c>
      <c r="HB18">
        <v>33506.5</v>
      </c>
      <c r="HC18">
        <v>34940.7</v>
      </c>
      <c r="HD18">
        <v>40513.8</v>
      </c>
      <c r="HE18">
        <v>41244.6</v>
      </c>
      <c r="HF18">
        <v>1.78953</v>
      </c>
      <c r="HG18">
        <v>2.15455</v>
      </c>
      <c r="HH18">
        <v>0.160381</v>
      </c>
      <c r="HI18">
        <v>0</v>
      </c>
      <c r="HJ18">
        <v>45.4919</v>
      </c>
      <c r="HK18">
        <v>999.9</v>
      </c>
      <c r="HL18">
        <v>52.252</v>
      </c>
      <c r="HM18">
        <v>26.455</v>
      </c>
      <c r="HN18">
        <v>19.9255</v>
      </c>
      <c r="HO18">
        <v>58.2136</v>
      </c>
      <c r="HP18">
        <v>23.4696</v>
      </c>
      <c r="HQ18">
        <v>2</v>
      </c>
      <c r="HR18">
        <v>1.12568</v>
      </c>
      <c r="HS18">
        <v>-1.21097</v>
      </c>
      <c r="HT18">
        <v>20.1977</v>
      </c>
      <c r="HU18">
        <v>5.22732</v>
      </c>
      <c r="HV18">
        <v>11.998</v>
      </c>
      <c r="HW18">
        <v>4.95335</v>
      </c>
      <c r="HX18">
        <v>3.30393</v>
      </c>
      <c r="HY18">
        <v>9999</v>
      </c>
      <c r="HZ18">
        <v>999.9</v>
      </c>
      <c r="IA18">
        <v>9999</v>
      </c>
      <c r="IB18">
        <v>9999</v>
      </c>
      <c r="IC18">
        <v>1.8685</v>
      </c>
      <c r="ID18">
        <v>1.86417</v>
      </c>
      <c r="IE18">
        <v>1.87181</v>
      </c>
      <c r="IF18">
        <v>1.86264</v>
      </c>
      <c r="IG18">
        <v>1.86203</v>
      </c>
      <c r="IH18">
        <v>1.86856</v>
      </c>
      <c r="II18">
        <v>1.85867</v>
      </c>
      <c r="IJ18">
        <v>1.86512</v>
      </c>
      <c r="IK18">
        <v>5</v>
      </c>
      <c r="IL18">
        <v>0</v>
      </c>
      <c r="IM18">
        <v>0</v>
      </c>
      <c r="IN18">
        <v>0</v>
      </c>
      <c r="IO18" t="s">
        <v>443</v>
      </c>
      <c r="IP18" t="s">
        <v>444</v>
      </c>
      <c r="IQ18" t="s">
        <v>445</v>
      </c>
      <c r="IR18" t="s">
        <v>445</v>
      </c>
      <c r="IS18" t="s">
        <v>445</v>
      </c>
      <c r="IT18" t="s">
        <v>445</v>
      </c>
      <c r="IU18">
        <v>0</v>
      </c>
      <c r="IV18">
        <v>100</v>
      </c>
      <c r="IW18">
        <v>100</v>
      </c>
      <c r="IX18">
        <v>8.309</v>
      </c>
      <c r="IY18">
        <v>0.3294</v>
      </c>
      <c r="IZ18">
        <v>5.63042802259986</v>
      </c>
      <c r="JA18">
        <v>0.00813484245791346</v>
      </c>
      <c r="JB18">
        <v>-4.34547228418155e-06</v>
      </c>
      <c r="JC18">
        <v>1.0644471544636e-09</v>
      </c>
      <c r="JD18">
        <v>0.329354282981013</v>
      </c>
      <c r="JE18">
        <v>0</v>
      </c>
      <c r="JF18">
        <v>0</v>
      </c>
      <c r="JG18">
        <v>0</v>
      </c>
      <c r="JH18">
        <v>-3</v>
      </c>
      <c r="JI18">
        <v>2169</v>
      </c>
      <c r="JJ18">
        <v>1</v>
      </c>
      <c r="JK18">
        <v>22</v>
      </c>
      <c r="JL18">
        <v>29368358.7</v>
      </c>
      <c r="JM18">
        <v>29368358.7</v>
      </c>
      <c r="JN18">
        <v>1.30371</v>
      </c>
      <c r="JO18">
        <v>2.34619</v>
      </c>
      <c r="JP18">
        <v>2.09839</v>
      </c>
      <c r="JQ18">
        <v>2.65259</v>
      </c>
      <c r="JR18">
        <v>2.24365</v>
      </c>
      <c r="JS18">
        <v>2.32056</v>
      </c>
      <c r="JT18">
        <v>33.5355</v>
      </c>
      <c r="JU18">
        <v>24.1575</v>
      </c>
      <c r="JV18">
        <v>18</v>
      </c>
      <c r="JW18">
        <v>558.391</v>
      </c>
      <c r="JX18">
        <v>813.501</v>
      </c>
      <c r="JY18">
        <v>53.6003</v>
      </c>
      <c r="JZ18">
        <v>41.3826</v>
      </c>
      <c r="KA18">
        <v>30.0006</v>
      </c>
      <c r="KB18">
        <v>39.4901</v>
      </c>
      <c r="KC18">
        <v>39.5503</v>
      </c>
      <c r="KD18">
        <v>26.1285</v>
      </c>
      <c r="KE18">
        <v>0</v>
      </c>
      <c r="KF18">
        <v>100</v>
      </c>
      <c r="KG18">
        <v>53.547</v>
      </c>
      <c r="KH18">
        <v>420</v>
      </c>
      <c r="KI18">
        <v>23.2649</v>
      </c>
      <c r="KJ18">
        <v>90.6928</v>
      </c>
      <c r="KK18">
        <v>96.0609</v>
      </c>
    </row>
    <row r="19" spans="1:297">
      <c r="A19">
        <v>3</v>
      </c>
      <c r="B19">
        <v>1762101592</v>
      </c>
      <c r="C19">
        <v>160.900000095367</v>
      </c>
      <c r="D19" t="s">
        <v>450</v>
      </c>
      <c r="E19" t="s">
        <v>451</v>
      </c>
      <c r="F19">
        <v>5</v>
      </c>
      <c r="G19" t="s">
        <v>435</v>
      </c>
      <c r="H19" t="s">
        <v>436</v>
      </c>
      <c r="I19">
        <v>1762101583.5</v>
      </c>
      <c r="J19">
        <f>(K19)/1000</f>
        <v>0</v>
      </c>
      <c r="K19">
        <f>IF(DP19, AN19, AH19)</f>
        <v>0</v>
      </c>
      <c r="L19">
        <f>IF(DP19, AI19, AG19)</f>
        <v>0</v>
      </c>
      <c r="M19">
        <f>DR19 - IF(AU19&gt;1, L19*DL19*100.0/(AW19), 0)</f>
        <v>0</v>
      </c>
      <c r="N19">
        <f>((T19-J19/2)*M19-L19)/(T19+J19/2)</f>
        <v>0</v>
      </c>
      <c r="O19">
        <f>N19*(DY19+DZ19)/1000.0</f>
        <v>0</v>
      </c>
      <c r="P19">
        <f>(DR19 - IF(AU19&gt;1, L19*DL19*100.0/(AW19), 0))*(DY19+DZ19)/1000.0</f>
        <v>0</v>
      </c>
      <c r="Q19">
        <f>2.0/((1/S19-1/R19)+SIGN(S19)*SQRT((1/S19-1/R19)*(1/S19-1/R19) + 4*DM19/((DM19+1)*(DM19+1))*(2*1/S19*1/R19-1/R19*1/R19)))</f>
        <v>0</v>
      </c>
      <c r="R19">
        <f>IF(LEFT(DN19,1)&lt;&gt;"0",IF(LEFT(DN19,1)="1",3.0,DO19),$D$5+$E$5*(EF19*DY19/($K$5*1000))+$F$5*(EF19*DY19/($K$5*1000))*MAX(MIN(DL19,$J$5),$I$5)*MAX(MIN(DL19,$J$5),$I$5)+$G$5*MAX(MIN(DL19,$J$5),$I$5)*(EF19*DY19/($K$5*1000))+$H$5*(EF19*DY19/($K$5*1000))*(EF19*DY19/($K$5*1000)))</f>
        <v>0</v>
      </c>
      <c r="S19">
        <f>J19*(1000-(1000*0.61365*exp(17.502*W19/(240.97+W19))/(DY19+DZ19)+DT19)/2)/(1000*0.61365*exp(17.502*W19/(240.97+W19))/(DY19+DZ19)-DT19)</f>
        <v>0</v>
      </c>
      <c r="T19">
        <f>1/((DM19+1)/(Q19/1.6)+1/(R19/1.37)) + DM19/((DM19+1)/(Q19/1.6) + DM19/(R19/1.37))</f>
        <v>0</v>
      </c>
      <c r="U19">
        <f>(DH19*DK19)</f>
        <v>0</v>
      </c>
      <c r="V19">
        <f>(EA19+(U19+2*0.95*5.67E-8*(((EA19+$B$7)+273)^4-(EA19+273)^4)-44100*J19)/(1.84*29.3*R19+8*0.95*5.67E-8*(EA19+273)^3))</f>
        <v>0</v>
      </c>
      <c r="W19">
        <f>($C$7*EB19+$D$7*EC19+$E$7*V19)</f>
        <v>0</v>
      </c>
      <c r="X19">
        <f>0.61365*exp(17.502*W19/(240.97+W19))</f>
        <v>0</v>
      </c>
      <c r="Y19">
        <f>(Z19/AA19*100)</f>
        <v>0</v>
      </c>
      <c r="Z19">
        <f>DT19*(DY19+DZ19)/1000</f>
        <v>0</v>
      </c>
      <c r="AA19">
        <f>0.61365*exp(17.502*EA19/(240.97+EA19))</f>
        <v>0</v>
      </c>
      <c r="AB19">
        <f>(X19-DT19*(DY19+DZ19)/1000)</f>
        <v>0</v>
      </c>
      <c r="AC19">
        <f>(-J19*44100)</f>
        <v>0</v>
      </c>
      <c r="AD19">
        <f>2*29.3*R19*0.92*(EA19-W19)</f>
        <v>0</v>
      </c>
      <c r="AE19">
        <f>2*0.95*5.67E-8*(((EA19+$B$7)+273)^4-(W19+273)^4)</f>
        <v>0</v>
      </c>
      <c r="AF19">
        <f>U19+AE19+AC19+AD19</f>
        <v>0</v>
      </c>
      <c r="AG19">
        <f>DX19*AU19*(DS19-DR19*(1000-AU19*DU19)/(1000-AU19*DT19))/(100*DL19)</f>
        <v>0</v>
      </c>
      <c r="AH19">
        <f>1000*DX19*AU19*(DT19-DU19)/(100*DL19*(1000-AU19*DT19))</f>
        <v>0</v>
      </c>
      <c r="AI19">
        <f>(AJ19 - AK19 - DY19*1E3/(8.314*(EA19+273.15)) * AM19/DX19 * AL19) * DX19/(100*DL19) * (1000 - DU19)/1000</f>
        <v>0</v>
      </c>
      <c r="AJ19">
        <v>428.43673324679</v>
      </c>
      <c r="AK19">
        <v>432.949739393939</v>
      </c>
      <c r="AL19">
        <v>0.00140703582251529</v>
      </c>
      <c r="AM19">
        <v>62.9314890995317</v>
      </c>
      <c r="AN19">
        <f>(AP19 - AO19 + DY19*1E3/(8.314*(EA19+273.15)) * AR19/DX19 * AQ19) * DX19/(100*DL19) * 1000/(1000 - AP19)</f>
        <v>0</v>
      </c>
      <c r="AO19">
        <v>19.7389943738147</v>
      </c>
      <c r="AP19">
        <v>32.8821606060606</v>
      </c>
      <c r="AQ19">
        <v>-6.33197902630374e-05</v>
      </c>
      <c r="AR19">
        <v>102.231304413022</v>
      </c>
      <c r="AS19">
        <v>0</v>
      </c>
      <c r="AT19">
        <v>0</v>
      </c>
      <c r="AU19">
        <f>IF(AS19*$H$13&gt;=AW19,1.0,(AW19/(AW19-AS19*$H$13)))</f>
        <v>0</v>
      </c>
      <c r="AV19">
        <f>(AU19-1)*100</f>
        <v>0</v>
      </c>
      <c r="AW19">
        <f>MAX(0,($B$13+$C$13*EF19)/(1+$D$13*EF19)*DY19/(EA19+273)*$E$13)</f>
        <v>0</v>
      </c>
      <c r="AX19" t="s">
        <v>437</v>
      </c>
      <c r="AY19">
        <v>5054.09</v>
      </c>
      <c r="AZ19">
        <v>869.238461538462</v>
      </c>
      <c r="BA19">
        <v>1928.38</v>
      </c>
      <c r="BB19">
        <f>1-AZ19/BA19</f>
        <v>0</v>
      </c>
      <c r="BC19">
        <v>-3.86797898255815</v>
      </c>
      <c r="BD19" t="s">
        <v>452</v>
      </c>
      <c r="BE19">
        <v>5091.12</v>
      </c>
      <c r="BF19">
        <v>991.38812</v>
      </c>
      <c r="BG19">
        <v>1007.39711467747</v>
      </c>
      <c r="BH19">
        <f>1-BF19/BG19</f>
        <v>0</v>
      </c>
      <c r="BI19">
        <v>0.5</v>
      </c>
      <c r="BJ19">
        <f>DI19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453</v>
      </c>
      <c r="BQ19">
        <v>896.4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BZ19">
        <v>798</v>
      </c>
      <c r="CA19">
        <v>290</v>
      </c>
      <c r="CB19">
        <v>998.22</v>
      </c>
      <c r="CC19">
        <v>25</v>
      </c>
      <c r="CD19">
        <v>5091.12</v>
      </c>
      <c r="CE19">
        <v>997.42</v>
      </c>
      <c r="CF19">
        <v>0.8</v>
      </c>
      <c r="CG19">
        <v>300</v>
      </c>
      <c r="CH19">
        <v>23.9</v>
      </c>
      <c r="CI19">
        <v>1007.39711467747</v>
      </c>
      <c r="CJ19">
        <v>2.0174173803562</v>
      </c>
      <c r="CK19">
        <v>-5.08131738737623</v>
      </c>
      <c r="CL19">
        <v>0.931334388710948</v>
      </c>
      <c r="CM19">
        <v>0.515297821819641</v>
      </c>
      <c r="CN19">
        <v>-0.00296691590656285</v>
      </c>
      <c r="CO19">
        <v>290</v>
      </c>
      <c r="CP19">
        <v>996.17</v>
      </c>
      <c r="CQ19">
        <v>755</v>
      </c>
      <c r="CR19">
        <v>5083.03</v>
      </c>
      <c r="CS19">
        <v>997.4</v>
      </c>
      <c r="CT19">
        <v>-1.23</v>
      </c>
      <c r="DH19">
        <f>$B$11*EG19+$C$11*EH19+$F$11*ES19*(1-EV19)</f>
        <v>0</v>
      </c>
      <c r="DI19">
        <f>DH19*DJ19</f>
        <v>0</v>
      </c>
      <c r="DJ19">
        <f>($B$11*$D$9+$C$11*$D$9+$F$11*((FF19+EX19)/MAX(FF19+EX19+FG19, 0.1)*$I$9+FG19/MAX(FF19+EX19+FG19, 0.1)*$J$9))/($B$11+$C$11+$F$11)</f>
        <v>0</v>
      </c>
      <c r="DK19">
        <f>($B$11*$K$9+$C$11*$K$9+$F$11*((FF19+EX19)/MAX(FF19+EX19+FG19, 0.1)*$P$9+FG19/MAX(FF19+EX19+FG19, 0.1)*$Q$9))/($B$11+$C$11+$F$11)</f>
        <v>0</v>
      </c>
      <c r="DL19">
        <v>6</v>
      </c>
      <c r="DM19">
        <v>0.5</v>
      </c>
      <c r="DN19" t="s">
        <v>440</v>
      </c>
      <c r="DO19">
        <v>2</v>
      </c>
      <c r="DP19" t="b">
        <v>1</v>
      </c>
      <c r="DQ19">
        <v>1762101583.5</v>
      </c>
      <c r="DR19">
        <v>418.6765</v>
      </c>
      <c r="DS19">
        <v>419.976625</v>
      </c>
      <c r="DT19">
        <v>32.8904</v>
      </c>
      <c r="DU19">
        <v>19.74159375</v>
      </c>
      <c r="DV19">
        <v>410.366</v>
      </c>
      <c r="DW19">
        <v>32.5610625</v>
      </c>
      <c r="DX19">
        <v>500.0088125</v>
      </c>
      <c r="DY19">
        <v>90.910925</v>
      </c>
      <c r="DZ19">
        <v>0.04196889375</v>
      </c>
      <c r="EA19">
        <v>49.99049375</v>
      </c>
      <c r="EB19">
        <v>47.94553125</v>
      </c>
      <c r="EC19">
        <v>999.9</v>
      </c>
      <c r="ED19">
        <v>0</v>
      </c>
      <c r="EE19">
        <v>0</v>
      </c>
      <c r="EF19">
        <v>9998.986875</v>
      </c>
      <c r="EG19">
        <v>0</v>
      </c>
      <c r="EH19">
        <v>1087.624375</v>
      </c>
      <c r="EI19">
        <v>-1.300256875</v>
      </c>
      <c r="EJ19">
        <v>432.9153125</v>
      </c>
      <c r="EK19">
        <v>428.4346875</v>
      </c>
      <c r="EL19">
        <v>13.1488125</v>
      </c>
      <c r="EM19">
        <v>419.976625</v>
      </c>
      <c r="EN19">
        <v>19.74159375</v>
      </c>
      <c r="EO19">
        <v>2.9900975</v>
      </c>
      <c r="EP19">
        <v>1.794724375</v>
      </c>
      <c r="EQ19">
        <v>23.97286875</v>
      </c>
      <c r="ER19">
        <v>15.740925</v>
      </c>
      <c r="ES19">
        <v>1500.005625</v>
      </c>
      <c r="ET19">
        <v>0.97300275</v>
      </c>
      <c r="EU19">
        <v>0.0269975375</v>
      </c>
      <c r="EV19">
        <v>0</v>
      </c>
      <c r="EW19">
        <v>991.5545625</v>
      </c>
      <c r="EX19">
        <v>5.00016</v>
      </c>
      <c r="EY19">
        <v>15670.16875</v>
      </c>
      <c r="EZ19">
        <v>13632.88125</v>
      </c>
      <c r="FA19">
        <v>54.656</v>
      </c>
      <c r="FB19">
        <v>55.6091875</v>
      </c>
      <c r="FC19">
        <v>54.8004375</v>
      </c>
      <c r="FD19">
        <v>55.847375</v>
      </c>
      <c r="FE19">
        <v>57.656</v>
      </c>
      <c r="FF19">
        <v>1454.645625</v>
      </c>
      <c r="FG19">
        <v>40.36</v>
      </c>
      <c r="FH19">
        <v>0</v>
      </c>
      <c r="FI19">
        <v>67.7999999523163</v>
      </c>
      <c r="FJ19">
        <v>0</v>
      </c>
      <c r="FK19">
        <v>991.38812</v>
      </c>
      <c r="FL19">
        <v>-13.195769240044</v>
      </c>
      <c r="FM19">
        <v>-189.607692522888</v>
      </c>
      <c r="FN19">
        <v>15666.696</v>
      </c>
      <c r="FO19">
        <v>15</v>
      </c>
      <c r="FP19">
        <v>0</v>
      </c>
      <c r="FQ19" t="s">
        <v>441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-1.28558952380952</v>
      </c>
      <c r="GD19">
        <v>-0.143167792207793</v>
      </c>
      <c r="GE19">
        <v>0.0406279968537051</v>
      </c>
      <c r="GF19">
        <v>1</v>
      </c>
      <c r="GG19">
        <v>992.448823529412</v>
      </c>
      <c r="GH19">
        <v>-14.462032077895</v>
      </c>
      <c r="GI19">
        <v>1.44440839651289</v>
      </c>
      <c r="GJ19">
        <v>-1</v>
      </c>
      <c r="GK19">
        <v>13.1521714285714</v>
      </c>
      <c r="GL19">
        <v>-0.0584337662337433</v>
      </c>
      <c r="GM19">
        <v>0.00639762923776808</v>
      </c>
      <c r="GN19">
        <v>1</v>
      </c>
      <c r="GO19">
        <v>2</v>
      </c>
      <c r="GP19">
        <v>2</v>
      </c>
      <c r="GQ19" t="s">
        <v>442</v>
      </c>
      <c r="GR19">
        <v>3.12352</v>
      </c>
      <c r="GS19">
        <v>2.66813</v>
      </c>
      <c r="GT19">
        <v>0.0861501</v>
      </c>
      <c r="GU19">
        <v>0.0875486</v>
      </c>
      <c r="GV19">
        <v>0.124289</v>
      </c>
      <c r="GW19">
        <v>0.0867126</v>
      </c>
      <c r="GX19">
        <v>22795.9</v>
      </c>
      <c r="GY19">
        <v>21552.5</v>
      </c>
      <c r="GZ19">
        <v>22361.6</v>
      </c>
      <c r="HA19">
        <v>23058.6</v>
      </c>
      <c r="HB19">
        <v>33510</v>
      </c>
      <c r="HC19">
        <v>34910.5</v>
      </c>
      <c r="HD19">
        <v>40458.5</v>
      </c>
      <c r="HE19">
        <v>41199.7</v>
      </c>
      <c r="HF19">
        <v>1.78422</v>
      </c>
      <c r="HG19">
        <v>2.14643</v>
      </c>
      <c r="HH19">
        <v>0.142455</v>
      </c>
      <c r="HI19">
        <v>0</v>
      </c>
      <c r="HJ19">
        <v>45.7227</v>
      </c>
      <c r="HK19">
        <v>999.9</v>
      </c>
      <c r="HL19">
        <v>52.13</v>
      </c>
      <c r="HM19">
        <v>26.496</v>
      </c>
      <c r="HN19">
        <v>19.9231</v>
      </c>
      <c r="HO19">
        <v>57.7936</v>
      </c>
      <c r="HP19">
        <v>23.1971</v>
      </c>
      <c r="HQ19">
        <v>2</v>
      </c>
      <c r="HR19">
        <v>1.18114</v>
      </c>
      <c r="HS19">
        <v>-3.97356</v>
      </c>
      <c r="HT19">
        <v>20.1631</v>
      </c>
      <c r="HU19">
        <v>5.22882</v>
      </c>
      <c r="HV19">
        <v>11.998</v>
      </c>
      <c r="HW19">
        <v>4.9538</v>
      </c>
      <c r="HX19">
        <v>3.304</v>
      </c>
      <c r="HY19">
        <v>9999</v>
      </c>
      <c r="HZ19">
        <v>999.9</v>
      </c>
      <c r="IA19">
        <v>9999</v>
      </c>
      <c r="IB19">
        <v>9999</v>
      </c>
      <c r="IC19">
        <v>1.86851</v>
      </c>
      <c r="ID19">
        <v>1.86417</v>
      </c>
      <c r="IE19">
        <v>1.87181</v>
      </c>
      <c r="IF19">
        <v>1.86264</v>
      </c>
      <c r="IG19">
        <v>1.86203</v>
      </c>
      <c r="IH19">
        <v>1.86854</v>
      </c>
      <c r="II19">
        <v>1.85867</v>
      </c>
      <c r="IJ19">
        <v>1.8651</v>
      </c>
      <c r="IK19">
        <v>5</v>
      </c>
      <c r="IL19">
        <v>0</v>
      </c>
      <c r="IM19">
        <v>0</v>
      </c>
      <c r="IN19">
        <v>0</v>
      </c>
      <c r="IO19" t="s">
        <v>443</v>
      </c>
      <c r="IP19" t="s">
        <v>444</v>
      </c>
      <c r="IQ19" t="s">
        <v>445</v>
      </c>
      <c r="IR19" t="s">
        <v>445</v>
      </c>
      <c r="IS19" t="s">
        <v>445</v>
      </c>
      <c r="IT19" t="s">
        <v>445</v>
      </c>
      <c r="IU19">
        <v>0</v>
      </c>
      <c r="IV19">
        <v>100</v>
      </c>
      <c r="IW19">
        <v>100</v>
      </c>
      <c r="IX19">
        <v>8.311</v>
      </c>
      <c r="IY19">
        <v>0.3294</v>
      </c>
      <c r="IZ19">
        <v>5.63042802259986</v>
      </c>
      <c r="JA19">
        <v>0.00813484245791346</v>
      </c>
      <c r="JB19">
        <v>-4.34547228418155e-06</v>
      </c>
      <c r="JC19">
        <v>1.0644471544636e-09</v>
      </c>
      <c r="JD19">
        <v>0.329354282981013</v>
      </c>
      <c r="JE19">
        <v>0</v>
      </c>
      <c r="JF19">
        <v>0</v>
      </c>
      <c r="JG19">
        <v>0</v>
      </c>
      <c r="JH19">
        <v>-3</v>
      </c>
      <c r="JI19">
        <v>2169</v>
      </c>
      <c r="JJ19">
        <v>1</v>
      </c>
      <c r="JK19">
        <v>22</v>
      </c>
      <c r="JL19">
        <v>29368359.9</v>
      </c>
      <c r="JM19">
        <v>29368359.9</v>
      </c>
      <c r="JN19">
        <v>1.30371</v>
      </c>
      <c r="JO19">
        <v>2.34863</v>
      </c>
      <c r="JP19">
        <v>2.09839</v>
      </c>
      <c r="JQ19">
        <v>2.65259</v>
      </c>
      <c r="JR19">
        <v>2.24365</v>
      </c>
      <c r="JS19">
        <v>2.30347</v>
      </c>
      <c r="JT19">
        <v>33.558</v>
      </c>
      <c r="JU19">
        <v>24.1225</v>
      </c>
      <c r="JV19">
        <v>18</v>
      </c>
      <c r="JW19">
        <v>558.943</v>
      </c>
      <c r="JX19">
        <v>812.365</v>
      </c>
      <c r="JY19">
        <v>54.8627</v>
      </c>
      <c r="JZ19">
        <v>41.923</v>
      </c>
      <c r="KA19">
        <v>30.0029</v>
      </c>
      <c r="KB19">
        <v>40.0901</v>
      </c>
      <c r="KC19">
        <v>40.1504</v>
      </c>
      <c r="KD19">
        <v>26.1396</v>
      </c>
      <c r="KE19">
        <v>0</v>
      </c>
      <c r="KF19">
        <v>100</v>
      </c>
      <c r="KG19">
        <v>54.8496</v>
      </c>
      <c r="KH19">
        <v>420</v>
      </c>
      <c r="KI19">
        <v>23.2649</v>
      </c>
      <c r="KJ19">
        <v>90.5628</v>
      </c>
      <c r="KK19">
        <v>95.952</v>
      </c>
    </row>
    <row r="20" spans="1:297">
      <c r="A20">
        <v>4</v>
      </c>
      <c r="B20">
        <v>1762101695</v>
      </c>
      <c r="C20">
        <v>263.900000095367</v>
      </c>
      <c r="D20" t="s">
        <v>454</v>
      </c>
      <c r="E20" t="s">
        <v>455</v>
      </c>
      <c r="F20">
        <v>5</v>
      </c>
      <c r="G20" t="s">
        <v>435</v>
      </c>
      <c r="H20" t="s">
        <v>436</v>
      </c>
      <c r="I20">
        <v>1762101686.5</v>
      </c>
      <c r="J20">
        <f>(K20)/1000</f>
        <v>0</v>
      </c>
      <c r="K20">
        <f>IF(DP20, AN20, AH20)</f>
        <v>0</v>
      </c>
      <c r="L20">
        <f>IF(DP20, AI20, AG20)</f>
        <v>0</v>
      </c>
      <c r="M20">
        <f>DR20 - IF(AU20&gt;1, L20*DL20*100.0/(AW20), 0)</f>
        <v>0</v>
      </c>
      <c r="N20">
        <f>((T20-J20/2)*M20-L20)/(T20+J20/2)</f>
        <v>0</v>
      </c>
      <c r="O20">
        <f>N20*(DY20+DZ20)/1000.0</f>
        <v>0</v>
      </c>
      <c r="P20">
        <f>(DR20 - IF(AU20&gt;1, L20*DL20*100.0/(AW20), 0))*(DY20+DZ20)/1000.0</f>
        <v>0</v>
      </c>
      <c r="Q20">
        <f>2.0/((1/S20-1/R20)+SIGN(S20)*SQRT((1/S20-1/R20)*(1/S20-1/R20) + 4*DM20/((DM20+1)*(DM20+1))*(2*1/S20*1/R20-1/R20*1/R20)))</f>
        <v>0</v>
      </c>
      <c r="R20">
        <f>IF(LEFT(DN20,1)&lt;&gt;"0",IF(LEFT(DN20,1)="1",3.0,DO20),$D$5+$E$5*(EF20*DY20/($K$5*1000))+$F$5*(EF20*DY20/($K$5*1000))*MAX(MIN(DL20,$J$5),$I$5)*MAX(MIN(DL20,$J$5),$I$5)+$G$5*MAX(MIN(DL20,$J$5),$I$5)*(EF20*DY20/($K$5*1000))+$H$5*(EF20*DY20/($K$5*1000))*(EF20*DY20/($K$5*1000)))</f>
        <v>0</v>
      </c>
      <c r="S20">
        <f>J20*(1000-(1000*0.61365*exp(17.502*W20/(240.97+W20))/(DY20+DZ20)+DT20)/2)/(1000*0.61365*exp(17.502*W20/(240.97+W20))/(DY20+DZ20)-DT20)</f>
        <v>0</v>
      </c>
      <c r="T20">
        <f>1/((DM20+1)/(Q20/1.6)+1/(R20/1.37)) + DM20/((DM20+1)/(Q20/1.6) + DM20/(R20/1.37))</f>
        <v>0</v>
      </c>
      <c r="U20">
        <f>(DH20*DK20)</f>
        <v>0</v>
      </c>
      <c r="V20">
        <f>(EA20+(U20+2*0.95*5.67E-8*(((EA20+$B$7)+273)^4-(EA20+273)^4)-44100*J20)/(1.84*29.3*R20+8*0.95*5.67E-8*(EA20+273)^3))</f>
        <v>0</v>
      </c>
      <c r="W20">
        <f>($C$7*EB20+$D$7*EC20+$E$7*V20)</f>
        <v>0</v>
      </c>
      <c r="X20">
        <f>0.61365*exp(17.502*W20/(240.97+W20))</f>
        <v>0</v>
      </c>
      <c r="Y20">
        <f>(Z20/AA20*100)</f>
        <v>0</v>
      </c>
      <c r="Z20">
        <f>DT20*(DY20+DZ20)/1000</f>
        <v>0</v>
      </c>
      <c r="AA20">
        <f>0.61365*exp(17.502*EA20/(240.97+EA20))</f>
        <v>0</v>
      </c>
      <c r="AB20">
        <f>(X20-DT20*(DY20+DZ20)/1000)</f>
        <v>0</v>
      </c>
      <c r="AC20">
        <f>(-J20*44100)</f>
        <v>0</v>
      </c>
      <c r="AD20">
        <f>2*29.3*R20*0.92*(EA20-W20)</f>
        <v>0</v>
      </c>
      <c r="AE20">
        <f>2*0.95*5.67E-8*(((EA20+$B$7)+273)^4-(W20+273)^4)</f>
        <v>0</v>
      </c>
      <c r="AF20">
        <f>U20+AE20+AC20+AD20</f>
        <v>0</v>
      </c>
      <c r="AG20">
        <f>DX20*AU20*(DS20-DR20*(1000-AU20*DU20)/(1000-AU20*DT20))/(100*DL20)</f>
        <v>0</v>
      </c>
      <c r="AH20">
        <f>1000*DX20*AU20*(DT20-DU20)/(100*DL20*(1000-AU20*DT20))</f>
        <v>0</v>
      </c>
      <c r="AI20">
        <f>(AJ20 - AK20 - DY20*1E3/(8.314*(EA20+273.15)) * AM20/DX20 * AL20) * DX20/(100*DL20) * (1000 - DU20)/1000</f>
        <v>0</v>
      </c>
      <c r="AJ20">
        <v>428.451805628595</v>
      </c>
      <c r="AK20">
        <v>433.339363636363</v>
      </c>
      <c r="AL20">
        <v>0.0233251252177775</v>
      </c>
      <c r="AM20">
        <v>62.9314890995317</v>
      </c>
      <c r="AN20">
        <f>(AP20 - AO20 + DY20*1E3/(8.314*(EA20+273.15)) * AR20/DX20 * AQ20) * DX20/(100*DL20) * 1000/(1000 - AP20)</f>
        <v>0</v>
      </c>
      <c r="AO20">
        <v>19.707463147486</v>
      </c>
      <c r="AP20">
        <v>32.4066460606061</v>
      </c>
      <c r="AQ20">
        <v>-0.000509891003937437</v>
      </c>
      <c r="AR20">
        <v>102.231304413022</v>
      </c>
      <c r="AS20">
        <v>0</v>
      </c>
      <c r="AT20">
        <v>0</v>
      </c>
      <c r="AU20">
        <f>IF(AS20*$H$13&gt;=AW20,1.0,(AW20/(AW20-AS20*$H$13)))</f>
        <v>0</v>
      </c>
      <c r="AV20">
        <f>(AU20-1)*100</f>
        <v>0</v>
      </c>
      <c r="AW20">
        <f>MAX(0,($B$13+$C$13*EF20)/(1+$D$13*EF20)*DY20/(EA20+273)*$E$13)</f>
        <v>0</v>
      </c>
      <c r="AX20" t="s">
        <v>437</v>
      </c>
      <c r="AY20">
        <v>5054.09</v>
      </c>
      <c r="AZ20">
        <v>869.238461538462</v>
      </c>
      <c r="BA20">
        <v>1928.38</v>
      </c>
      <c r="BB20">
        <f>1-AZ20/BA20</f>
        <v>0</v>
      </c>
      <c r="BC20">
        <v>-3.86797898255815</v>
      </c>
      <c r="BD20" t="s">
        <v>456</v>
      </c>
      <c r="BE20">
        <v>5091.5</v>
      </c>
      <c r="BF20">
        <v>972.259576923077</v>
      </c>
      <c r="BG20">
        <v>992.927899517647</v>
      </c>
      <c r="BH20">
        <f>1-BF20/BG20</f>
        <v>0</v>
      </c>
      <c r="BI20">
        <v>0.5</v>
      </c>
      <c r="BJ20">
        <f>DI20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457</v>
      </c>
      <c r="BQ20">
        <v>891.8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BZ20">
        <v>800</v>
      </c>
      <c r="CA20">
        <v>290</v>
      </c>
      <c r="CB20">
        <v>983.7</v>
      </c>
      <c r="CC20">
        <v>205</v>
      </c>
      <c r="CD20">
        <v>5091.5</v>
      </c>
      <c r="CE20">
        <v>982.93</v>
      </c>
      <c r="CF20">
        <v>0.77</v>
      </c>
      <c r="CG20">
        <v>300</v>
      </c>
      <c r="CH20">
        <v>23.9</v>
      </c>
      <c r="CI20">
        <v>992.927899517647</v>
      </c>
      <c r="CJ20">
        <v>2.23383616889086</v>
      </c>
      <c r="CK20">
        <v>-5.08908621419554</v>
      </c>
      <c r="CL20">
        <v>1.02285501932359</v>
      </c>
      <c r="CM20">
        <v>0.469238040369104</v>
      </c>
      <c r="CN20">
        <v>-0.00322019844271414</v>
      </c>
      <c r="CO20">
        <v>290</v>
      </c>
      <c r="CP20">
        <v>982.03</v>
      </c>
      <c r="CQ20">
        <v>705</v>
      </c>
      <c r="CR20">
        <v>5087.83</v>
      </c>
      <c r="CS20">
        <v>982.93</v>
      </c>
      <c r="CT20">
        <v>-0.9</v>
      </c>
      <c r="DH20">
        <f>$B$11*EG20+$C$11*EH20+$F$11*ES20*(1-EV20)</f>
        <v>0</v>
      </c>
      <c r="DI20">
        <f>DH20*DJ20</f>
        <v>0</v>
      </c>
      <c r="DJ20">
        <f>($B$11*$D$9+$C$11*$D$9+$F$11*((FF20+EX20)/MAX(FF20+EX20+FG20, 0.1)*$I$9+FG20/MAX(FF20+EX20+FG20, 0.1)*$J$9))/($B$11+$C$11+$F$11)</f>
        <v>0</v>
      </c>
      <c r="DK20">
        <f>($B$11*$K$9+$C$11*$K$9+$F$11*((FF20+EX20)/MAX(FF20+EX20+FG20, 0.1)*$P$9+FG20/MAX(FF20+EX20+FG20, 0.1)*$Q$9))/($B$11+$C$11+$F$11)</f>
        <v>0</v>
      </c>
      <c r="DL20">
        <v>6</v>
      </c>
      <c r="DM20">
        <v>0.5</v>
      </c>
      <c r="DN20" t="s">
        <v>440</v>
      </c>
      <c r="DO20">
        <v>2</v>
      </c>
      <c r="DP20" t="b">
        <v>1</v>
      </c>
      <c r="DQ20">
        <v>1762101686.5</v>
      </c>
      <c r="DR20">
        <v>419.208125</v>
      </c>
      <c r="DS20">
        <v>420.005625</v>
      </c>
      <c r="DT20">
        <v>32.42249375</v>
      </c>
      <c r="DU20">
        <v>19.70899375</v>
      </c>
      <c r="DV20">
        <v>410.895</v>
      </c>
      <c r="DW20">
        <v>32.09313125</v>
      </c>
      <c r="DX20">
        <v>499.9881875</v>
      </c>
      <c r="DY20">
        <v>90.8973125</v>
      </c>
      <c r="DZ20">
        <v>0.04313448125</v>
      </c>
      <c r="EA20">
        <v>50.3582625</v>
      </c>
      <c r="EB20">
        <v>48.10525</v>
      </c>
      <c r="EC20">
        <v>999.9</v>
      </c>
      <c r="ED20">
        <v>0</v>
      </c>
      <c r="EE20">
        <v>0</v>
      </c>
      <c r="EF20">
        <v>9995.085</v>
      </c>
      <c r="EG20">
        <v>0</v>
      </c>
      <c r="EH20">
        <v>1086.579375</v>
      </c>
      <c r="EI20">
        <v>-0.7974778125</v>
      </c>
      <c r="EJ20">
        <v>433.2553125</v>
      </c>
      <c r="EK20">
        <v>428.449875</v>
      </c>
      <c r="EL20">
        <v>12.7135</v>
      </c>
      <c r="EM20">
        <v>420.005625</v>
      </c>
      <c r="EN20">
        <v>19.70899375</v>
      </c>
      <c r="EO20">
        <v>2.9471175</v>
      </c>
      <c r="EP20">
        <v>1.79149375</v>
      </c>
      <c r="EQ20">
        <v>23.73210625</v>
      </c>
      <c r="ER20">
        <v>15.712775</v>
      </c>
      <c r="ES20">
        <v>1200.0575</v>
      </c>
      <c r="ET20">
        <v>0.9669945</v>
      </c>
      <c r="EU20">
        <v>0.0330055375</v>
      </c>
      <c r="EV20">
        <v>0</v>
      </c>
      <c r="EW20">
        <v>972.503125</v>
      </c>
      <c r="EX20">
        <v>5.00016</v>
      </c>
      <c r="EY20">
        <v>12345.425</v>
      </c>
      <c r="EZ20">
        <v>10876.11875</v>
      </c>
      <c r="FA20">
        <v>54.8553125</v>
      </c>
      <c r="FB20">
        <v>56.2655</v>
      </c>
      <c r="FC20">
        <v>55.3159375</v>
      </c>
      <c r="FD20">
        <v>56.492</v>
      </c>
      <c r="FE20">
        <v>58.0155</v>
      </c>
      <c r="FF20">
        <v>1155.615625</v>
      </c>
      <c r="FG20">
        <v>39.4425</v>
      </c>
      <c r="FH20">
        <v>0</v>
      </c>
      <c r="FI20">
        <v>98.4000000953674</v>
      </c>
      <c r="FJ20">
        <v>0</v>
      </c>
      <c r="FK20">
        <v>972.259576923077</v>
      </c>
      <c r="FL20">
        <v>-7.91128205388312</v>
      </c>
      <c r="FM20">
        <v>-89.1589742421931</v>
      </c>
      <c r="FN20">
        <v>12343.3961538462</v>
      </c>
      <c r="FO20">
        <v>15</v>
      </c>
      <c r="FP20">
        <v>0</v>
      </c>
      <c r="FQ20" t="s">
        <v>441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-0.794266571428571</v>
      </c>
      <c r="GD20">
        <v>0.0853065194805192</v>
      </c>
      <c r="GE20">
        <v>0.0385520631361594</v>
      </c>
      <c r="GF20">
        <v>1</v>
      </c>
      <c r="GG20">
        <v>972.691441176471</v>
      </c>
      <c r="GH20">
        <v>-7.23231475034593</v>
      </c>
      <c r="GI20">
        <v>0.736042205918055</v>
      </c>
      <c r="GJ20">
        <v>-1</v>
      </c>
      <c r="GK20">
        <v>12.7177333333333</v>
      </c>
      <c r="GL20">
        <v>-0.118550649350633</v>
      </c>
      <c r="GM20">
        <v>0.0123805659280348</v>
      </c>
      <c r="GN20">
        <v>0</v>
      </c>
      <c r="GO20">
        <v>1</v>
      </c>
      <c r="GP20">
        <v>2</v>
      </c>
      <c r="GQ20" t="s">
        <v>458</v>
      </c>
      <c r="GR20">
        <v>3.1235</v>
      </c>
      <c r="GS20">
        <v>2.66873</v>
      </c>
      <c r="GT20">
        <v>0.0860669</v>
      </c>
      <c r="GU20">
        <v>0.0873718</v>
      </c>
      <c r="GV20">
        <v>0.122803</v>
      </c>
      <c r="GW20">
        <v>0.0864433</v>
      </c>
      <c r="GX20">
        <v>22752.5</v>
      </c>
      <c r="GY20">
        <v>21522.8</v>
      </c>
      <c r="GZ20">
        <v>22319.8</v>
      </c>
      <c r="HA20">
        <v>23025.3</v>
      </c>
      <c r="HB20">
        <v>33512.1</v>
      </c>
      <c r="HC20">
        <v>34874.6</v>
      </c>
      <c r="HD20">
        <v>40391.9</v>
      </c>
      <c r="HE20">
        <v>41146.1</v>
      </c>
      <c r="HF20">
        <v>1.77715</v>
      </c>
      <c r="HG20">
        <v>2.13597</v>
      </c>
      <c r="HH20">
        <v>0.128515</v>
      </c>
      <c r="HI20">
        <v>0</v>
      </c>
      <c r="HJ20">
        <v>46.0819</v>
      </c>
      <c r="HK20">
        <v>999.9</v>
      </c>
      <c r="HL20">
        <v>51.984</v>
      </c>
      <c r="HM20">
        <v>26.506</v>
      </c>
      <c r="HN20">
        <v>19.8802</v>
      </c>
      <c r="HO20">
        <v>58.1736</v>
      </c>
      <c r="HP20">
        <v>23.133</v>
      </c>
      <c r="HQ20">
        <v>2</v>
      </c>
      <c r="HR20">
        <v>1.23892</v>
      </c>
      <c r="HS20">
        <v>-3.14143</v>
      </c>
      <c r="HT20">
        <v>20.1806</v>
      </c>
      <c r="HU20">
        <v>5.22837</v>
      </c>
      <c r="HV20">
        <v>11.998</v>
      </c>
      <c r="HW20">
        <v>4.95365</v>
      </c>
      <c r="HX20">
        <v>3.304</v>
      </c>
      <c r="HY20">
        <v>9999</v>
      </c>
      <c r="HZ20">
        <v>999.9</v>
      </c>
      <c r="IA20">
        <v>9999</v>
      </c>
      <c r="IB20">
        <v>9999</v>
      </c>
      <c r="IC20">
        <v>1.86847</v>
      </c>
      <c r="ID20">
        <v>1.86417</v>
      </c>
      <c r="IE20">
        <v>1.87181</v>
      </c>
      <c r="IF20">
        <v>1.86264</v>
      </c>
      <c r="IG20">
        <v>1.86203</v>
      </c>
      <c r="IH20">
        <v>1.86849</v>
      </c>
      <c r="II20">
        <v>1.85867</v>
      </c>
      <c r="IJ20">
        <v>1.86509</v>
      </c>
      <c r="IK20">
        <v>5</v>
      </c>
      <c r="IL20">
        <v>0</v>
      </c>
      <c r="IM20">
        <v>0</v>
      </c>
      <c r="IN20">
        <v>0</v>
      </c>
      <c r="IO20" t="s">
        <v>443</v>
      </c>
      <c r="IP20" t="s">
        <v>444</v>
      </c>
      <c r="IQ20" t="s">
        <v>445</v>
      </c>
      <c r="IR20" t="s">
        <v>445</v>
      </c>
      <c r="IS20" t="s">
        <v>445</v>
      </c>
      <c r="IT20" t="s">
        <v>445</v>
      </c>
      <c r="IU20">
        <v>0</v>
      </c>
      <c r="IV20">
        <v>100</v>
      </c>
      <c r="IW20">
        <v>100</v>
      </c>
      <c r="IX20">
        <v>8.313</v>
      </c>
      <c r="IY20">
        <v>0.3294</v>
      </c>
      <c r="IZ20">
        <v>5.63042802259986</v>
      </c>
      <c r="JA20">
        <v>0.00813484245791346</v>
      </c>
      <c r="JB20">
        <v>-4.34547228418155e-06</v>
      </c>
      <c r="JC20">
        <v>1.0644471544636e-09</v>
      </c>
      <c r="JD20">
        <v>0.329354282981013</v>
      </c>
      <c r="JE20">
        <v>0</v>
      </c>
      <c r="JF20">
        <v>0</v>
      </c>
      <c r="JG20">
        <v>0</v>
      </c>
      <c r="JH20">
        <v>-3</v>
      </c>
      <c r="JI20">
        <v>2169</v>
      </c>
      <c r="JJ20">
        <v>1</v>
      </c>
      <c r="JK20">
        <v>22</v>
      </c>
      <c r="JL20">
        <v>29368361.6</v>
      </c>
      <c r="JM20">
        <v>29368361.6</v>
      </c>
      <c r="JN20">
        <v>1.30371</v>
      </c>
      <c r="JO20">
        <v>2.35229</v>
      </c>
      <c r="JP20">
        <v>2.09839</v>
      </c>
      <c r="JQ20">
        <v>2.65259</v>
      </c>
      <c r="JR20">
        <v>2.24365</v>
      </c>
      <c r="JS20">
        <v>2.3938</v>
      </c>
      <c r="JT20">
        <v>33.6254</v>
      </c>
      <c r="JU20">
        <v>24.1575</v>
      </c>
      <c r="JV20">
        <v>18</v>
      </c>
      <c r="JW20">
        <v>559.43</v>
      </c>
      <c r="JX20">
        <v>810.834</v>
      </c>
      <c r="JY20">
        <v>54.7458</v>
      </c>
      <c r="JZ20">
        <v>42.6047</v>
      </c>
      <c r="KA20">
        <v>30.0024</v>
      </c>
      <c r="KB20">
        <v>40.8663</v>
      </c>
      <c r="KC20">
        <v>40.9272</v>
      </c>
      <c r="KD20">
        <v>26.1469</v>
      </c>
      <c r="KE20">
        <v>0</v>
      </c>
      <c r="KF20">
        <v>100</v>
      </c>
      <c r="KG20">
        <v>54.6494</v>
      </c>
      <c r="KH20">
        <v>420</v>
      </c>
      <c r="KI20">
        <v>23.2649</v>
      </c>
      <c r="KJ20">
        <v>90.4064</v>
      </c>
      <c r="KK20">
        <v>95.8223</v>
      </c>
    </row>
    <row r="21" spans="1:297">
      <c r="A21">
        <v>5</v>
      </c>
      <c r="B21">
        <v>1762101797</v>
      </c>
      <c r="C21">
        <v>365.900000095367</v>
      </c>
      <c r="D21" t="s">
        <v>459</v>
      </c>
      <c r="E21" t="s">
        <v>460</v>
      </c>
      <c r="F21">
        <v>5</v>
      </c>
      <c r="G21" t="s">
        <v>435</v>
      </c>
      <c r="H21" t="s">
        <v>436</v>
      </c>
      <c r="I21">
        <v>1762101788.5</v>
      </c>
      <c r="J21">
        <f>(K21)/1000</f>
        <v>0</v>
      </c>
      <c r="K21">
        <f>IF(DP21, AN21, AH21)</f>
        <v>0</v>
      </c>
      <c r="L21">
        <f>IF(DP21, AI21, AG21)</f>
        <v>0</v>
      </c>
      <c r="M21">
        <f>DR21 - IF(AU21&gt;1, L21*DL21*100.0/(AW21), 0)</f>
        <v>0</v>
      </c>
      <c r="N21">
        <f>((T21-J21/2)*M21-L21)/(T21+J21/2)</f>
        <v>0</v>
      </c>
      <c r="O21">
        <f>N21*(DY21+DZ21)/1000.0</f>
        <v>0</v>
      </c>
      <c r="P21">
        <f>(DR21 - IF(AU21&gt;1, L21*DL21*100.0/(AW21), 0))*(DY21+DZ21)/1000.0</f>
        <v>0</v>
      </c>
      <c r="Q21">
        <f>2.0/((1/S21-1/R21)+SIGN(S21)*SQRT((1/S21-1/R21)*(1/S21-1/R21) + 4*DM21/((DM21+1)*(DM21+1))*(2*1/S21*1/R21-1/R21*1/R21)))</f>
        <v>0</v>
      </c>
      <c r="R21">
        <f>IF(LEFT(DN21,1)&lt;&gt;"0",IF(LEFT(DN21,1)="1",3.0,DO21),$D$5+$E$5*(EF21*DY21/($K$5*1000))+$F$5*(EF21*DY21/($K$5*1000))*MAX(MIN(DL21,$J$5),$I$5)*MAX(MIN(DL21,$J$5),$I$5)+$G$5*MAX(MIN(DL21,$J$5),$I$5)*(EF21*DY21/($K$5*1000))+$H$5*(EF21*DY21/($K$5*1000))*(EF21*DY21/($K$5*1000)))</f>
        <v>0</v>
      </c>
      <c r="S21">
        <f>J21*(1000-(1000*0.61365*exp(17.502*W21/(240.97+W21))/(DY21+DZ21)+DT21)/2)/(1000*0.61365*exp(17.502*W21/(240.97+W21))/(DY21+DZ21)-DT21)</f>
        <v>0</v>
      </c>
      <c r="T21">
        <f>1/((DM21+1)/(Q21/1.6)+1/(R21/1.37)) + DM21/((DM21+1)/(Q21/1.6) + DM21/(R21/1.37))</f>
        <v>0</v>
      </c>
      <c r="U21">
        <f>(DH21*DK21)</f>
        <v>0</v>
      </c>
      <c r="V21">
        <f>(EA21+(U21+2*0.95*5.67E-8*(((EA21+$B$7)+273)^4-(EA21+273)^4)-44100*J21)/(1.84*29.3*R21+8*0.95*5.67E-8*(EA21+273)^3))</f>
        <v>0</v>
      </c>
      <c r="W21">
        <f>($C$7*EB21+$D$7*EC21+$E$7*V21)</f>
        <v>0</v>
      </c>
      <c r="X21">
        <f>0.61365*exp(17.502*W21/(240.97+W21))</f>
        <v>0</v>
      </c>
      <c r="Y21">
        <f>(Z21/AA21*100)</f>
        <v>0</v>
      </c>
      <c r="Z21">
        <f>DT21*(DY21+DZ21)/1000</f>
        <v>0</v>
      </c>
      <c r="AA21">
        <f>0.61365*exp(17.502*EA21/(240.97+EA21))</f>
        <v>0</v>
      </c>
      <c r="AB21">
        <f>(X21-DT21*(DY21+DZ21)/1000)</f>
        <v>0</v>
      </c>
      <c r="AC21">
        <f>(-J21*44100)</f>
        <v>0</v>
      </c>
      <c r="AD21">
        <f>2*29.3*R21*0.92*(EA21-W21)</f>
        <v>0</v>
      </c>
      <c r="AE21">
        <f>2*0.95*5.67E-8*(((EA21+$B$7)+273)^4-(W21+273)^4)</f>
        <v>0</v>
      </c>
      <c r="AF21">
        <f>U21+AE21+AC21+AD21</f>
        <v>0</v>
      </c>
      <c r="AG21">
        <f>DX21*AU21*(DS21-DR21*(1000-AU21*DU21)/(1000-AU21*DT21))/(100*DL21)</f>
        <v>0</v>
      </c>
      <c r="AH21">
        <f>1000*DX21*AU21*(DT21-DU21)/(100*DL21*(1000-AU21*DT21))</f>
        <v>0</v>
      </c>
      <c r="AI21">
        <f>(AJ21 - AK21 - DY21*1E3/(8.314*(EA21+273.15)) * AM21/DX21 * AL21) * DX21/(100*DL21) * (1000 - DU21)/1000</f>
        <v>0</v>
      </c>
      <c r="AJ21">
        <v>428.439167280769</v>
      </c>
      <c r="AK21">
        <v>433.32863030303</v>
      </c>
      <c r="AL21">
        <v>-0.00017180532437249</v>
      </c>
      <c r="AM21">
        <v>62.9314890995317</v>
      </c>
      <c r="AN21">
        <f>(AP21 - AO21 + DY21*1E3/(8.314*(EA21+273.15)) * AR21/DX21 * AQ21) * DX21/(100*DL21) * 1000/(1000 - AP21)</f>
        <v>0</v>
      </c>
      <c r="AO21">
        <v>19.6714626095262</v>
      </c>
      <c r="AP21">
        <v>31.8309072727273</v>
      </c>
      <c r="AQ21">
        <v>-0.000555402775476382</v>
      </c>
      <c r="AR21">
        <v>102.231304413022</v>
      </c>
      <c r="AS21">
        <v>0</v>
      </c>
      <c r="AT21">
        <v>0</v>
      </c>
      <c r="AU21">
        <f>IF(AS21*$H$13&gt;=AW21,1.0,(AW21/(AW21-AS21*$H$13)))</f>
        <v>0</v>
      </c>
      <c r="AV21">
        <f>(AU21-1)*100</f>
        <v>0</v>
      </c>
      <c r="AW21">
        <f>MAX(0,($B$13+$C$13*EF21)/(1+$D$13*EF21)*DY21/(EA21+273)*$E$13)</f>
        <v>0</v>
      </c>
      <c r="AX21" t="s">
        <v>437</v>
      </c>
      <c r="AY21">
        <v>5054.09</v>
      </c>
      <c r="AZ21">
        <v>869.238461538462</v>
      </c>
      <c r="BA21">
        <v>1928.38</v>
      </c>
      <c r="BB21">
        <f>1-AZ21/BA21</f>
        <v>0</v>
      </c>
      <c r="BC21">
        <v>-3.86797898255815</v>
      </c>
      <c r="BD21" t="s">
        <v>461</v>
      </c>
      <c r="BE21">
        <v>5096.2</v>
      </c>
      <c r="BF21">
        <v>956.239538461538</v>
      </c>
      <c r="BG21">
        <v>983.358499325347</v>
      </c>
      <c r="BH21">
        <f>1-BF21/BG21</f>
        <v>0</v>
      </c>
      <c r="BI21">
        <v>0.5</v>
      </c>
      <c r="BJ21">
        <f>DI21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462</v>
      </c>
      <c r="BQ21">
        <v>875.2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BZ21">
        <v>802</v>
      </c>
      <c r="CA21">
        <v>290</v>
      </c>
      <c r="CB21">
        <v>974.74</v>
      </c>
      <c r="CC21">
        <v>285</v>
      </c>
      <c r="CD21">
        <v>5096.2</v>
      </c>
      <c r="CE21">
        <v>973.54</v>
      </c>
      <c r="CF21">
        <v>1.2</v>
      </c>
      <c r="CG21">
        <v>300</v>
      </c>
      <c r="CH21">
        <v>23.9</v>
      </c>
      <c r="CI21">
        <v>983.358499325347</v>
      </c>
      <c r="CJ21">
        <v>1.26675221609067</v>
      </c>
      <c r="CK21">
        <v>-5.00118650469087</v>
      </c>
      <c r="CL21">
        <v>0.575350499422956</v>
      </c>
      <c r="CM21">
        <v>0.729620415389027</v>
      </c>
      <c r="CN21">
        <v>-0.00347519221357063</v>
      </c>
      <c r="CO21">
        <v>290</v>
      </c>
      <c r="CP21">
        <v>973.36</v>
      </c>
      <c r="CQ21">
        <v>645</v>
      </c>
      <c r="CR21">
        <v>5094.16</v>
      </c>
      <c r="CS21">
        <v>973.54</v>
      </c>
      <c r="CT21">
        <v>-0.18</v>
      </c>
      <c r="DH21">
        <f>$B$11*EG21+$C$11*EH21+$F$11*ES21*(1-EV21)</f>
        <v>0</v>
      </c>
      <c r="DI21">
        <f>DH21*DJ21</f>
        <v>0</v>
      </c>
      <c r="DJ21">
        <f>($B$11*$D$9+$C$11*$D$9+$F$11*((FF21+EX21)/MAX(FF21+EX21+FG21, 0.1)*$I$9+FG21/MAX(FF21+EX21+FG21, 0.1)*$J$9))/($B$11+$C$11+$F$11)</f>
        <v>0</v>
      </c>
      <c r="DK21">
        <f>($B$11*$K$9+$C$11*$K$9+$F$11*((FF21+EX21)/MAX(FF21+EX21+FG21, 0.1)*$P$9+FG21/MAX(FF21+EX21+FG21, 0.1)*$Q$9))/($B$11+$C$11+$F$11)</f>
        <v>0</v>
      </c>
      <c r="DL21">
        <v>6</v>
      </c>
      <c r="DM21">
        <v>0.5</v>
      </c>
      <c r="DN21" t="s">
        <v>440</v>
      </c>
      <c r="DO21">
        <v>2</v>
      </c>
      <c r="DP21" t="b">
        <v>1</v>
      </c>
      <c r="DQ21">
        <v>1762101788.5</v>
      </c>
      <c r="DR21">
        <v>419.5379375</v>
      </c>
      <c r="DS21">
        <v>419.995125</v>
      </c>
      <c r="DT21">
        <v>31.85126875</v>
      </c>
      <c r="DU21">
        <v>19.6737125</v>
      </c>
      <c r="DV21">
        <v>411.2230625</v>
      </c>
      <c r="DW21">
        <v>31.521925</v>
      </c>
      <c r="DX21">
        <v>500.0925</v>
      </c>
      <c r="DY21">
        <v>90.89588125</v>
      </c>
      <c r="DZ21">
        <v>0.044770875</v>
      </c>
      <c r="EA21">
        <v>50.45029375</v>
      </c>
      <c r="EB21">
        <v>48.0492125</v>
      </c>
      <c r="EC21">
        <v>999.9</v>
      </c>
      <c r="ED21">
        <v>0</v>
      </c>
      <c r="EE21">
        <v>0</v>
      </c>
      <c r="EF21">
        <v>10010.965625</v>
      </c>
      <c r="EG21">
        <v>0</v>
      </c>
      <c r="EH21">
        <v>1085.64125</v>
      </c>
      <c r="EI21">
        <v>-0.457336375</v>
      </c>
      <c r="EJ21">
        <v>433.3403125</v>
      </c>
      <c r="EK21">
        <v>428.4239375</v>
      </c>
      <c r="EL21">
        <v>12.17759375</v>
      </c>
      <c r="EM21">
        <v>419.995125</v>
      </c>
      <c r="EN21">
        <v>19.6737125</v>
      </c>
      <c r="EO21">
        <v>2.895150625</v>
      </c>
      <c r="EP21">
        <v>1.788258125</v>
      </c>
      <c r="EQ21">
        <v>23.436875</v>
      </c>
      <c r="ER21">
        <v>15.68453125</v>
      </c>
      <c r="ES21">
        <v>899.978625</v>
      </c>
      <c r="ET21">
        <v>0.955996625</v>
      </c>
      <c r="EU21">
        <v>0.04400348125</v>
      </c>
      <c r="EV21">
        <v>0</v>
      </c>
      <c r="EW21">
        <v>956.33675</v>
      </c>
      <c r="EX21">
        <v>5.00016</v>
      </c>
      <c r="EY21">
        <v>9164.189375</v>
      </c>
      <c r="EZ21">
        <v>8115.58</v>
      </c>
      <c r="FA21">
        <v>54.875</v>
      </c>
      <c r="FB21">
        <v>56.7460625</v>
      </c>
      <c r="FC21">
        <v>55.63275</v>
      </c>
      <c r="FD21">
        <v>56.9685</v>
      </c>
      <c r="FE21">
        <v>58.210625</v>
      </c>
      <c r="FF21">
        <v>855.594375</v>
      </c>
      <c r="FG21">
        <v>39.38</v>
      </c>
      <c r="FH21">
        <v>0</v>
      </c>
      <c r="FI21">
        <v>98</v>
      </c>
      <c r="FJ21">
        <v>0</v>
      </c>
      <c r="FK21">
        <v>956.239538461538</v>
      </c>
      <c r="FL21">
        <v>-4.88875213453419</v>
      </c>
      <c r="FM21">
        <v>-48.6635898307447</v>
      </c>
      <c r="FN21">
        <v>9163.585</v>
      </c>
      <c r="FO21">
        <v>15</v>
      </c>
      <c r="FP21">
        <v>0</v>
      </c>
      <c r="FQ21" t="s">
        <v>441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-0.443468285714286</v>
      </c>
      <c r="GD21">
        <v>-0.227643584415585</v>
      </c>
      <c r="GE21">
        <v>0.0329628389267193</v>
      </c>
      <c r="GF21">
        <v>1</v>
      </c>
      <c r="GG21">
        <v>956.5625</v>
      </c>
      <c r="GH21">
        <v>-5.24600458448515</v>
      </c>
      <c r="GI21">
        <v>0.584912072326202</v>
      </c>
      <c r="GJ21">
        <v>-1</v>
      </c>
      <c r="GK21">
        <v>12.1849428571429</v>
      </c>
      <c r="GL21">
        <v>-0.175075324675331</v>
      </c>
      <c r="GM21">
        <v>0.0178382299844912</v>
      </c>
      <c r="GN21">
        <v>0</v>
      </c>
      <c r="GO21">
        <v>1</v>
      </c>
      <c r="GP21">
        <v>2</v>
      </c>
      <c r="GQ21" t="s">
        <v>458</v>
      </c>
      <c r="GR21">
        <v>3.12344</v>
      </c>
      <c r="GS21">
        <v>2.66986</v>
      </c>
      <c r="GT21">
        <v>0.0859507</v>
      </c>
      <c r="GU21">
        <v>0.0872156</v>
      </c>
      <c r="GV21">
        <v>0.121075</v>
      </c>
      <c r="GW21">
        <v>0.08619</v>
      </c>
      <c r="GX21">
        <v>22713.7</v>
      </c>
      <c r="GY21">
        <v>21496.8</v>
      </c>
      <c r="GZ21">
        <v>22281.4</v>
      </c>
      <c r="HA21">
        <v>22996.1</v>
      </c>
      <c r="HB21">
        <v>33528.1</v>
      </c>
      <c r="HC21">
        <v>34844.2</v>
      </c>
      <c r="HD21">
        <v>40331.7</v>
      </c>
      <c r="HE21">
        <v>41099.7</v>
      </c>
      <c r="HF21">
        <v>1.77038</v>
      </c>
      <c r="HG21">
        <v>2.12643</v>
      </c>
      <c r="HH21">
        <v>0.110067</v>
      </c>
      <c r="HI21">
        <v>0</v>
      </c>
      <c r="HJ21">
        <v>46.3241</v>
      </c>
      <c r="HK21">
        <v>999.9</v>
      </c>
      <c r="HL21">
        <v>51.837</v>
      </c>
      <c r="HM21">
        <v>26.566</v>
      </c>
      <c r="HN21">
        <v>19.8966</v>
      </c>
      <c r="HO21">
        <v>58.8336</v>
      </c>
      <c r="HP21">
        <v>23.0449</v>
      </c>
      <c r="HQ21">
        <v>2</v>
      </c>
      <c r="HR21">
        <v>1.28984</v>
      </c>
      <c r="HS21">
        <v>-3.24604</v>
      </c>
      <c r="HT21">
        <v>20.1801</v>
      </c>
      <c r="HU21">
        <v>5.22822</v>
      </c>
      <c r="HV21">
        <v>11.998</v>
      </c>
      <c r="HW21">
        <v>4.95355</v>
      </c>
      <c r="HX21">
        <v>3.30398</v>
      </c>
      <c r="HY21">
        <v>9999</v>
      </c>
      <c r="HZ21">
        <v>999.9</v>
      </c>
      <c r="IA21">
        <v>9999</v>
      </c>
      <c r="IB21">
        <v>9999</v>
      </c>
      <c r="IC21">
        <v>1.86849</v>
      </c>
      <c r="ID21">
        <v>1.86417</v>
      </c>
      <c r="IE21">
        <v>1.87181</v>
      </c>
      <c r="IF21">
        <v>1.86264</v>
      </c>
      <c r="IG21">
        <v>1.86203</v>
      </c>
      <c r="IH21">
        <v>1.86857</v>
      </c>
      <c r="II21">
        <v>1.85867</v>
      </c>
      <c r="IJ21">
        <v>1.86509</v>
      </c>
      <c r="IK21">
        <v>5</v>
      </c>
      <c r="IL21">
        <v>0</v>
      </c>
      <c r="IM21">
        <v>0</v>
      </c>
      <c r="IN21">
        <v>0</v>
      </c>
      <c r="IO21" t="s">
        <v>443</v>
      </c>
      <c r="IP21" t="s">
        <v>444</v>
      </c>
      <c r="IQ21" t="s">
        <v>445</v>
      </c>
      <c r="IR21" t="s">
        <v>445</v>
      </c>
      <c r="IS21" t="s">
        <v>445</v>
      </c>
      <c r="IT21" t="s">
        <v>445</v>
      </c>
      <c r="IU21">
        <v>0</v>
      </c>
      <c r="IV21">
        <v>100</v>
      </c>
      <c r="IW21">
        <v>100</v>
      </c>
      <c r="IX21">
        <v>8.315</v>
      </c>
      <c r="IY21">
        <v>0.3293</v>
      </c>
      <c r="IZ21">
        <v>5.63042802259986</v>
      </c>
      <c r="JA21">
        <v>0.00813484245791346</v>
      </c>
      <c r="JB21">
        <v>-4.34547228418155e-06</v>
      </c>
      <c r="JC21">
        <v>1.0644471544636e-09</v>
      </c>
      <c r="JD21">
        <v>0.329354282981013</v>
      </c>
      <c r="JE21">
        <v>0</v>
      </c>
      <c r="JF21">
        <v>0</v>
      </c>
      <c r="JG21">
        <v>0</v>
      </c>
      <c r="JH21">
        <v>-3</v>
      </c>
      <c r="JI21">
        <v>2169</v>
      </c>
      <c r="JJ21">
        <v>1</v>
      </c>
      <c r="JK21">
        <v>22</v>
      </c>
      <c r="JL21">
        <v>29368363.3</v>
      </c>
      <c r="JM21">
        <v>29368363.3</v>
      </c>
      <c r="JN21">
        <v>1.30493</v>
      </c>
      <c r="JO21">
        <v>2.34741</v>
      </c>
      <c r="JP21">
        <v>2.09839</v>
      </c>
      <c r="JQ21">
        <v>2.65259</v>
      </c>
      <c r="JR21">
        <v>2.24365</v>
      </c>
      <c r="JS21">
        <v>2.30713</v>
      </c>
      <c r="JT21">
        <v>33.6479</v>
      </c>
      <c r="JU21">
        <v>24.1488</v>
      </c>
      <c r="JV21">
        <v>18</v>
      </c>
      <c r="JW21">
        <v>559.467</v>
      </c>
      <c r="JX21">
        <v>809.122</v>
      </c>
      <c r="JY21">
        <v>54.5568</v>
      </c>
      <c r="JZ21">
        <v>43.2152</v>
      </c>
      <c r="KA21">
        <v>30.0022</v>
      </c>
      <c r="KB21">
        <v>41.5597</v>
      </c>
      <c r="KC21">
        <v>41.6208</v>
      </c>
      <c r="KD21">
        <v>26.155</v>
      </c>
      <c r="KE21">
        <v>0</v>
      </c>
      <c r="KF21">
        <v>100</v>
      </c>
      <c r="KG21">
        <v>54.5109</v>
      </c>
      <c r="KH21">
        <v>420</v>
      </c>
      <c r="KI21">
        <v>23.2649</v>
      </c>
      <c r="KJ21">
        <v>90.2643</v>
      </c>
      <c r="KK21">
        <v>95.7093</v>
      </c>
    </row>
    <row r="22" spans="1:297">
      <c r="A22">
        <v>6</v>
      </c>
      <c r="B22">
        <v>1762101899</v>
      </c>
      <c r="C22">
        <v>467.900000095367</v>
      </c>
      <c r="D22" t="s">
        <v>463</v>
      </c>
      <c r="E22" t="s">
        <v>464</v>
      </c>
      <c r="F22">
        <v>5</v>
      </c>
      <c r="G22" t="s">
        <v>435</v>
      </c>
      <c r="H22" t="s">
        <v>436</v>
      </c>
      <c r="I22">
        <v>1762101890.5</v>
      </c>
      <c r="J22">
        <f>(K22)/1000</f>
        <v>0</v>
      </c>
      <c r="K22">
        <f>IF(DP22, AN22, AH22)</f>
        <v>0</v>
      </c>
      <c r="L22">
        <f>IF(DP22, AI22, AG22)</f>
        <v>0</v>
      </c>
      <c r="M22">
        <f>DR22 - IF(AU22&gt;1, L22*DL22*100.0/(AW22), 0)</f>
        <v>0</v>
      </c>
      <c r="N22">
        <f>((T22-J22/2)*M22-L22)/(T22+J22/2)</f>
        <v>0</v>
      </c>
      <c r="O22">
        <f>N22*(DY22+DZ22)/1000.0</f>
        <v>0</v>
      </c>
      <c r="P22">
        <f>(DR22 - IF(AU22&gt;1, L22*DL22*100.0/(AW22), 0))*(DY22+DZ22)/1000.0</f>
        <v>0</v>
      </c>
      <c r="Q22">
        <f>2.0/((1/S22-1/R22)+SIGN(S22)*SQRT((1/S22-1/R22)*(1/S22-1/R22) + 4*DM22/((DM22+1)*(DM22+1))*(2*1/S22*1/R22-1/R22*1/R22)))</f>
        <v>0</v>
      </c>
      <c r="R22">
        <f>IF(LEFT(DN22,1)&lt;&gt;"0",IF(LEFT(DN22,1)="1",3.0,DO22),$D$5+$E$5*(EF22*DY22/($K$5*1000))+$F$5*(EF22*DY22/($K$5*1000))*MAX(MIN(DL22,$J$5),$I$5)*MAX(MIN(DL22,$J$5),$I$5)+$G$5*MAX(MIN(DL22,$J$5),$I$5)*(EF22*DY22/($K$5*1000))+$H$5*(EF22*DY22/($K$5*1000))*(EF22*DY22/($K$5*1000)))</f>
        <v>0</v>
      </c>
      <c r="S22">
        <f>J22*(1000-(1000*0.61365*exp(17.502*W22/(240.97+W22))/(DY22+DZ22)+DT22)/2)/(1000*0.61365*exp(17.502*W22/(240.97+W22))/(DY22+DZ22)-DT22)</f>
        <v>0</v>
      </c>
      <c r="T22">
        <f>1/((DM22+1)/(Q22/1.6)+1/(R22/1.37)) + DM22/((DM22+1)/(Q22/1.6) + DM22/(R22/1.37))</f>
        <v>0</v>
      </c>
      <c r="U22">
        <f>(DH22*DK22)</f>
        <v>0</v>
      </c>
      <c r="V22">
        <f>(EA22+(U22+2*0.95*5.67E-8*(((EA22+$B$7)+273)^4-(EA22+273)^4)-44100*J22)/(1.84*29.3*R22+8*0.95*5.67E-8*(EA22+273)^3))</f>
        <v>0</v>
      </c>
      <c r="W22">
        <f>($C$7*EB22+$D$7*EC22+$E$7*V22)</f>
        <v>0</v>
      </c>
      <c r="X22">
        <f>0.61365*exp(17.502*W22/(240.97+W22))</f>
        <v>0</v>
      </c>
      <c r="Y22">
        <f>(Z22/AA22*100)</f>
        <v>0</v>
      </c>
      <c r="Z22">
        <f>DT22*(DY22+DZ22)/1000</f>
        <v>0</v>
      </c>
      <c r="AA22">
        <f>0.61365*exp(17.502*EA22/(240.97+EA22))</f>
        <v>0</v>
      </c>
      <c r="AB22">
        <f>(X22-DT22*(DY22+DZ22)/1000)</f>
        <v>0</v>
      </c>
      <c r="AC22">
        <f>(-J22*44100)</f>
        <v>0</v>
      </c>
      <c r="AD22">
        <f>2*29.3*R22*0.92*(EA22-W22)</f>
        <v>0</v>
      </c>
      <c r="AE22">
        <f>2*0.95*5.67E-8*(((EA22+$B$7)+273)^4-(W22+273)^4)</f>
        <v>0</v>
      </c>
      <c r="AF22">
        <f>U22+AE22+AC22+AD22</f>
        <v>0</v>
      </c>
      <c r="AG22">
        <f>DX22*AU22*(DS22-DR22*(1000-AU22*DU22)/(1000-AU22*DT22))/(100*DL22)</f>
        <v>0</v>
      </c>
      <c r="AH22">
        <f>1000*DX22*AU22*(DT22-DU22)/(100*DL22*(1000-AU22*DT22))</f>
        <v>0</v>
      </c>
      <c r="AI22">
        <f>(AJ22 - AK22 - DY22*1E3/(8.314*(EA22+273.15)) * AM22/DX22 * AL22) * DX22/(100*DL22) * (1000 - DU22)/1000</f>
        <v>0</v>
      </c>
      <c r="AJ22">
        <v>428.414176105906</v>
      </c>
      <c r="AK22">
        <v>433.557242424242</v>
      </c>
      <c r="AL22">
        <v>-0.0021732213832329</v>
      </c>
      <c r="AM22">
        <v>64.2610888897737</v>
      </c>
      <c r="AN22">
        <f>(AP22 - AO22 + DY22*1E3/(8.314*(EA22+273.15)) * AR22/DX22 * AQ22) * DX22/(100*DL22) * 1000/(1000 - AP22)</f>
        <v>0</v>
      </c>
      <c r="AO22">
        <v>19.6425608844969</v>
      </c>
      <c r="AP22">
        <v>31.2108321212121</v>
      </c>
      <c r="AQ22">
        <v>-0.000229652403158407</v>
      </c>
      <c r="AR22">
        <v>106.227059754639</v>
      </c>
      <c r="AS22">
        <v>0</v>
      </c>
      <c r="AT22">
        <v>0</v>
      </c>
      <c r="AU22">
        <f>IF(AS22*$H$13&gt;=AW22,1.0,(AW22/(AW22-AS22*$H$13)))</f>
        <v>0</v>
      </c>
      <c r="AV22">
        <f>(AU22-1)*100</f>
        <v>0</v>
      </c>
      <c r="AW22">
        <f>MAX(0,($B$13+$C$13*EF22)/(1+$D$13*EF22)*DY22/(EA22+273)*$E$13)</f>
        <v>0</v>
      </c>
      <c r="AX22" t="s">
        <v>437</v>
      </c>
      <c r="AY22">
        <v>5054.09</v>
      </c>
      <c r="AZ22">
        <v>869.238461538462</v>
      </c>
      <c r="BA22">
        <v>1928.38</v>
      </c>
      <c r="BB22">
        <f>1-AZ22/BA22</f>
        <v>0</v>
      </c>
      <c r="BC22">
        <v>-3.86797898255815</v>
      </c>
      <c r="BD22" t="s">
        <v>465</v>
      </c>
      <c r="BE22">
        <v>5102.69</v>
      </c>
      <c r="BF22">
        <v>940.388807692308</v>
      </c>
      <c r="BG22">
        <v>979.924938882343</v>
      </c>
      <c r="BH22">
        <f>1-BF22/BG22</f>
        <v>0</v>
      </c>
      <c r="BI22">
        <v>0.5</v>
      </c>
      <c r="BJ22">
        <f>DI22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466</v>
      </c>
      <c r="BQ22">
        <v>874.27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BZ22">
        <v>804</v>
      </c>
      <c r="CA22">
        <v>290</v>
      </c>
      <c r="CB22">
        <v>971.76</v>
      </c>
      <c r="CC22">
        <v>285</v>
      </c>
      <c r="CD22">
        <v>5102.69</v>
      </c>
      <c r="CE22">
        <v>971.05</v>
      </c>
      <c r="CF22">
        <v>0.71</v>
      </c>
      <c r="CG22">
        <v>300</v>
      </c>
      <c r="CH22">
        <v>23.9</v>
      </c>
      <c r="CI22">
        <v>979.924938882343</v>
      </c>
      <c r="CJ22">
        <v>1.48025231954134</v>
      </c>
      <c r="CK22">
        <v>-4.52915230391088</v>
      </c>
      <c r="CL22">
        <v>0.666869161525627</v>
      </c>
      <c r="CM22">
        <v>0.622268465461062</v>
      </c>
      <c r="CN22">
        <v>-0.00373093681868743</v>
      </c>
      <c r="CO22">
        <v>290</v>
      </c>
      <c r="CP22">
        <v>970.51</v>
      </c>
      <c r="CQ22">
        <v>625</v>
      </c>
      <c r="CR22">
        <v>5100.77</v>
      </c>
      <c r="CS22">
        <v>971.05</v>
      </c>
      <c r="CT22">
        <v>-0.54</v>
      </c>
      <c r="DH22">
        <f>$B$11*EG22+$C$11*EH22+$F$11*ES22*(1-EV22)</f>
        <v>0</v>
      </c>
      <c r="DI22">
        <f>DH22*DJ22</f>
        <v>0</v>
      </c>
      <c r="DJ22">
        <f>($B$11*$D$9+$C$11*$D$9+$F$11*((FF22+EX22)/MAX(FF22+EX22+FG22, 0.1)*$I$9+FG22/MAX(FF22+EX22+FG22, 0.1)*$J$9))/($B$11+$C$11+$F$11)</f>
        <v>0</v>
      </c>
      <c r="DK22">
        <f>($B$11*$K$9+$C$11*$K$9+$F$11*((FF22+EX22)/MAX(FF22+EX22+FG22, 0.1)*$P$9+FG22/MAX(FF22+EX22+FG22, 0.1)*$Q$9))/($B$11+$C$11+$F$11)</f>
        <v>0</v>
      </c>
      <c r="DL22">
        <v>6</v>
      </c>
      <c r="DM22">
        <v>0.5</v>
      </c>
      <c r="DN22" t="s">
        <v>440</v>
      </c>
      <c r="DO22">
        <v>2</v>
      </c>
      <c r="DP22" t="b">
        <v>1</v>
      </c>
      <c r="DQ22">
        <v>1762101890.5</v>
      </c>
      <c r="DR22">
        <v>420.0378125</v>
      </c>
      <c r="DS22">
        <v>419.9913125</v>
      </c>
      <c r="DT22">
        <v>31.23075625</v>
      </c>
      <c r="DU22">
        <v>19.6439625</v>
      </c>
      <c r="DV22">
        <v>411.7205</v>
      </c>
      <c r="DW22">
        <v>30.9014125</v>
      </c>
      <c r="DX22">
        <v>500.02325</v>
      </c>
      <c r="DY22">
        <v>90.8961625</v>
      </c>
      <c r="DZ22">
        <v>0.0456066</v>
      </c>
      <c r="EA22">
        <v>50.5620875</v>
      </c>
      <c r="EB22">
        <v>47.99165</v>
      </c>
      <c r="EC22">
        <v>999.9</v>
      </c>
      <c r="ED22">
        <v>0</v>
      </c>
      <c r="EE22">
        <v>0</v>
      </c>
      <c r="EF22">
        <v>9999.45625</v>
      </c>
      <c r="EG22">
        <v>0</v>
      </c>
      <c r="EH22">
        <v>1084.893125</v>
      </c>
      <c r="EI22">
        <v>0.04658892</v>
      </c>
      <c r="EJ22">
        <v>433.579</v>
      </c>
      <c r="EK22">
        <v>428.407</v>
      </c>
      <c r="EL22">
        <v>11.58679375</v>
      </c>
      <c r="EM22">
        <v>419.9913125</v>
      </c>
      <c r="EN22">
        <v>19.6439625</v>
      </c>
      <c r="EO22">
        <v>2.83875625</v>
      </c>
      <c r="EP22">
        <v>1.7855625</v>
      </c>
      <c r="EQ22">
        <v>23.11120625</v>
      </c>
      <c r="ER22">
        <v>15.6609625</v>
      </c>
      <c r="ES22">
        <v>600.0115625</v>
      </c>
      <c r="ET22">
        <v>0.9329941875</v>
      </c>
      <c r="EU22">
        <v>0.06700593125</v>
      </c>
      <c r="EV22">
        <v>0</v>
      </c>
      <c r="EW22">
        <v>940.428375</v>
      </c>
      <c r="EX22">
        <v>5.00016</v>
      </c>
      <c r="EY22">
        <v>6085.6625</v>
      </c>
      <c r="EZ22">
        <v>5354.430625</v>
      </c>
      <c r="FA22">
        <v>54.687</v>
      </c>
      <c r="FB22">
        <v>57.042625</v>
      </c>
      <c r="FC22">
        <v>55.75</v>
      </c>
      <c r="FD22">
        <v>57.269375</v>
      </c>
      <c r="FE22">
        <v>58.187</v>
      </c>
      <c r="FF22">
        <v>555.141875</v>
      </c>
      <c r="FG22">
        <v>39.87125</v>
      </c>
      <c r="FH22">
        <v>0</v>
      </c>
      <c r="FI22">
        <v>98.4000000953674</v>
      </c>
      <c r="FJ22">
        <v>0</v>
      </c>
      <c r="FK22">
        <v>940.388807692308</v>
      </c>
      <c r="FL22">
        <v>-2.79921366142888</v>
      </c>
      <c r="FM22">
        <v>-23.4420513467043</v>
      </c>
      <c r="FN22">
        <v>6084.82923076923</v>
      </c>
      <c r="FO22">
        <v>15</v>
      </c>
      <c r="FP22">
        <v>0</v>
      </c>
      <c r="FQ22" t="s">
        <v>441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0.059481796</v>
      </c>
      <c r="GD22">
        <v>-0.235390821654135</v>
      </c>
      <c r="GE22">
        <v>0.0483113380048918</v>
      </c>
      <c r="GF22">
        <v>1</v>
      </c>
      <c r="GG22">
        <v>940.694823529412</v>
      </c>
      <c r="GH22">
        <v>-3.45873185632624</v>
      </c>
      <c r="GI22">
        <v>0.396830195615512</v>
      </c>
      <c r="GJ22">
        <v>-1</v>
      </c>
      <c r="GK22">
        <v>11.59536</v>
      </c>
      <c r="GL22">
        <v>-0.164923308270662</v>
      </c>
      <c r="GM22">
        <v>0.0160136004696008</v>
      </c>
      <c r="GN22">
        <v>0</v>
      </c>
      <c r="GO22">
        <v>1</v>
      </c>
      <c r="GP22">
        <v>2</v>
      </c>
      <c r="GQ22" t="s">
        <v>458</v>
      </c>
      <c r="GR22">
        <v>3.12348</v>
      </c>
      <c r="GS22">
        <v>2.67083</v>
      </c>
      <c r="GT22">
        <v>0.0859031</v>
      </c>
      <c r="GU22">
        <v>0.0870863</v>
      </c>
      <c r="GV22">
        <v>0.119267</v>
      </c>
      <c r="GW22">
        <v>0.0859786</v>
      </c>
      <c r="GX22">
        <v>22679.2</v>
      </c>
      <c r="GY22">
        <v>21473.7</v>
      </c>
      <c r="GZ22">
        <v>22248.5</v>
      </c>
      <c r="HA22">
        <v>22970.4</v>
      </c>
      <c r="HB22">
        <v>33553.6</v>
      </c>
      <c r="HC22">
        <v>34817.3</v>
      </c>
      <c r="HD22">
        <v>40279.7</v>
      </c>
      <c r="HE22">
        <v>41059.2</v>
      </c>
      <c r="HF22">
        <v>1.76537</v>
      </c>
      <c r="HG22">
        <v>2.11855</v>
      </c>
      <c r="HH22">
        <v>0.0973046</v>
      </c>
      <c r="HI22">
        <v>0</v>
      </c>
      <c r="HJ22">
        <v>46.4594</v>
      </c>
      <c r="HK22">
        <v>999.9</v>
      </c>
      <c r="HL22">
        <v>51.715</v>
      </c>
      <c r="HM22">
        <v>26.576</v>
      </c>
      <c r="HN22">
        <v>19.8614</v>
      </c>
      <c r="HO22">
        <v>59.1636</v>
      </c>
      <c r="HP22">
        <v>23.0288</v>
      </c>
      <c r="HQ22">
        <v>2</v>
      </c>
      <c r="HR22">
        <v>1.33093</v>
      </c>
      <c r="HS22">
        <v>-2.49698</v>
      </c>
      <c r="HT22">
        <v>20.1937</v>
      </c>
      <c r="HU22">
        <v>5.22687</v>
      </c>
      <c r="HV22">
        <v>11.998</v>
      </c>
      <c r="HW22">
        <v>4.95375</v>
      </c>
      <c r="HX22">
        <v>3.304</v>
      </c>
      <c r="HY22">
        <v>9999</v>
      </c>
      <c r="HZ22">
        <v>999.9</v>
      </c>
      <c r="IA22">
        <v>9999</v>
      </c>
      <c r="IB22">
        <v>9999</v>
      </c>
      <c r="IC22">
        <v>1.86844</v>
      </c>
      <c r="ID22">
        <v>1.86417</v>
      </c>
      <c r="IE22">
        <v>1.8718</v>
      </c>
      <c r="IF22">
        <v>1.86264</v>
      </c>
      <c r="IG22">
        <v>1.86203</v>
      </c>
      <c r="IH22">
        <v>1.86857</v>
      </c>
      <c r="II22">
        <v>1.85867</v>
      </c>
      <c r="IJ22">
        <v>1.86508</v>
      </c>
      <c r="IK22">
        <v>5</v>
      </c>
      <c r="IL22">
        <v>0</v>
      </c>
      <c r="IM22">
        <v>0</v>
      </c>
      <c r="IN22">
        <v>0</v>
      </c>
      <c r="IO22" t="s">
        <v>443</v>
      </c>
      <c r="IP22" t="s">
        <v>444</v>
      </c>
      <c r="IQ22" t="s">
        <v>445</v>
      </c>
      <c r="IR22" t="s">
        <v>445</v>
      </c>
      <c r="IS22" t="s">
        <v>445</v>
      </c>
      <c r="IT22" t="s">
        <v>445</v>
      </c>
      <c r="IU22">
        <v>0</v>
      </c>
      <c r="IV22">
        <v>100</v>
      </c>
      <c r="IW22">
        <v>100</v>
      </c>
      <c r="IX22">
        <v>8.318</v>
      </c>
      <c r="IY22">
        <v>0.3293</v>
      </c>
      <c r="IZ22">
        <v>5.63042802259986</v>
      </c>
      <c r="JA22">
        <v>0.00813484245791346</v>
      </c>
      <c r="JB22">
        <v>-4.34547228418155e-06</v>
      </c>
      <c r="JC22">
        <v>1.0644471544636e-09</v>
      </c>
      <c r="JD22">
        <v>0.329354282981013</v>
      </c>
      <c r="JE22">
        <v>0</v>
      </c>
      <c r="JF22">
        <v>0</v>
      </c>
      <c r="JG22">
        <v>0</v>
      </c>
      <c r="JH22">
        <v>-3</v>
      </c>
      <c r="JI22">
        <v>2169</v>
      </c>
      <c r="JJ22">
        <v>1</v>
      </c>
      <c r="JK22">
        <v>22</v>
      </c>
      <c r="JL22">
        <v>29368365</v>
      </c>
      <c r="JM22">
        <v>29368365</v>
      </c>
      <c r="JN22">
        <v>1.30493</v>
      </c>
      <c r="JO22">
        <v>2.35229</v>
      </c>
      <c r="JP22">
        <v>2.09839</v>
      </c>
      <c r="JQ22">
        <v>2.65259</v>
      </c>
      <c r="JR22">
        <v>2.24365</v>
      </c>
      <c r="JS22">
        <v>2.27295</v>
      </c>
      <c r="JT22">
        <v>33.6705</v>
      </c>
      <c r="JU22">
        <v>24.1663</v>
      </c>
      <c r="JV22">
        <v>18</v>
      </c>
      <c r="JW22">
        <v>560.08</v>
      </c>
      <c r="JX22">
        <v>807.988</v>
      </c>
      <c r="JY22">
        <v>55.222</v>
      </c>
      <c r="JZ22">
        <v>43.7375</v>
      </c>
      <c r="KA22">
        <v>29.9997</v>
      </c>
      <c r="KB22">
        <v>42.1622</v>
      </c>
      <c r="KC22">
        <v>42.2243</v>
      </c>
      <c r="KD22">
        <v>26.1654</v>
      </c>
      <c r="KE22">
        <v>0</v>
      </c>
      <c r="KF22">
        <v>100</v>
      </c>
      <c r="KG22">
        <v>55.0067</v>
      </c>
      <c r="KH22">
        <v>420</v>
      </c>
      <c r="KI22">
        <v>23.2649</v>
      </c>
      <c r="KJ22">
        <v>90.142</v>
      </c>
      <c r="KK22">
        <v>95.6105</v>
      </c>
    </row>
    <row r="23" spans="1:297">
      <c r="A23">
        <v>7</v>
      </c>
      <c r="B23">
        <v>1762101997</v>
      </c>
      <c r="C23">
        <v>565.900000095367</v>
      </c>
      <c r="D23" t="s">
        <v>467</v>
      </c>
      <c r="E23" t="s">
        <v>468</v>
      </c>
      <c r="F23">
        <v>5</v>
      </c>
      <c r="G23" t="s">
        <v>435</v>
      </c>
      <c r="H23" t="s">
        <v>436</v>
      </c>
      <c r="I23">
        <v>1762101988.5</v>
      </c>
      <c r="J23">
        <f>(K23)/1000</f>
        <v>0</v>
      </c>
      <c r="K23">
        <f>IF(DP23, AN23, AH23)</f>
        <v>0</v>
      </c>
      <c r="L23">
        <f>IF(DP23, AI23, AG23)</f>
        <v>0</v>
      </c>
      <c r="M23">
        <f>DR23 - IF(AU23&gt;1, L23*DL23*100.0/(AW23), 0)</f>
        <v>0</v>
      </c>
      <c r="N23">
        <f>((T23-J23/2)*M23-L23)/(T23+J23/2)</f>
        <v>0</v>
      </c>
      <c r="O23">
        <f>N23*(DY23+DZ23)/1000.0</f>
        <v>0</v>
      </c>
      <c r="P23">
        <f>(DR23 - IF(AU23&gt;1, L23*DL23*100.0/(AW23), 0))*(DY23+DZ23)/1000.0</f>
        <v>0</v>
      </c>
      <c r="Q23">
        <f>2.0/((1/S23-1/R23)+SIGN(S23)*SQRT((1/S23-1/R23)*(1/S23-1/R23) + 4*DM23/((DM23+1)*(DM23+1))*(2*1/S23*1/R23-1/R23*1/R23)))</f>
        <v>0</v>
      </c>
      <c r="R23">
        <f>IF(LEFT(DN23,1)&lt;&gt;"0",IF(LEFT(DN23,1)="1",3.0,DO23),$D$5+$E$5*(EF23*DY23/($K$5*1000))+$F$5*(EF23*DY23/($K$5*1000))*MAX(MIN(DL23,$J$5),$I$5)*MAX(MIN(DL23,$J$5),$I$5)+$G$5*MAX(MIN(DL23,$J$5),$I$5)*(EF23*DY23/($K$5*1000))+$H$5*(EF23*DY23/($K$5*1000))*(EF23*DY23/($K$5*1000)))</f>
        <v>0</v>
      </c>
      <c r="S23">
        <f>J23*(1000-(1000*0.61365*exp(17.502*W23/(240.97+W23))/(DY23+DZ23)+DT23)/2)/(1000*0.61365*exp(17.502*W23/(240.97+W23))/(DY23+DZ23)-DT23)</f>
        <v>0</v>
      </c>
      <c r="T23">
        <f>1/((DM23+1)/(Q23/1.6)+1/(R23/1.37)) + DM23/((DM23+1)/(Q23/1.6) + DM23/(R23/1.37))</f>
        <v>0</v>
      </c>
      <c r="U23">
        <f>(DH23*DK23)</f>
        <v>0</v>
      </c>
      <c r="V23">
        <f>(EA23+(U23+2*0.95*5.67E-8*(((EA23+$B$7)+273)^4-(EA23+273)^4)-44100*J23)/(1.84*29.3*R23+8*0.95*5.67E-8*(EA23+273)^3))</f>
        <v>0</v>
      </c>
      <c r="W23">
        <f>($C$7*EB23+$D$7*EC23+$E$7*V23)</f>
        <v>0</v>
      </c>
      <c r="X23">
        <f>0.61365*exp(17.502*W23/(240.97+W23))</f>
        <v>0</v>
      </c>
      <c r="Y23">
        <f>(Z23/AA23*100)</f>
        <v>0</v>
      </c>
      <c r="Z23">
        <f>DT23*(DY23+DZ23)/1000</f>
        <v>0</v>
      </c>
      <c r="AA23">
        <f>0.61365*exp(17.502*EA23/(240.97+EA23))</f>
        <v>0</v>
      </c>
      <c r="AB23">
        <f>(X23-DT23*(DY23+DZ23)/1000)</f>
        <v>0</v>
      </c>
      <c r="AC23">
        <f>(-J23*44100)</f>
        <v>0</v>
      </c>
      <c r="AD23">
        <f>2*29.3*R23*0.92*(EA23-W23)</f>
        <v>0</v>
      </c>
      <c r="AE23">
        <f>2*0.95*5.67E-8*(((EA23+$B$7)+273)^4-(W23+273)^4)</f>
        <v>0</v>
      </c>
      <c r="AF23">
        <f>U23+AE23+AC23+AD23</f>
        <v>0</v>
      </c>
      <c r="AG23">
        <f>DX23*AU23*(DS23-DR23*(1000-AU23*DU23)/(1000-AU23*DT23))/(100*DL23)</f>
        <v>0</v>
      </c>
      <c r="AH23">
        <f>1000*DX23*AU23*(DT23-DU23)/(100*DL23*(1000-AU23*DT23))</f>
        <v>0</v>
      </c>
      <c r="AI23">
        <f>(AJ23 - AK23 - DY23*1E3/(8.314*(EA23+273.15)) * AM23/DX23 * AL23) * DX23/(100*DL23) * (1000 - DU23)/1000</f>
        <v>0</v>
      </c>
      <c r="AJ23">
        <v>428.367980944629</v>
      </c>
      <c r="AK23">
        <v>434.002072727273</v>
      </c>
      <c r="AL23">
        <v>-0.00994681903262021</v>
      </c>
      <c r="AM23">
        <v>64.2610888897737</v>
      </c>
      <c r="AN23">
        <f>(AP23 - AO23 + DY23*1E3/(8.314*(EA23+273.15)) * AR23/DX23 * AQ23) * DX23/(100*DL23) * 1000/(1000 - AP23)</f>
        <v>0</v>
      </c>
      <c r="AO23">
        <v>19.6160953707264</v>
      </c>
      <c r="AP23">
        <v>30.6423751515151</v>
      </c>
      <c r="AQ23">
        <v>-0.00013103571995172</v>
      </c>
      <c r="AR23">
        <v>106.227059754639</v>
      </c>
      <c r="AS23">
        <v>0</v>
      </c>
      <c r="AT23">
        <v>0</v>
      </c>
      <c r="AU23">
        <f>IF(AS23*$H$13&gt;=AW23,1.0,(AW23/(AW23-AS23*$H$13)))</f>
        <v>0</v>
      </c>
      <c r="AV23">
        <f>(AU23-1)*100</f>
        <v>0</v>
      </c>
      <c r="AW23">
        <f>MAX(0,($B$13+$C$13*EF23)/(1+$D$13*EF23)*DY23/(EA23+273)*$E$13)</f>
        <v>0</v>
      </c>
      <c r="AX23" t="s">
        <v>437</v>
      </c>
      <c r="AY23">
        <v>5054.09</v>
      </c>
      <c r="AZ23">
        <v>869.238461538462</v>
      </c>
      <c r="BA23">
        <v>1928.38</v>
      </c>
      <c r="BB23">
        <f>1-AZ23/BA23</f>
        <v>0</v>
      </c>
      <c r="BC23">
        <v>-3.86797898255815</v>
      </c>
      <c r="BD23" t="s">
        <v>469</v>
      </c>
      <c r="BE23">
        <v>5097.85</v>
      </c>
      <c r="BF23">
        <v>921.893038461538</v>
      </c>
      <c r="BG23">
        <v>997.207857197967</v>
      </c>
      <c r="BH23">
        <f>1-BF23/BG23</f>
        <v>0</v>
      </c>
      <c r="BI23">
        <v>0.5</v>
      </c>
      <c r="BJ23">
        <f>DI23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470</v>
      </c>
      <c r="BQ23">
        <v>866.67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BZ23">
        <v>806</v>
      </c>
      <c r="CA23">
        <v>290</v>
      </c>
      <c r="CB23">
        <v>985.6</v>
      </c>
      <c r="CC23">
        <v>285</v>
      </c>
      <c r="CD23">
        <v>5097.85</v>
      </c>
      <c r="CE23">
        <v>985.54</v>
      </c>
      <c r="CF23">
        <v>0.06</v>
      </c>
      <c r="CG23">
        <v>300</v>
      </c>
      <c r="CH23">
        <v>24</v>
      </c>
      <c r="CI23">
        <v>997.207857197967</v>
      </c>
      <c r="CJ23">
        <v>1.19850980179903</v>
      </c>
      <c r="CK23">
        <v>-5.94952370375075</v>
      </c>
      <c r="CL23">
        <v>0.534272768844511</v>
      </c>
      <c r="CM23">
        <v>0.815795229585854</v>
      </c>
      <c r="CN23">
        <v>-0.00397843715239155</v>
      </c>
      <c r="CO23">
        <v>290</v>
      </c>
      <c r="CP23">
        <v>984.36</v>
      </c>
      <c r="CQ23">
        <v>625</v>
      </c>
      <c r="CR23">
        <v>5095.86</v>
      </c>
      <c r="CS23">
        <v>985.53</v>
      </c>
      <c r="CT23">
        <v>-1.17</v>
      </c>
      <c r="DH23">
        <f>$B$11*EG23+$C$11*EH23+$F$11*ES23*(1-EV23)</f>
        <v>0</v>
      </c>
      <c r="DI23">
        <f>DH23*DJ23</f>
        <v>0</v>
      </c>
      <c r="DJ23">
        <f>($B$11*$D$9+$C$11*$D$9+$F$11*((FF23+EX23)/MAX(FF23+EX23+FG23, 0.1)*$I$9+FG23/MAX(FF23+EX23+FG23, 0.1)*$J$9))/($B$11+$C$11+$F$11)</f>
        <v>0</v>
      </c>
      <c r="DK23">
        <f>($B$11*$K$9+$C$11*$K$9+$F$11*((FF23+EX23)/MAX(FF23+EX23+FG23, 0.1)*$P$9+FG23/MAX(FF23+EX23+FG23, 0.1)*$Q$9))/($B$11+$C$11+$F$11)</f>
        <v>0</v>
      </c>
      <c r="DL23">
        <v>6</v>
      </c>
      <c r="DM23">
        <v>0.5</v>
      </c>
      <c r="DN23" t="s">
        <v>440</v>
      </c>
      <c r="DO23">
        <v>2</v>
      </c>
      <c r="DP23" t="b">
        <v>1</v>
      </c>
      <c r="DQ23">
        <v>1762101988.5</v>
      </c>
      <c r="DR23">
        <v>420.7675625</v>
      </c>
      <c r="DS23">
        <v>419.9809375</v>
      </c>
      <c r="DT23">
        <v>30.65594375</v>
      </c>
      <c r="DU23">
        <v>19.61748125</v>
      </c>
      <c r="DV23">
        <v>412.446375</v>
      </c>
      <c r="DW23">
        <v>30.3265625</v>
      </c>
      <c r="DX23">
        <v>499.9951875</v>
      </c>
      <c r="DY23">
        <v>90.90173125</v>
      </c>
      <c r="DZ23">
        <v>0.04615075</v>
      </c>
      <c r="EA23">
        <v>50.7152</v>
      </c>
      <c r="EB23">
        <v>47.96111875</v>
      </c>
      <c r="EC23">
        <v>999.9</v>
      </c>
      <c r="ED23">
        <v>0</v>
      </c>
      <c r="EE23">
        <v>0</v>
      </c>
      <c r="EF23">
        <v>9992.31</v>
      </c>
      <c r="EG23">
        <v>0</v>
      </c>
      <c r="EH23">
        <v>1084.3125</v>
      </c>
      <c r="EI23">
        <v>0.7864685625</v>
      </c>
      <c r="EJ23">
        <v>434.0744375</v>
      </c>
      <c r="EK23">
        <v>428.384875</v>
      </c>
      <c r="EL23">
        <v>11.0384375</v>
      </c>
      <c r="EM23">
        <v>419.9809375</v>
      </c>
      <c r="EN23">
        <v>19.61748125</v>
      </c>
      <c r="EO23">
        <v>2.786676875</v>
      </c>
      <c r="EP23">
        <v>1.7832625</v>
      </c>
      <c r="EQ23">
        <v>22.8053875</v>
      </c>
      <c r="ER23">
        <v>15.64085625</v>
      </c>
      <c r="ES23">
        <v>300.024625</v>
      </c>
      <c r="ET23">
        <v>0.8999969375</v>
      </c>
      <c r="EU23">
        <v>0.1000028375</v>
      </c>
      <c r="EV23">
        <v>0</v>
      </c>
      <c r="EW23">
        <v>921.9718125</v>
      </c>
      <c r="EX23">
        <v>5.00016</v>
      </c>
      <c r="EY23">
        <v>3094.871875</v>
      </c>
      <c r="EZ23">
        <v>2625.670625</v>
      </c>
      <c r="FA23">
        <v>54.3316875</v>
      </c>
      <c r="FB23">
        <v>57.13275</v>
      </c>
      <c r="FC23">
        <v>55.683125</v>
      </c>
      <c r="FD23">
        <v>57.375</v>
      </c>
      <c r="FE23">
        <v>58.0155</v>
      </c>
      <c r="FF23">
        <v>265.5225</v>
      </c>
      <c r="FG23">
        <v>29.5</v>
      </c>
      <c r="FH23">
        <v>0</v>
      </c>
      <c r="FI23">
        <v>93.7999999523163</v>
      </c>
      <c r="FJ23">
        <v>0</v>
      </c>
      <c r="FK23">
        <v>921.893038461538</v>
      </c>
      <c r="FL23">
        <v>-0.909709412702317</v>
      </c>
      <c r="FM23">
        <v>-11.4892308269045</v>
      </c>
      <c r="FN23">
        <v>3094.82846153846</v>
      </c>
      <c r="FO23">
        <v>15</v>
      </c>
      <c r="FP23">
        <v>0</v>
      </c>
      <c r="FQ23" t="s">
        <v>441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0.7830628</v>
      </c>
      <c r="GD23">
        <v>0.26684372932331</v>
      </c>
      <c r="GE23">
        <v>0.0616629459810347</v>
      </c>
      <c r="GF23">
        <v>1</v>
      </c>
      <c r="GG23">
        <v>922.0625</v>
      </c>
      <c r="GH23">
        <v>-2.16362109269336</v>
      </c>
      <c r="GI23">
        <v>0.31018820188433</v>
      </c>
      <c r="GJ23">
        <v>-1</v>
      </c>
      <c r="GK23">
        <v>11.043655</v>
      </c>
      <c r="GL23">
        <v>-0.0937578947368353</v>
      </c>
      <c r="GM23">
        <v>0.0100186563470358</v>
      </c>
      <c r="GN23">
        <v>1</v>
      </c>
      <c r="GO23">
        <v>2</v>
      </c>
      <c r="GP23">
        <v>2</v>
      </c>
      <c r="GQ23" t="s">
        <v>442</v>
      </c>
      <c r="GR23">
        <v>3.12325</v>
      </c>
      <c r="GS23">
        <v>2.67167</v>
      </c>
      <c r="GT23">
        <v>0.0859144</v>
      </c>
      <c r="GU23">
        <v>0.0869876</v>
      </c>
      <c r="GV23">
        <v>0.117603</v>
      </c>
      <c r="GW23">
        <v>0.0858002</v>
      </c>
      <c r="GX23">
        <v>22650.4</v>
      </c>
      <c r="GY23">
        <v>21455.8</v>
      </c>
      <c r="GZ23">
        <v>22222.2</v>
      </c>
      <c r="HA23">
        <v>22950.6</v>
      </c>
      <c r="HB23">
        <v>33582</v>
      </c>
      <c r="HC23">
        <v>34796.8</v>
      </c>
      <c r="HD23">
        <v>40238.2</v>
      </c>
      <c r="HE23">
        <v>41027.7</v>
      </c>
      <c r="HF23">
        <v>1.7611</v>
      </c>
      <c r="HG23">
        <v>2.11255</v>
      </c>
      <c r="HH23">
        <v>0.0903085</v>
      </c>
      <c r="HI23">
        <v>0</v>
      </c>
      <c r="HJ23">
        <v>46.582</v>
      </c>
      <c r="HK23">
        <v>999.9</v>
      </c>
      <c r="HL23">
        <v>51.593</v>
      </c>
      <c r="HM23">
        <v>26.596</v>
      </c>
      <c r="HN23">
        <v>19.8358</v>
      </c>
      <c r="HO23">
        <v>59.0536</v>
      </c>
      <c r="HP23">
        <v>22.9607</v>
      </c>
      <c r="HQ23">
        <v>2</v>
      </c>
      <c r="HR23">
        <v>1.36997</v>
      </c>
      <c r="HS23">
        <v>-4.24447</v>
      </c>
      <c r="HT23">
        <v>20.1656</v>
      </c>
      <c r="HU23">
        <v>5.22882</v>
      </c>
      <c r="HV23">
        <v>11.998</v>
      </c>
      <c r="HW23">
        <v>4.9538</v>
      </c>
      <c r="HX23">
        <v>3.30398</v>
      </c>
      <c r="HY23">
        <v>9999</v>
      </c>
      <c r="HZ23">
        <v>999.9</v>
      </c>
      <c r="IA23">
        <v>9999</v>
      </c>
      <c r="IB23">
        <v>9999</v>
      </c>
      <c r="IC23">
        <v>1.86846</v>
      </c>
      <c r="ID23">
        <v>1.86417</v>
      </c>
      <c r="IE23">
        <v>1.87185</v>
      </c>
      <c r="IF23">
        <v>1.86264</v>
      </c>
      <c r="IG23">
        <v>1.86203</v>
      </c>
      <c r="IH23">
        <v>1.86856</v>
      </c>
      <c r="II23">
        <v>1.85867</v>
      </c>
      <c r="IJ23">
        <v>1.86508</v>
      </c>
      <c r="IK23">
        <v>5</v>
      </c>
      <c r="IL23">
        <v>0</v>
      </c>
      <c r="IM23">
        <v>0</v>
      </c>
      <c r="IN23">
        <v>0</v>
      </c>
      <c r="IO23" t="s">
        <v>443</v>
      </c>
      <c r="IP23" t="s">
        <v>444</v>
      </c>
      <c r="IQ23" t="s">
        <v>445</v>
      </c>
      <c r="IR23" t="s">
        <v>445</v>
      </c>
      <c r="IS23" t="s">
        <v>445</v>
      </c>
      <c r="IT23" t="s">
        <v>445</v>
      </c>
      <c r="IU23">
        <v>0</v>
      </c>
      <c r="IV23">
        <v>100</v>
      </c>
      <c r="IW23">
        <v>100</v>
      </c>
      <c r="IX23">
        <v>8.321</v>
      </c>
      <c r="IY23">
        <v>0.3293</v>
      </c>
      <c r="IZ23">
        <v>5.63042802259986</v>
      </c>
      <c r="JA23">
        <v>0.00813484245791346</v>
      </c>
      <c r="JB23">
        <v>-4.34547228418155e-06</v>
      </c>
      <c r="JC23">
        <v>1.0644471544636e-09</v>
      </c>
      <c r="JD23">
        <v>0.329354282981013</v>
      </c>
      <c r="JE23">
        <v>0</v>
      </c>
      <c r="JF23">
        <v>0</v>
      </c>
      <c r="JG23">
        <v>0</v>
      </c>
      <c r="JH23">
        <v>-3</v>
      </c>
      <c r="JI23">
        <v>2169</v>
      </c>
      <c r="JJ23">
        <v>1</v>
      </c>
      <c r="JK23">
        <v>22</v>
      </c>
      <c r="JL23">
        <v>29368366.6</v>
      </c>
      <c r="JM23">
        <v>29368366.6</v>
      </c>
      <c r="JN23">
        <v>1.30615</v>
      </c>
      <c r="JO23">
        <v>2.34985</v>
      </c>
      <c r="JP23">
        <v>2.09839</v>
      </c>
      <c r="JQ23">
        <v>2.65259</v>
      </c>
      <c r="JR23">
        <v>2.24365</v>
      </c>
      <c r="JS23">
        <v>2.38525</v>
      </c>
      <c r="JT23">
        <v>33.7155</v>
      </c>
      <c r="JU23">
        <v>24.1663</v>
      </c>
      <c r="JV23">
        <v>18</v>
      </c>
      <c r="JW23">
        <v>560.436</v>
      </c>
      <c r="JX23">
        <v>807.483</v>
      </c>
      <c r="JY23">
        <v>56.5549</v>
      </c>
      <c r="JZ23">
        <v>44.1607</v>
      </c>
      <c r="KA23">
        <v>30.0013</v>
      </c>
      <c r="KB23">
        <v>42.6581</v>
      </c>
      <c r="KC23">
        <v>42.7203</v>
      </c>
      <c r="KD23">
        <v>26.1783</v>
      </c>
      <c r="KE23">
        <v>0</v>
      </c>
      <c r="KF23">
        <v>100</v>
      </c>
      <c r="KG23">
        <v>56.5343</v>
      </c>
      <c r="KH23">
        <v>420</v>
      </c>
      <c r="KI23">
        <v>23.2649</v>
      </c>
      <c r="KJ23">
        <v>90.0442</v>
      </c>
      <c r="KK23">
        <v>95.5339</v>
      </c>
    </row>
    <row r="24" spans="1:297">
      <c r="A24">
        <v>8</v>
      </c>
      <c r="B24">
        <v>1762102100</v>
      </c>
      <c r="C24">
        <v>668.900000095367</v>
      </c>
      <c r="D24" t="s">
        <v>471</v>
      </c>
      <c r="E24" t="s">
        <v>472</v>
      </c>
      <c r="F24">
        <v>5</v>
      </c>
      <c r="G24" t="s">
        <v>435</v>
      </c>
      <c r="H24" t="s">
        <v>436</v>
      </c>
      <c r="I24">
        <v>1762102091.5</v>
      </c>
      <c r="J24">
        <f>(K24)/1000</f>
        <v>0</v>
      </c>
      <c r="K24">
        <f>IF(DP24, AN24, AH24)</f>
        <v>0</v>
      </c>
      <c r="L24">
        <f>IF(DP24, AI24, AG24)</f>
        <v>0</v>
      </c>
      <c r="M24">
        <f>DR24 - IF(AU24&gt;1, L24*DL24*100.0/(AW24), 0)</f>
        <v>0</v>
      </c>
      <c r="N24">
        <f>((T24-J24/2)*M24-L24)/(T24+J24/2)</f>
        <v>0</v>
      </c>
      <c r="O24">
        <f>N24*(DY24+DZ24)/1000.0</f>
        <v>0</v>
      </c>
      <c r="P24">
        <f>(DR24 - IF(AU24&gt;1, L24*DL24*100.0/(AW24), 0))*(DY24+DZ24)/1000.0</f>
        <v>0</v>
      </c>
      <c r="Q24">
        <f>2.0/((1/S24-1/R24)+SIGN(S24)*SQRT((1/S24-1/R24)*(1/S24-1/R24) + 4*DM24/((DM24+1)*(DM24+1))*(2*1/S24*1/R24-1/R24*1/R24)))</f>
        <v>0</v>
      </c>
      <c r="R24">
        <f>IF(LEFT(DN24,1)&lt;&gt;"0",IF(LEFT(DN24,1)="1",3.0,DO24),$D$5+$E$5*(EF24*DY24/($K$5*1000))+$F$5*(EF24*DY24/($K$5*1000))*MAX(MIN(DL24,$J$5),$I$5)*MAX(MIN(DL24,$J$5),$I$5)+$G$5*MAX(MIN(DL24,$J$5),$I$5)*(EF24*DY24/($K$5*1000))+$H$5*(EF24*DY24/($K$5*1000))*(EF24*DY24/($K$5*1000)))</f>
        <v>0</v>
      </c>
      <c r="S24">
        <f>J24*(1000-(1000*0.61365*exp(17.502*W24/(240.97+W24))/(DY24+DZ24)+DT24)/2)/(1000*0.61365*exp(17.502*W24/(240.97+W24))/(DY24+DZ24)-DT24)</f>
        <v>0</v>
      </c>
      <c r="T24">
        <f>1/((DM24+1)/(Q24/1.6)+1/(R24/1.37)) + DM24/((DM24+1)/(Q24/1.6) + DM24/(R24/1.37))</f>
        <v>0</v>
      </c>
      <c r="U24">
        <f>(DH24*DK24)</f>
        <v>0</v>
      </c>
      <c r="V24">
        <f>(EA24+(U24+2*0.95*5.67E-8*(((EA24+$B$7)+273)^4-(EA24+273)^4)-44100*J24)/(1.84*29.3*R24+8*0.95*5.67E-8*(EA24+273)^3))</f>
        <v>0</v>
      </c>
      <c r="W24">
        <f>($C$7*EB24+$D$7*EC24+$E$7*V24)</f>
        <v>0</v>
      </c>
      <c r="X24">
        <f>0.61365*exp(17.502*W24/(240.97+W24))</f>
        <v>0</v>
      </c>
      <c r="Y24">
        <f>(Z24/AA24*100)</f>
        <v>0</v>
      </c>
      <c r="Z24">
        <f>DT24*(DY24+DZ24)/1000</f>
        <v>0</v>
      </c>
      <c r="AA24">
        <f>0.61365*exp(17.502*EA24/(240.97+EA24))</f>
        <v>0</v>
      </c>
      <c r="AB24">
        <f>(X24-DT24*(DY24+DZ24)/1000)</f>
        <v>0</v>
      </c>
      <c r="AC24">
        <f>(-J24*44100)</f>
        <v>0</v>
      </c>
      <c r="AD24">
        <f>2*29.3*R24*0.92*(EA24-W24)</f>
        <v>0</v>
      </c>
      <c r="AE24">
        <f>2*0.95*5.67E-8*(((EA24+$B$7)+273)^4-(W24+273)^4)</f>
        <v>0</v>
      </c>
      <c r="AF24">
        <f>U24+AE24+AC24+AD24</f>
        <v>0</v>
      </c>
      <c r="AG24">
        <f>DX24*AU24*(DS24-DR24*(1000-AU24*DU24)/(1000-AU24*DT24))/(100*DL24)</f>
        <v>0</v>
      </c>
      <c r="AH24">
        <f>1000*DX24*AU24*(DT24-DU24)/(100*DL24*(1000-AU24*DT24))</f>
        <v>0</v>
      </c>
      <c r="AI24">
        <f>(AJ24 - AK24 - DY24*1E3/(8.314*(EA24+273.15)) * AM24/DX24 * AL24) * DX24/(100*DL24) * (1000 - DU24)/1000</f>
        <v>0</v>
      </c>
      <c r="AJ24">
        <v>428.380573494121</v>
      </c>
      <c r="AK24">
        <v>434.738018181818</v>
      </c>
      <c r="AL24">
        <v>0.0221085669131265</v>
      </c>
      <c r="AM24">
        <v>64.2610888897737</v>
      </c>
      <c r="AN24">
        <f>(AP24 - AO24 + DY24*1E3/(8.314*(EA24+273.15)) * AR24/DX24 * AQ24) * DX24/(100*DL24) * 1000/(1000 - AP24)</f>
        <v>0</v>
      </c>
      <c r="AO24">
        <v>19.5946734593981</v>
      </c>
      <c r="AP24">
        <v>30.3275018181818</v>
      </c>
      <c r="AQ24">
        <v>-0.000154100519460348</v>
      </c>
      <c r="AR24">
        <v>106.227059754639</v>
      </c>
      <c r="AS24">
        <v>0</v>
      </c>
      <c r="AT24">
        <v>0</v>
      </c>
      <c r="AU24">
        <f>IF(AS24*$H$13&gt;=AW24,1.0,(AW24/(AW24-AS24*$H$13)))</f>
        <v>0</v>
      </c>
      <c r="AV24">
        <f>(AU24-1)*100</f>
        <v>0</v>
      </c>
      <c r="AW24">
        <f>MAX(0,($B$13+$C$13*EF24)/(1+$D$13*EF24)*DY24/(EA24+273)*$E$13)</f>
        <v>0</v>
      </c>
      <c r="AX24" t="s">
        <v>437</v>
      </c>
      <c r="AY24">
        <v>5054.09</v>
      </c>
      <c r="AZ24">
        <v>869.238461538462</v>
      </c>
      <c r="BA24">
        <v>1928.38</v>
      </c>
      <c r="BB24">
        <f>1-AZ24/BA24</f>
        <v>0</v>
      </c>
      <c r="BC24">
        <v>-3.86797898255815</v>
      </c>
      <c r="BD24" t="s">
        <v>473</v>
      </c>
      <c r="BE24">
        <v>5088.93</v>
      </c>
      <c r="BF24">
        <v>920.779846153846</v>
      </c>
      <c r="BG24">
        <v>1037.61503574904</v>
      </c>
      <c r="BH24">
        <f>1-BF24/BG24</f>
        <v>0</v>
      </c>
      <c r="BI24">
        <v>0.5</v>
      </c>
      <c r="BJ24">
        <f>DI24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474</v>
      </c>
      <c r="BQ24">
        <v>880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BZ24">
        <v>808</v>
      </c>
      <c r="CA24">
        <v>290</v>
      </c>
      <c r="CB24">
        <v>1024.87</v>
      </c>
      <c r="CC24">
        <v>215</v>
      </c>
      <c r="CD24">
        <v>5088.93</v>
      </c>
      <c r="CE24">
        <v>1025</v>
      </c>
      <c r="CF24">
        <v>-0.13</v>
      </c>
      <c r="CG24">
        <v>300</v>
      </c>
      <c r="CH24">
        <v>24</v>
      </c>
      <c r="CI24">
        <v>1037.61503574904</v>
      </c>
      <c r="CJ24">
        <v>1.29926339052423</v>
      </c>
      <c r="CK24">
        <v>-6.41823742754591</v>
      </c>
      <c r="CL24">
        <v>0.575209199882989</v>
      </c>
      <c r="CM24">
        <v>0.81639708704215</v>
      </c>
      <c r="CN24">
        <v>-0.00409619332591768</v>
      </c>
      <c r="CO24">
        <v>290</v>
      </c>
      <c r="CP24">
        <v>1023.79</v>
      </c>
      <c r="CQ24">
        <v>825</v>
      </c>
      <c r="CR24">
        <v>5083.89</v>
      </c>
      <c r="CS24">
        <v>1024.99</v>
      </c>
      <c r="CT24">
        <v>-1.2</v>
      </c>
      <c r="DH24">
        <f>$B$11*EG24+$C$11*EH24+$F$11*ES24*(1-EV24)</f>
        <v>0</v>
      </c>
      <c r="DI24">
        <f>DH24*DJ24</f>
        <v>0</v>
      </c>
      <c r="DJ24">
        <f>($B$11*$D$9+$C$11*$D$9+$F$11*((FF24+EX24)/MAX(FF24+EX24+FG24, 0.1)*$I$9+FG24/MAX(FF24+EX24+FG24, 0.1)*$J$9))/($B$11+$C$11+$F$11)</f>
        <v>0</v>
      </c>
      <c r="DK24">
        <f>($B$11*$K$9+$C$11*$K$9+$F$11*((FF24+EX24)/MAX(FF24+EX24+FG24, 0.1)*$P$9+FG24/MAX(FF24+EX24+FG24, 0.1)*$Q$9))/($B$11+$C$11+$F$11)</f>
        <v>0</v>
      </c>
      <c r="DL24">
        <v>6</v>
      </c>
      <c r="DM24">
        <v>0.5</v>
      </c>
      <c r="DN24" t="s">
        <v>440</v>
      </c>
      <c r="DO24">
        <v>2</v>
      </c>
      <c r="DP24" t="b">
        <v>1</v>
      </c>
      <c r="DQ24">
        <v>1762102091.5</v>
      </c>
      <c r="DR24">
        <v>421.4999375</v>
      </c>
      <c r="DS24">
        <v>419.97775</v>
      </c>
      <c r="DT24">
        <v>30.342725</v>
      </c>
      <c r="DU24">
        <v>19.59634375</v>
      </c>
      <c r="DV24">
        <v>413.175</v>
      </c>
      <c r="DW24">
        <v>30.01334375</v>
      </c>
      <c r="DX24">
        <v>500.0225625</v>
      </c>
      <c r="DY24">
        <v>90.9098625</v>
      </c>
      <c r="DZ24">
        <v>0.046076725</v>
      </c>
      <c r="EA24">
        <v>50.91096875</v>
      </c>
      <c r="EB24">
        <v>48.05395625</v>
      </c>
      <c r="EC24">
        <v>999.9</v>
      </c>
      <c r="ED24">
        <v>0</v>
      </c>
      <c r="EE24">
        <v>0</v>
      </c>
      <c r="EF24">
        <v>10003.5925</v>
      </c>
      <c r="EG24">
        <v>0</v>
      </c>
      <c r="EH24">
        <v>1083.833125</v>
      </c>
      <c r="EI24">
        <v>1.5222225</v>
      </c>
      <c r="EJ24">
        <v>434.6894375</v>
      </c>
      <c r="EK24">
        <v>428.3723125</v>
      </c>
      <c r="EL24">
        <v>10.74635</v>
      </c>
      <c r="EM24">
        <v>419.97775</v>
      </c>
      <c r="EN24">
        <v>19.59634375</v>
      </c>
      <c r="EO24">
        <v>2.75845375</v>
      </c>
      <c r="EP24">
        <v>1.78150125</v>
      </c>
      <c r="EQ24">
        <v>22.63753125</v>
      </c>
      <c r="ER24">
        <v>15.6254125</v>
      </c>
      <c r="ES24">
        <v>150.024875</v>
      </c>
      <c r="ET24">
        <v>0.8999985625</v>
      </c>
      <c r="EU24">
        <v>0.10000166875</v>
      </c>
      <c r="EV24">
        <v>0</v>
      </c>
      <c r="EW24">
        <v>920.7295625</v>
      </c>
      <c r="EX24">
        <v>5.00016</v>
      </c>
      <c r="EY24">
        <v>1641.360625</v>
      </c>
      <c r="EZ24">
        <v>1290.6975</v>
      </c>
      <c r="FA24">
        <v>53.9685</v>
      </c>
      <c r="FB24">
        <v>57.125</v>
      </c>
      <c r="FC24">
        <v>55.4960625</v>
      </c>
      <c r="FD24">
        <v>57.375</v>
      </c>
      <c r="FE24">
        <v>57.777125</v>
      </c>
      <c r="FF24">
        <v>130.523125</v>
      </c>
      <c r="FG24">
        <v>14.50625</v>
      </c>
      <c r="FH24">
        <v>0</v>
      </c>
      <c r="FI24">
        <v>98</v>
      </c>
      <c r="FJ24">
        <v>0</v>
      </c>
      <c r="FK24">
        <v>920.779846153846</v>
      </c>
      <c r="FL24">
        <v>-0.461264951046242</v>
      </c>
      <c r="FM24">
        <v>-3.00136752574851</v>
      </c>
      <c r="FN24">
        <v>1641.35192307692</v>
      </c>
      <c r="FO24">
        <v>15</v>
      </c>
      <c r="FP24">
        <v>0</v>
      </c>
      <c r="FQ24" t="s">
        <v>441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1.50303619047619</v>
      </c>
      <c r="GD24">
        <v>0.110840259740259</v>
      </c>
      <c r="GE24">
        <v>0.0455140807596099</v>
      </c>
      <c r="GF24">
        <v>1</v>
      </c>
      <c r="GG24">
        <v>920.746970588235</v>
      </c>
      <c r="GH24">
        <v>0.121665395687556</v>
      </c>
      <c r="GI24">
        <v>0.19317950891427</v>
      </c>
      <c r="GJ24">
        <v>-1</v>
      </c>
      <c r="GK24">
        <v>10.7529904761905</v>
      </c>
      <c r="GL24">
        <v>-0.115051948051933</v>
      </c>
      <c r="GM24">
        <v>0.0117866310369763</v>
      </c>
      <c r="GN24">
        <v>0</v>
      </c>
      <c r="GO24">
        <v>1</v>
      </c>
      <c r="GP24">
        <v>2</v>
      </c>
      <c r="GQ24" t="s">
        <v>458</v>
      </c>
      <c r="GR24">
        <v>3.12342</v>
      </c>
      <c r="GS24">
        <v>2.6719</v>
      </c>
      <c r="GT24">
        <v>0.0859636</v>
      </c>
      <c r="GU24">
        <v>0.0868981</v>
      </c>
      <c r="GV24">
        <v>0.116658</v>
      </c>
      <c r="GW24">
        <v>0.0856569</v>
      </c>
      <c r="GX24">
        <v>22624.2</v>
      </c>
      <c r="GY24">
        <v>21441.2</v>
      </c>
      <c r="GZ24">
        <v>22199.2</v>
      </c>
      <c r="HA24">
        <v>22934.4</v>
      </c>
      <c r="HB24">
        <v>33587.6</v>
      </c>
      <c r="HC24">
        <v>34780.5</v>
      </c>
      <c r="HD24">
        <v>40201.8</v>
      </c>
      <c r="HE24">
        <v>41002.5</v>
      </c>
      <c r="HF24">
        <v>1.75775</v>
      </c>
      <c r="HG24">
        <v>2.10673</v>
      </c>
      <c r="HH24">
        <v>0.0832379</v>
      </c>
      <c r="HI24">
        <v>0</v>
      </c>
      <c r="HJ24">
        <v>46.7519</v>
      </c>
      <c r="HK24">
        <v>999.9</v>
      </c>
      <c r="HL24">
        <v>51.496</v>
      </c>
      <c r="HM24">
        <v>26.637</v>
      </c>
      <c r="HN24">
        <v>19.8449</v>
      </c>
      <c r="HO24">
        <v>58.8036</v>
      </c>
      <c r="HP24">
        <v>22.8405</v>
      </c>
      <c r="HQ24">
        <v>2</v>
      </c>
      <c r="HR24">
        <v>1.39758</v>
      </c>
      <c r="HS24">
        <v>-3.61319</v>
      </c>
      <c r="HT24">
        <v>20.179</v>
      </c>
      <c r="HU24">
        <v>5.22912</v>
      </c>
      <c r="HV24">
        <v>11.998</v>
      </c>
      <c r="HW24">
        <v>4.95375</v>
      </c>
      <c r="HX24">
        <v>3.304</v>
      </c>
      <c r="HY24">
        <v>9999</v>
      </c>
      <c r="HZ24">
        <v>999.9</v>
      </c>
      <c r="IA24">
        <v>9999</v>
      </c>
      <c r="IB24">
        <v>9999</v>
      </c>
      <c r="IC24">
        <v>1.86849</v>
      </c>
      <c r="ID24">
        <v>1.86417</v>
      </c>
      <c r="IE24">
        <v>1.87181</v>
      </c>
      <c r="IF24">
        <v>1.86264</v>
      </c>
      <c r="IG24">
        <v>1.86203</v>
      </c>
      <c r="IH24">
        <v>1.86856</v>
      </c>
      <c r="II24">
        <v>1.85867</v>
      </c>
      <c r="IJ24">
        <v>1.86511</v>
      </c>
      <c r="IK24">
        <v>5</v>
      </c>
      <c r="IL24">
        <v>0</v>
      </c>
      <c r="IM24">
        <v>0</v>
      </c>
      <c r="IN24">
        <v>0</v>
      </c>
      <c r="IO24" t="s">
        <v>443</v>
      </c>
      <c r="IP24" t="s">
        <v>444</v>
      </c>
      <c r="IQ24" t="s">
        <v>445</v>
      </c>
      <c r="IR24" t="s">
        <v>445</v>
      </c>
      <c r="IS24" t="s">
        <v>445</v>
      </c>
      <c r="IT24" t="s">
        <v>445</v>
      </c>
      <c r="IU24">
        <v>0</v>
      </c>
      <c r="IV24">
        <v>100</v>
      </c>
      <c r="IW24">
        <v>100</v>
      </c>
      <c r="IX24">
        <v>8.325</v>
      </c>
      <c r="IY24">
        <v>0.3294</v>
      </c>
      <c r="IZ24">
        <v>5.63042802259986</v>
      </c>
      <c r="JA24">
        <v>0.00813484245791346</v>
      </c>
      <c r="JB24">
        <v>-4.34547228418155e-06</v>
      </c>
      <c r="JC24">
        <v>1.0644471544636e-09</v>
      </c>
      <c r="JD24">
        <v>0.329354282981013</v>
      </c>
      <c r="JE24">
        <v>0</v>
      </c>
      <c r="JF24">
        <v>0</v>
      </c>
      <c r="JG24">
        <v>0</v>
      </c>
      <c r="JH24">
        <v>-3</v>
      </c>
      <c r="JI24">
        <v>2169</v>
      </c>
      <c r="JJ24">
        <v>1</v>
      </c>
      <c r="JK24">
        <v>22</v>
      </c>
      <c r="JL24">
        <v>29368368.3</v>
      </c>
      <c r="JM24">
        <v>29368368.3</v>
      </c>
      <c r="JN24">
        <v>1.30615</v>
      </c>
      <c r="JO24">
        <v>2.34619</v>
      </c>
      <c r="JP24">
        <v>2.09839</v>
      </c>
      <c r="JQ24">
        <v>2.65259</v>
      </c>
      <c r="JR24">
        <v>2.24365</v>
      </c>
      <c r="JS24">
        <v>2.33398</v>
      </c>
      <c r="JT24">
        <v>33.7381</v>
      </c>
      <c r="JU24">
        <v>24.1751</v>
      </c>
      <c r="JV24">
        <v>18</v>
      </c>
      <c r="JW24">
        <v>561.078</v>
      </c>
      <c r="JX24">
        <v>806.552</v>
      </c>
      <c r="JY24">
        <v>56.248</v>
      </c>
      <c r="JZ24">
        <v>44.5404</v>
      </c>
      <c r="KA24">
        <v>30.0013</v>
      </c>
      <c r="KB24">
        <v>43.1029</v>
      </c>
      <c r="KC24">
        <v>43.1675</v>
      </c>
      <c r="KD24">
        <v>26.1901</v>
      </c>
      <c r="KE24">
        <v>0</v>
      </c>
      <c r="KF24">
        <v>100</v>
      </c>
      <c r="KG24">
        <v>56.1976</v>
      </c>
      <c r="KH24">
        <v>420</v>
      </c>
      <c r="KI24">
        <v>23.2649</v>
      </c>
      <c r="KJ24">
        <v>89.9585</v>
      </c>
      <c r="KK24">
        <v>95.4721</v>
      </c>
    </row>
    <row r="25" spans="1:297">
      <c r="A25">
        <v>9</v>
      </c>
      <c r="B25">
        <v>1762102203</v>
      </c>
      <c r="C25">
        <v>771.900000095367</v>
      </c>
      <c r="D25" t="s">
        <v>475</v>
      </c>
      <c r="E25" t="s">
        <v>476</v>
      </c>
      <c r="F25">
        <v>5</v>
      </c>
      <c r="G25" t="s">
        <v>435</v>
      </c>
      <c r="H25" t="s">
        <v>436</v>
      </c>
      <c r="I25">
        <v>1762102194.5</v>
      </c>
      <c r="J25">
        <f>(K25)/1000</f>
        <v>0</v>
      </c>
      <c r="K25">
        <f>IF(DP25, AN25, AH25)</f>
        <v>0</v>
      </c>
      <c r="L25">
        <f>IF(DP25, AI25, AG25)</f>
        <v>0</v>
      </c>
      <c r="M25">
        <f>DR25 - IF(AU25&gt;1, L25*DL25*100.0/(AW25), 0)</f>
        <v>0</v>
      </c>
      <c r="N25">
        <f>((T25-J25/2)*M25-L25)/(T25+J25/2)</f>
        <v>0</v>
      </c>
      <c r="O25">
        <f>N25*(DY25+DZ25)/1000.0</f>
        <v>0</v>
      </c>
      <c r="P25">
        <f>(DR25 - IF(AU25&gt;1, L25*DL25*100.0/(AW25), 0))*(DY25+DZ25)/1000.0</f>
        <v>0</v>
      </c>
      <c r="Q25">
        <f>2.0/((1/S25-1/R25)+SIGN(S25)*SQRT((1/S25-1/R25)*(1/S25-1/R25) + 4*DM25/((DM25+1)*(DM25+1))*(2*1/S25*1/R25-1/R25*1/R25)))</f>
        <v>0</v>
      </c>
      <c r="R25">
        <f>IF(LEFT(DN25,1)&lt;&gt;"0",IF(LEFT(DN25,1)="1",3.0,DO25),$D$5+$E$5*(EF25*DY25/($K$5*1000))+$F$5*(EF25*DY25/($K$5*1000))*MAX(MIN(DL25,$J$5),$I$5)*MAX(MIN(DL25,$J$5),$I$5)+$G$5*MAX(MIN(DL25,$J$5),$I$5)*(EF25*DY25/($K$5*1000))+$H$5*(EF25*DY25/($K$5*1000))*(EF25*DY25/($K$5*1000)))</f>
        <v>0</v>
      </c>
      <c r="S25">
        <f>J25*(1000-(1000*0.61365*exp(17.502*W25/(240.97+W25))/(DY25+DZ25)+DT25)/2)/(1000*0.61365*exp(17.502*W25/(240.97+W25))/(DY25+DZ25)-DT25)</f>
        <v>0</v>
      </c>
      <c r="T25">
        <f>1/((DM25+1)/(Q25/1.6)+1/(R25/1.37)) + DM25/((DM25+1)/(Q25/1.6) + DM25/(R25/1.37))</f>
        <v>0</v>
      </c>
      <c r="U25">
        <f>(DH25*DK25)</f>
        <v>0</v>
      </c>
      <c r="V25">
        <f>(EA25+(U25+2*0.95*5.67E-8*(((EA25+$B$7)+273)^4-(EA25+273)^4)-44100*J25)/(1.84*29.3*R25+8*0.95*5.67E-8*(EA25+273)^3))</f>
        <v>0</v>
      </c>
      <c r="W25">
        <f>($C$7*EB25+$D$7*EC25+$E$7*V25)</f>
        <v>0</v>
      </c>
      <c r="X25">
        <f>0.61365*exp(17.502*W25/(240.97+W25))</f>
        <v>0</v>
      </c>
      <c r="Y25">
        <f>(Z25/AA25*100)</f>
        <v>0</v>
      </c>
      <c r="Z25">
        <f>DT25*(DY25+DZ25)/1000</f>
        <v>0</v>
      </c>
      <c r="AA25">
        <f>0.61365*exp(17.502*EA25/(240.97+EA25))</f>
        <v>0</v>
      </c>
      <c r="AB25">
        <f>(X25-DT25*(DY25+DZ25)/1000)</f>
        <v>0</v>
      </c>
      <c r="AC25">
        <f>(-J25*44100)</f>
        <v>0</v>
      </c>
      <c r="AD25">
        <f>2*29.3*R25*0.92*(EA25-W25)</f>
        <v>0</v>
      </c>
      <c r="AE25">
        <f>2*0.95*5.67E-8*(((EA25+$B$7)+273)^4-(W25+273)^4)</f>
        <v>0</v>
      </c>
      <c r="AF25">
        <f>U25+AE25+AC25+AD25</f>
        <v>0</v>
      </c>
      <c r="AG25">
        <f>DX25*AU25*(DS25-DR25*(1000-AU25*DU25)/(1000-AU25*DT25))/(100*DL25)</f>
        <v>0</v>
      </c>
      <c r="AH25">
        <f>1000*DX25*AU25*(DT25-DU25)/(100*DL25*(1000-AU25*DT25))</f>
        <v>0</v>
      </c>
      <c r="AI25">
        <f>(AJ25 - AK25 - DY25*1E3/(8.314*(EA25+273.15)) * AM25/DX25 * AL25) * DX25/(100*DL25) * (1000 - DU25)/1000</f>
        <v>0</v>
      </c>
      <c r="AJ25">
        <v>428.339825609391</v>
      </c>
      <c r="AK25">
        <v>435.583872727272</v>
      </c>
      <c r="AL25">
        <v>-0.00338023631705125</v>
      </c>
      <c r="AM25">
        <v>64.2610888897737</v>
      </c>
      <c r="AN25">
        <f>(AP25 - AO25 + DY25*1E3/(8.314*(EA25+273.15)) * AR25/DX25 * AQ25) * DX25/(100*DL25) * 1000/(1000 - AP25)</f>
        <v>0</v>
      </c>
      <c r="AO25">
        <v>19.5804084698583</v>
      </c>
      <c r="AP25">
        <v>30.0288509090909</v>
      </c>
      <c r="AQ25">
        <v>-8.967286443233e-05</v>
      </c>
      <c r="AR25">
        <v>106.227059754639</v>
      </c>
      <c r="AS25">
        <v>0</v>
      </c>
      <c r="AT25">
        <v>0</v>
      </c>
      <c r="AU25">
        <f>IF(AS25*$H$13&gt;=AW25,1.0,(AW25/(AW25-AS25*$H$13)))</f>
        <v>0</v>
      </c>
      <c r="AV25">
        <f>(AU25-1)*100</f>
        <v>0</v>
      </c>
      <c r="AW25">
        <f>MAX(0,($B$13+$C$13*EF25)/(1+$D$13*EF25)*DY25/(EA25+273)*$E$13)</f>
        <v>0</v>
      </c>
      <c r="AX25" t="s">
        <v>437</v>
      </c>
      <c r="AY25">
        <v>5054.09</v>
      </c>
      <c r="AZ25">
        <v>869.238461538462</v>
      </c>
      <c r="BA25">
        <v>1928.38</v>
      </c>
      <c r="BB25">
        <f>1-AZ25/BA25</f>
        <v>0</v>
      </c>
      <c r="BC25">
        <v>-3.86797898255815</v>
      </c>
      <c r="BD25" t="s">
        <v>477</v>
      </c>
      <c r="BE25">
        <v>5083.02</v>
      </c>
      <c r="BF25">
        <v>942.609192307692</v>
      </c>
      <c r="BG25">
        <v>1105.05742038154</v>
      </c>
      <c r="BH25">
        <f>1-BF25/BG25</f>
        <v>0</v>
      </c>
      <c r="BI25">
        <v>0.5</v>
      </c>
      <c r="BJ25">
        <f>DI25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478</v>
      </c>
      <c r="BQ25">
        <v>907.67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BZ25">
        <v>810</v>
      </c>
      <c r="CA25">
        <v>290</v>
      </c>
      <c r="CB25">
        <v>1092.78</v>
      </c>
      <c r="CC25">
        <v>235</v>
      </c>
      <c r="CD25">
        <v>5083.02</v>
      </c>
      <c r="CE25">
        <v>1092.6</v>
      </c>
      <c r="CF25">
        <v>0.18</v>
      </c>
      <c r="CG25">
        <v>300</v>
      </c>
      <c r="CH25">
        <v>24</v>
      </c>
      <c r="CI25">
        <v>1105.05742038154</v>
      </c>
      <c r="CJ25">
        <v>1.07404651075669</v>
      </c>
      <c r="CK25">
        <v>-6.32966421156343</v>
      </c>
      <c r="CL25">
        <v>0.473431264079988</v>
      </c>
      <c r="CM25">
        <v>0.864571121508032</v>
      </c>
      <c r="CN25">
        <v>-0.00417533882091213</v>
      </c>
      <c r="CO25">
        <v>290</v>
      </c>
      <c r="CP25">
        <v>1091.83</v>
      </c>
      <c r="CQ25">
        <v>775</v>
      </c>
      <c r="CR25">
        <v>5078.68</v>
      </c>
      <c r="CS25">
        <v>1092.59</v>
      </c>
      <c r="CT25">
        <v>-0.76</v>
      </c>
      <c r="DH25">
        <f>$B$11*EG25+$C$11*EH25+$F$11*ES25*(1-EV25)</f>
        <v>0</v>
      </c>
      <c r="DI25">
        <f>DH25*DJ25</f>
        <v>0</v>
      </c>
      <c r="DJ25">
        <f>($B$11*$D$9+$C$11*$D$9+$F$11*((FF25+EX25)/MAX(FF25+EX25+FG25, 0.1)*$I$9+FG25/MAX(FF25+EX25+FG25, 0.1)*$J$9))/($B$11+$C$11+$F$11)</f>
        <v>0</v>
      </c>
      <c r="DK25">
        <f>($B$11*$K$9+$C$11*$K$9+$F$11*((FF25+EX25)/MAX(FF25+EX25+FG25, 0.1)*$P$9+FG25/MAX(FF25+EX25+FG25, 0.1)*$Q$9))/($B$11+$C$11+$F$11)</f>
        <v>0</v>
      </c>
      <c r="DL25">
        <v>6</v>
      </c>
      <c r="DM25">
        <v>0.5</v>
      </c>
      <c r="DN25" t="s">
        <v>440</v>
      </c>
      <c r="DO25">
        <v>2</v>
      </c>
      <c r="DP25" t="b">
        <v>1</v>
      </c>
      <c r="DQ25">
        <v>1762102194.5</v>
      </c>
      <c r="DR25">
        <v>422.539625</v>
      </c>
      <c r="DS25">
        <v>419.98425</v>
      </c>
      <c r="DT25">
        <v>30.04188125</v>
      </c>
      <c r="DU25">
        <v>19.58063125</v>
      </c>
      <c r="DV25">
        <v>414.209625</v>
      </c>
      <c r="DW25">
        <v>29.71255625</v>
      </c>
      <c r="DX25">
        <v>499.97625</v>
      </c>
      <c r="DY25">
        <v>90.91076875</v>
      </c>
      <c r="DZ25">
        <v>0.04641500625</v>
      </c>
      <c r="EA25">
        <v>50.9116125</v>
      </c>
      <c r="EB25">
        <v>48.0498</v>
      </c>
      <c r="EC25">
        <v>999.9</v>
      </c>
      <c r="ED25">
        <v>0</v>
      </c>
      <c r="EE25">
        <v>0</v>
      </c>
      <c r="EF25">
        <v>9999.256875</v>
      </c>
      <c r="EG25">
        <v>0</v>
      </c>
      <c r="EH25">
        <v>1083.425625</v>
      </c>
      <c r="EI25">
        <v>2.55540125</v>
      </c>
      <c r="EJ25">
        <v>435.626875</v>
      </c>
      <c r="EK25">
        <v>428.3719375</v>
      </c>
      <c r="EL25">
        <v>10.4612625</v>
      </c>
      <c r="EM25">
        <v>419.98425</v>
      </c>
      <c r="EN25">
        <v>19.58063125</v>
      </c>
      <c r="EO25">
        <v>2.7311325</v>
      </c>
      <c r="EP25">
        <v>1.780090625</v>
      </c>
      <c r="EQ25">
        <v>22.473625</v>
      </c>
      <c r="ER25">
        <v>15.61305</v>
      </c>
      <c r="ES25">
        <v>50.0027625</v>
      </c>
      <c r="ET25">
        <v>0.90033925</v>
      </c>
      <c r="EU25">
        <v>0.0996606625</v>
      </c>
      <c r="EV25">
        <v>0</v>
      </c>
      <c r="EW25">
        <v>942.5925</v>
      </c>
      <c r="EX25">
        <v>5.00016</v>
      </c>
      <c r="EY25">
        <v>673.8821875</v>
      </c>
      <c r="EZ25">
        <v>400.56225</v>
      </c>
      <c r="FA25">
        <v>53.5974375</v>
      </c>
      <c r="FB25">
        <v>57.02325</v>
      </c>
      <c r="FC25">
        <v>55.25</v>
      </c>
      <c r="FD25">
        <v>57.3159375</v>
      </c>
      <c r="FE25">
        <v>57.511625</v>
      </c>
      <c r="FF25">
        <v>40.5175</v>
      </c>
      <c r="FG25">
        <v>4.481875</v>
      </c>
      <c r="FH25">
        <v>0</v>
      </c>
      <c r="FI25">
        <v>97.7999999523163</v>
      </c>
      <c r="FJ25">
        <v>0</v>
      </c>
      <c r="FK25">
        <v>942.609192307692</v>
      </c>
      <c r="FL25">
        <v>3.08652990444545</v>
      </c>
      <c r="FM25">
        <v>-1.49685468010268</v>
      </c>
      <c r="FN25">
        <v>673.980269230769</v>
      </c>
      <c r="FO25">
        <v>15</v>
      </c>
      <c r="FP25">
        <v>0</v>
      </c>
      <c r="FQ25" t="s">
        <v>441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2.55754666666667</v>
      </c>
      <c r="GD25">
        <v>0.0536345454545459</v>
      </c>
      <c r="GE25">
        <v>0.0343197168560489</v>
      </c>
      <c r="GF25">
        <v>1</v>
      </c>
      <c r="GG25">
        <v>942.4015</v>
      </c>
      <c r="GH25">
        <v>3.88970205486163</v>
      </c>
      <c r="GI25">
        <v>0.425306135417225</v>
      </c>
      <c r="GJ25">
        <v>-1</v>
      </c>
      <c r="GK25">
        <v>10.4666</v>
      </c>
      <c r="GL25">
        <v>-0.119197402597393</v>
      </c>
      <c r="GM25">
        <v>0.0124123977960594</v>
      </c>
      <c r="GN25">
        <v>0</v>
      </c>
      <c r="GO25">
        <v>1</v>
      </c>
      <c r="GP25">
        <v>2</v>
      </c>
      <c r="GQ25" t="s">
        <v>458</v>
      </c>
      <c r="GR25">
        <v>3.12315</v>
      </c>
      <c r="GS25">
        <v>2.67238</v>
      </c>
      <c r="GT25">
        <v>0.0860334</v>
      </c>
      <c r="GU25">
        <v>0.086823</v>
      </c>
      <c r="GV25">
        <v>0.115737</v>
      </c>
      <c r="GW25">
        <v>0.0855311</v>
      </c>
      <c r="GX25">
        <v>22600.4</v>
      </c>
      <c r="GY25">
        <v>21427.9</v>
      </c>
      <c r="GZ25">
        <v>22178.8</v>
      </c>
      <c r="HA25">
        <v>22919.7</v>
      </c>
      <c r="HB25">
        <v>33596.2</v>
      </c>
      <c r="HC25">
        <v>34765.1</v>
      </c>
      <c r="HD25">
        <v>40170.3</v>
      </c>
      <c r="HE25">
        <v>40979.2</v>
      </c>
      <c r="HF25">
        <v>1.75432</v>
      </c>
      <c r="HG25">
        <v>2.10227</v>
      </c>
      <c r="HH25">
        <v>0.0776276</v>
      </c>
      <c r="HI25">
        <v>0</v>
      </c>
      <c r="HJ25">
        <v>46.8017</v>
      </c>
      <c r="HK25">
        <v>999.9</v>
      </c>
      <c r="HL25">
        <v>51.398</v>
      </c>
      <c r="HM25">
        <v>26.647</v>
      </c>
      <c r="HN25">
        <v>19.8188</v>
      </c>
      <c r="HO25">
        <v>59.0336</v>
      </c>
      <c r="HP25">
        <v>22.8806</v>
      </c>
      <c r="HQ25">
        <v>2</v>
      </c>
      <c r="HR25">
        <v>1.42321</v>
      </c>
      <c r="HS25">
        <v>-3.45335</v>
      </c>
      <c r="HT25">
        <v>20.1821</v>
      </c>
      <c r="HU25">
        <v>5.22912</v>
      </c>
      <c r="HV25">
        <v>11.998</v>
      </c>
      <c r="HW25">
        <v>4.95375</v>
      </c>
      <c r="HX25">
        <v>3.304</v>
      </c>
      <c r="HY25">
        <v>9999</v>
      </c>
      <c r="HZ25">
        <v>999.9</v>
      </c>
      <c r="IA25">
        <v>9999</v>
      </c>
      <c r="IB25">
        <v>9999</v>
      </c>
      <c r="IC25">
        <v>1.86844</v>
      </c>
      <c r="ID25">
        <v>1.86417</v>
      </c>
      <c r="IE25">
        <v>1.8718</v>
      </c>
      <c r="IF25">
        <v>1.86264</v>
      </c>
      <c r="IG25">
        <v>1.86203</v>
      </c>
      <c r="IH25">
        <v>1.86859</v>
      </c>
      <c r="II25">
        <v>1.85867</v>
      </c>
      <c r="IJ25">
        <v>1.86508</v>
      </c>
      <c r="IK25">
        <v>5</v>
      </c>
      <c r="IL25">
        <v>0</v>
      </c>
      <c r="IM25">
        <v>0</v>
      </c>
      <c r="IN25">
        <v>0</v>
      </c>
      <c r="IO25" t="s">
        <v>443</v>
      </c>
      <c r="IP25" t="s">
        <v>444</v>
      </c>
      <c r="IQ25" t="s">
        <v>445</v>
      </c>
      <c r="IR25" t="s">
        <v>445</v>
      </c>
      <c r="IS25" t="s">
        <v>445</v>
      </c>
      <c r="IT25" t="s">
        <v>445</v>
      </c>
      <c r="IU25">
        <v>0</v>
      </c>
      <c r="IV25">
        <v>100</v>
      </c>
      <c r="IW25">
        <v>100</v>
      </c>
      <c r="IX25">
        <v>8.33</v>
      </c>
      <c r="IY25">
        <v>0.3293</v>
      </c>
      <c r="IZ25">
        <v>5.63042802259986</v>
      </c>
      <c r="JA25">
        <v>0.00813484245791346</v>
      </c>
      <c r="JB25">
        <v>-4.34547228418155e-06</v>
      </c>
      <c r="JC25">
        <v>1.0644471544636e-09</v>
      </c>
      <c r="JD25">
        <v>0.329354282981013</v>
      </c>
      <c r="JE25">
        <v>0</v>
      </c>
      <c r="JF25">
        <v>0</v>
      </c>
      <c r="JG25">
        <v>0</v>
      </c>
      <c r="JH25">
        <v>-3</v>
      </c>
      <c r="JI25">
        <v>2169</v>
      </c>
      <c r="JJ25">
        <v>1</v>
      </c>
      <c r="JK25">
        <v>22</v>
      </c>
      <c r="JL25">
        <v>29368370.1</v>
      </c>
      <c r="JM25">
        <v>29368370.1</v>
      </c>
      <c r="JN25">
        <v>1.30737</v>
      </c>
      <c r="JO25">
        <v>2.35229</v>
      </c>
      <c r="JP25">
        <v>2.09839</v>
      </c>
      <c r="JQ25">
        <v>2.65259</v>
      </c>
      <c r="JR25">
        <v>2.24365</v>
      </c>
      <c r="JS25">
        <v>2.31934</v>
      </c>
      <c r="JT25">
        <v>33.7832</v>
      </c>
      <c r="JU25">
        <v>24.1751</v>
      </c>
      <c r="JV25">
        <v>18</v>
      </c>
      <c r="JW25">
        <v>561.19</v>
      </c>
      <c r="JX25">
        <v>806.258</v>
      </c>
      <c r="JY25">
        <v>55.9867</v>
      </c>
      <c r="JZ25">
        <v>44.8657</v>
      </c>
      <c r="KA25">
        <v>30.0008</v>
      </c>
      <c r="KB25">
        <v>43.4817</v>
      </c>
      <c r="KC25">
        <v>43.549</v>
      </c>
      <c r="KD25">
        <v>26.1992</v>
      </c>
      <c r="KE25">
        <v>0</v>
      </c>
      <c r="KF25">
        <v>100</v>
      </c>
      <c r="KG25">
        <v>55.936</v>
      </c>
      <c r="KH25">
        <v>420</v>
      </c>
      <c r="KI25">
        <v>23.2649</v>
      </c>
      <c r="KJ25">
        <v>89.8837</v>
      </c>
      <c r="KK25">
        <v>95.4154</v>
      </c>
    </row>
    <row r="26" spans="1:297">
      <c r="A26">
        <v>10</v>
      </c>
      <c r="B26">
        <v>1762102307</v>
      </c>
      <c r="C26">
        <v>875.900000095367</v>
      </c>
      <c r="D26" t="s">
        <v>479</v>
      </c>
      <c r="E26" t="s">
        <v>480</v>
      </c>
      <c r="F26">
        <v>5</v>
      </c>
      <c r="G26" t="s">
        <v>435</v>
      </c>
      <c r="H26" t="s">
        <v>436</v>
      </c>
      <c r="I26">
        <v>1762102298.5</v>
      </c>
      <c r="J26">
        <f>(K26)/1000</f>
        <v>0</v>
      </c>
      <c r="K26">
        <f>IF(DP26, AN26, AH26)</f>
        <v>0</v>
      </c>
      <c r="L26">
        <f>IF(DP26, AI26, AG26)</f>
        <v>0</v>
      </c>
      <c r="M26">
        <f>DR26 - IF(AU26&gt;1, L26*DL26*100.0/(AW26), 0)</f>
        <v>0</v>
      </c>
      <c r="N26">
        <f>((T26-J26/2)*M26-L26)/(T26+J26/2)</f>
        <v>0</v>
      </c>
      <c r="O26">
        <f>N26*(DY26+DZ26)/1000.0</f>
        <v>0</v>
      </c>
      <c r="P26">
        <f>(DR26 - IF(AU26&gt;1, L26*DL26*100.0/(AW26), 0))*(DY26+DZ26)/1000.0</f>
        <v>0</v>
      </c>
      <c r="Q26">
        <f>2.0/((1/S26-1/R26)+SIGN(S26)*SQRT((1/S26-1/R26)*(1/S26-1/R26) + 4*DM26/((DM26+1)*(DM26+1))*(2*1/S26*1/R26-1/R26*1/R26)))</f>
        <v>0</v>
      </c>
      <c r="R26">
        <f>IF(LEFT(DN26,1)&lt;&gt;"0",IF(LEFT(DN26,1)="1",3.0,DO26),$D$5+$E$5*(EF26*DY26/($K$5*1000))+$F$5*(EF26*DY26/($K$5*1000))*MAX(MIN(DL26,$J$5),$I$5)*MAX(MIN(DL26,$J$5),$I$5)+$G$5*MAX(MIN(DL26,$J$5),$I$5)*(EF26*DY26/($K$5*1000))+$H$5*(EF26*DY26/($K$5*1000))*(EF26*DY26/($K$5*1000)))</f>
        <v>0</v>
      </c>
      <c r="S26">
        <f>J26*(1000-(1000*0.61365*exp(17.502*W26/(240.97+W26))/(DY26+DZ26)+DT26)/2)/(1000*0.61365*exp(17.502*W26/(240.97+W26))/(DY26+DZ26)-DT26)</f>
        <v>0</v>
      </c>
      <c r="T26">
        <f>1/((DM26+1)/(Q26/1.6)+1/(R26/1.37)) + DM26/((DM26+1)/(Q26/1.6) + DM26/(R26/1.37))</f>
        <v>0</v>
      </c>
      <c r="U26">
        <f>(DH26*DK26)</f>
        <v>0</v>
      </c>
      <c r="V26">
        <f>(EA26+(U26+2*0.95*5.67E-8*(((EA26+$B$7)+273)^4-(EA26+273)^4)-44100*J26)/(1.84*29.3*R26+8*0.95*5.67E-8*(EA26+273)^3))</f>
        <v>0</v>
      </c>
      <c r="W26">
        <f>($C$7*EB26+$D$7*EC26+$E$7*V26)</f>
        <v>0</v>
      </c>
      <c r="X26">
        <f>0.61365*exp(17.502*W26/(240.97+W26))</f>
        <v>0</v>
      </c>
      <c r="Y26">
        <f>(Z26/AA26*100)</f>
        <v>0</v>
      </c>
      <c r="Z26">
        <f>DT26*(DY26+DZ26)/1000</f>
        <v>0</v>
      </c>
      <c r="AA26">
        <f>0.61365*exp(17.502*EA26/(240.97+EA26))</f>
        <v>0</v>
      </c>
      <c r="AB26">
        <f>(X26-DT26*(DY26+DZ26)/1000)</f>
        <v>0</v>
      </c>
      <c r="AC26">
        <f>(-J26*44100)</f>
        <v>0</v>
      </c>
      <c r="AD26">
        <f>2*29.3*R26*0.92*(EA26-W26)</f>
        <v>0</v>
      </c>
      <c r="AE26">
        <f>2*0.95*5.67E-8*(((EA26+$B$7)+273)^4-(W26+273)^4)</f>
        <v>0</v>
      </c>
      <c r="AF26">
        <f>U26+AE26+AC26+AD26</f>
        <v>0</v>
      </c>
      <c r="AG26">
        <f>DX26*AU26*(DS26-DR26*(1000-AU26*DU26)/(1000-AU26*DT26))/(100*DL26)</f>
        <v>0</v>
      </c>
      <c r="AH26">
        <f>1000*DX26*AU26*(DT26-DU26)/(100*DL26*(1000-AU26*DT26))</f>
        <v>0</v>
      </c>
      <c r="AI26">
        <f>(AJ26 - AK26 - DY26*1E3/(8.314*(EA26+273.15)) * AM26/DX26 * AL26) * DX26/(100*DL26) * (1000 - DU26)/1000</f>
        <v>0</v>
      </c>
      <c r="AJ26">
        <v>428.337071903669</v>
      </c>
      <c r="AK26">
        <v>436.318345454545</v>
      </c>
      <c r="AL26">
        <v>-0.0209641199201776</v>
      </c>
      <c r="AM26">
        <v>64.2610888897737</v>
      </c>
      <c r="AN26">
        <f>(AP26 - AO26 + DY26*1E3/(8.314*(EA26+273.15)) * AR26/DX26 * AQ26) * DX26/(100*DL26) * 1000/(1000 - AP26)</f>
        <v>0</v>
      </c>
      <c r="AO26">
        <v>19.5726436054456</v>
      </c>
      <c r="AP26">
        <v>29.7034418181818</v>
      </c>
      <c r="AQ26">
        <v>-0.000278176820569608</v>
      </c>
      <c r="AR26">
        <v>106.227059754639</v>
      </c>
      <c r="AS26">
        <v>0</v>
      </c>
      <c r="AT26">
        <v>0</v>
      </c>
      <c r="AU26">
        <f>IF(AS26*$H$13&gt;=AW26,1.0,(AW26/(AW26-AS26*$H$13)))</f>
        <v>0</v>
      </c>
      <c r="AV26">
        <f>(AU26-1)*100</f>
        <v>0</v>
      </c>
      <c r="AW26">
        <f>MAX(0,($B$13+$C$13*EF26)/(1+$D$13*EF26)*DY26/(EA26+273)*$E$13)</f>
        <v>0</v>
      </c>
      <c r="AX26" t="s">
        <v>481</v>
      </c>
      <c r="AY26">
        <v>5087.34</v>
      </c>
      <c r="AZ26">
        <v>1085.428</v>
      </c>
      <c r="BA26">
        <v>1355.94830374938</v>
      </c>
      <c r="BB26">
        <f>1-AZ26/BA26</f>
        <v>0</v>
      </c>
      <c r="BC26">
        <v>-6.44647968230568</v>
      </c>
      <c r="BD26" t="s">
        <v>482</v>
      </c>
      <c r="BE26" t="s">
        <v>482</v>
      </c>
      <c r="BF26">
        <v>0</v>
      </c>
      <c r="BG26">
        <v>0</v>
      </c>
      <c r="BH26">
        <f>1-BF26/BG26</f>
        <v>0</v>
      </c>
      <c r="BI26">
        <v>0.5</v>
      </c>
      <c r="BJ26">
        <f>DI26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482</v>
      </c>
      <c r="BQ26">
        <v>0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BZ26">
        <v>812</v>
      </c>
      <c r="CA26">
        <v>290</v>
      </c>
      <c r="CB26">
        <v>1354.97</v>
      </c>
      <c r="CC26">
        <v>95</v>
      </c>
      <c r="CD26">
        <v>5087.34</v>
      </c>
      <c r="CE26">
        <v>1352.58</v>
      </c>
      <c r="CF26">
        <v>2.39</v>
      </c>
      <c r="CG26">
        <v>300</v>
      </c>
      <c r="CH26">
        <v>24</v>
      </c>
      <c r="CI26">
        <v>1355.94830374938</v>
      </c>
      <c r="CJ26">
        <v>1.4583370248562</v>
      </c>
      <c r="CK26">
        <v>-1.71586198737034</v>
      </c>
      <c r="CL26">
        <v>0.641971508227549</v>
      </c>
      <c r="CM26">
        <v>0.203274866093626</v>
      </c>
      <c r="CN26">
        <v>-0.00421358509454949</v>
      </c>
      <c r="CO26">
        <v>290</v>
      </c>
      <c r="CP26">
        <v>1355.18</v>
      </c>
      <c r="CQ26">
        <v>685</v>
      </c>
      <c r="CR26">
        <v>5080.29</v>
      </c>
      <c r="CS26">
        <v>1352.57</v>
      </c>
      <c r="CT26">
        <v>2.61</v>
      </c>
      <c r="DH26">
        <f>$B$11*EG26+$C$11*EH26+$F$11*ES26*(1-EV26)</f>
        <v>0</v>
      </c>
      <c r="DI26">
        <f>DH26*DJ26</f>
        <v>0</v>
      </c>
      <c r="DJ26">
        <f>($B$11*$D$9+$C$11*$D$9+$F$11*((FF26+EX26)/MAX(FF26+EX26+FG26, 0.1)*$I$9+FG26/MAX(FF26+EX26+FG26, 0.1)*$J$9))/($B$11+$C$11+$F$11)</f>
        <v>0</v>
      </c>
      <c r="DK26">
        <f>($B$11*$K$9+$C$11*$K$9+$F$11*((FF26+EX26)/MAX(FF26+EX26+FG26, 0.1)*$P$9+FG26/MAX(FF26+EX26+FG26, 0.1)*$Q$9))/($B$11+$C$11+$F$11)</f>
        <v>0</v>
      </c>
      <c r="DL26">
        <v>6</v>
      </c>
      <c r="DM26">
        <v>0.5</v>
      </c>
      <c r="DN26" t="s">
        <v>440</v>
      </c>
      <c r="DO26">
        <v>2</v>
      </c>
      <c r="DP26" t="b">
        <v>1</v>
      </c>
      <c r="DQ26">
        <v>1762102298.5</v>
      </c>
      <c r="DR26">
        <v>423.4436875</v>
      </c>
      <c r="DS26">
        <v>419.9918125</v>
      </c>
      <c r="DT26">
        <v>29.73225</v>
      </c>
      <c r="DU26">
        <v>19.57236875</v>
      </c>
      <c r="DV26">
        <v>415.109125</v>
      </c>
      <c r="DW26">
        <v>29.40290625</v>
      </c>
      <c r="DX26">
        <v>499.991</v>
      </c>
      <c r="DY26">
        <v>90.90245</v>
      </c>
      <c r="DZ26">
        <v>0.04697396875</v>
      </c>
      <c r="EA26">
        <v>50.84665625</v>
      </c>
      <c r="EB26">
        <v>47.980275</v>
      </c>
      <c r="EC26">
        <v>999.9</v>
      </c>
      <c r="ED26">
        <v>0</v>
      </c>
      <c r="EE26">
        <v>0</v>
      </c>
      <c r="EF26">
        <v>9997.10875</v>
      </c>
      <c r="EG26">
        <v>0</v>
      </c>
      <c r="EH26">
        <v>1083.128125</v>
      </c>
      <c r="EI26">
        <v>3.451955625</v>
      </c>
      <c r="EJ26">
        <v>436.4194375</v>
      </c>
      <c r="EK26">
        <v>428.376</v>
      </c>
      <c r="EL26">
        <v>10.1598875</v>
      </c>
      <c r="EM26">
        <v>419.9918125</v>
      </c>
      <c r="EN26">
        <v>19.57236875</v>
      </c>
      <c r="EO26">
        <v>2.702734375</v>
      </c>
      <c r="EP26">
        <v>1.779178125</v>
      </c>
      <c r="EQ26">
        <v>22.3017375</v>
      </c>
      <c r="ER26">
        <v>15.60503125</v>
      </c>
      <c r="ES26">
        <v>0.00500016</v>
      </c>
      <c r="ET26">
        <v>0</v>
      </c>
      <c r="EU26">
        <v>0</v>
      </c>
      <c r="EV26">
        <v>0</v>
      </c>
      <c r="EW26">
        <v>1087.43125</v>
      </c>
      <c r="EX26">
        <v>0.00500016</v>
      </c>
      <c r="EY26">
        <v>203.76875</v>
      </c>
      <c r="EZ26">
        <v>2.45</v>
      </c>
      <c r="FA26">
        <v>53.23425</v>
      </c>
      <c r="FB26">
        <v>56.875</v>
      </c>
      <c r="FC26">
        <v>54.9685</v>
      </c>
      <c r="FD26">
        <v>57.0155</v>
      </c>
      <c r="FE26">
        <v>56.92925</v>
      </c>
      <c r="FF26">
        <v>0</v>
      </c>
      <c r="FG26">
        <v>0</v>
      </c>
      <c r="FH26">
        <v>0</v>
      </c>
      <c r="FI26">
        <v>98.6000001430511</v>
      </c>
      <c r="FJ26">
        <v>0</v>
      </c>
      <c r="FK26">
        <v>1085.428</v>
      </c>
      <c r="FL26">
        <v>22.3692303744092</v>
      </c>
      <c r="FM26">
        <v>-16.5384612672189</v>
      </c>
      <c r="FN26">
        <v>203.964</v>
      </c>
      <c r="FO26">
        <v>15</v>
      </c>
      <c r="FP26">
        <v>0</v>
      </c>
      <c r="FQ26" t="s">
        <v>441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3.44209761904762</v>
      </c>
      <c r="GD26">
        <v>0.14653168831169</v>
      </c>
      <c r="GE26">
        <v>0.0465885088943371</v>
      </c>
      <c r="GF26">
        <v>1</v>
      </c>
      <c r="GG26">
        <v>1083.46176470588</v>
      </c>
      <c r="GH26">
        <v>31.6440030783865</v>
      </c>
      <c r="GI26">
        <v>6.68439863571192</v>
      </c>
      <c r="GJ26">
        <v>-1</v>
      </c>
      <c r="GK26">
        <v>10.1678904761905</v>
      </c>
      <c r="GL26">
        <v>-0.187059740259741</v>
      </c>
      <c r="GM26">
        <v>0.0190394303826835</v>
      </c>
      <c r="GN26">
        <v>0</v>
      </c>
      <c r="GO26">
        <v>1</v>
      </c>
      <c r="GP26">
        <v>2</v>
      </c>
      <c r="GQ26" t="s">
        <v>458</v>
      </c>
      <c r="GR26">
        <v>3.12322</v>
      </c>
      <c r="GS26">
        <v>2.67261</v>
      </c>
      <c r="GT26">
        <v>0.0860929</v>
      </c>
      <c r="GU26">
        <v>0.0867424</v>
      </c>
      <c r="GV26">
        <v>0.114767</v>
      </c>
      <c r="GW26">
        <v>0.0854382</v>
      </c>
      <c r="GX26">
        <v>22580.8</v>
      </c>
      <c r="GY26">
        <v>21418.6</v>
      </c>
      <c r="GZ26">
        <v>22162.1</v>
      </c>
      <c r="HA26">
        <v>22908.8</v>
      </c>
      <c r="HB26">
        <v>33610.6</v>
      </c>
      <c r="HC26">
        <v>34754.1</v>
      </c>
      <c r="HD26">
        <v>40143.8</v>
      </c>
      <c r="HE26">
        <v>40962.4</v>
      </c>
      <c r="HF26">
        <v>1.75233</v>
      </c>
      <c r="HG26">
        <v>2.09802</v>
      </c>
      <c r="HH26">
        <v>0.0755861</v>
      </c>
      <c r="HI26">
        <v>0</v>
      </c>
      <c r="HJ26">
        <v>46.7839</v>
      </c>
      <c r="HK26">
        <v>999.9</v>
      </c>
      <c r="HL26">
        <v>51.276</v>
      </c>
      <c r="HM26">
        <v>26.687</v>
      </c>
      <c r="HN26">
        <v>19.8209</v>
      </c>
      <c r="HO26">
        <v>59.0436</v>
      </c>
      <c r="HP26">
        <v>22.7845</v>
      </c>
      <c r="HQ26">
        <v>2</v>
      </c>
      <c r="HR26">
        <v>1.44642</v>
      </c>
      <c r="HS26">
        <v>-3.80891</v>
      </c>
      <c r="HT26">
        <v>20.1759</v>
      </c>
      <c r="HU26">
        <v>5.22837</v>
      </c>
      <c r="HV26">
        <v>11.998</v>
      </c>
      <c r="HW26">
        <v>4.9534</v>
      </c>
      <c r="HX26">
        <v>3.304</v>
      </c>
      <c r="HY26">
        <v>9999</v>
      </c>
      <c r="HZ26">
        <v>999.9</v>
      </c>
      <c r="IA26">
        <v>9999</v>
      </c>
      <c r="IB26">
        <v>9999</v>
      </c>
      <c r="IC26">
        <v>1.86846</v>
      </c>
      <c r="ID26">
        <v>1.86417</v>
      </c>
      <c r="IE26">
        <v>1.87181</v>
      </c>
      <c r="IF26">
        <v>1.86264</v>
      </c>
      <c r="IG26">
        <v>1.86203</v>
      </c>
      <c r="IH26">
        <v>1.86857</v>
      </c>
      <c r="II26">
        <v>1.85865</v>
      </c>
      <c r="IJ26">
        <v>1.86508</v>
      </c>
      <c r="IK26">
        <v>5</v>
      </c>
      <c r="IL26">
        <v>0</v>
      </c>
      <c r="IM26">
        <v>0</v>
      </c>
      <c r="IN26">
        <v>0</v>
      </c>
      <c r="IO26" t="s">
        <v>443</v>
      </c>
      <c r="IP26" t="s">
        <v>444</v>
      </c>
      <c r="IQ26" t="s">
        <v>445</v>
      </c>
      <c r="IR26" t="s">
        <v>445</v>
      </c>
      <c r="IS26" t="s">
        <v>445</v>
      </c>
      <c r="IT26" t="s">
        <v>445</v>
      </c>
      <c r="IU26">
        <v>0</v>
      </c>
      <c r="IV26">
        <v>100</v>
      </c>
      <c r="IW26">
        <v>100</v>
      </c>
      <c r="IX26">
        <v>8.335</v>
      </c>
      <c r="IY26">
        <v>0.3294</v>
      </c>
      <c r="IZ26">
        <v>5.63042802259986</v>
      </c>
      <c r="JA26">
        <v>0.00813484245791346</v>
      </c>
      <c r="JB26">
        <v>-4.34547228418155e-06</v>
      </c>
      <c r="JC26">
        <v>1.0644471544636e-09</v>
      </c>
      <c r="JD26">
        <v>0.329354282981013</v>
      </c>
      <c r="JE26">
        <v>0</v>
      </c>
      <c r="JF26">
        <v>0</v>
      </c>
      <c r="JG26">
        <v>0</v>
      </c>
      <c r="JH26">
        <v>-3</v>
      </c>
      <c r="JI26">
        <v>2169</v>
      </c>
      <c r="JJ26">
        <v>1</v>
      </c>
      <c r="JK26">
        <v>22</v>
      </c>
      <c r="JL26">
        <v>29368371.8</v>
      </c>
      <c r="JM26">
        <v>29368371.8</v>
      </c>
      <c r="JN26">
        <v>1.30737</v>
      </c>
      <c r="JO26">
        <v>2.34375</v>
      </c>
      <c r="JP26">
        <v>2.09839</v>
      </c>
      <c r="JQ26">
        <v>2.65259</v>
      </c>
      <c r="JR26">
        <v>2.24365</v>
      </c>
      <c r="JS26">
        <v>2.31323</v>
      </c>
      <c r="JT26">
        <v>33.8283</v>
      </c>
      <c r="JU26">
        <v>24.1663</v>
      </c>
      <c r="JV26">
        <v>18</v>
      </c>
      <c r="JW26">
        <v>561.907</v>
      </c>
      <c r="JX26">
        <v>805.434</v>
      </c>
      <c r="JY26">
        <v>55.9628</v>
      </c>
      <c r="JZ26">
        <v>45.128</v>
      </c>
      <c r="KA26">
        <v>30.001</v>
      </c>
      <c r="KB26">
        <v>43.7998</v>
      </c>
      <c r="KC26">
        <v>43.8675</v>
      </c>
      <c r="KD26">
        <v>26.2051</v>
      </c>
      <c r="KE26">
        <v>0</v>
      </c>
      <c r="KF26">
        <v>100</v>
      </c>
      <c r="KG26">
        <v>55.967</v>
      </c>
      <c r="KH26">
        <v>420</v>
      </c>
      <c r="KI26">
        <v>23.2649</v>
      </c>
      <c r="KJ26">
        <v>89.8214</v>
      </c>
      <c r="KK26">
        <v>95.3739</v>
      </c>
    </row>
    <row r="27" spans="1:297">
      <c r="A27">
        <v>11</v>
      </c>
      <c r="B27">
        <v>1762103283.1</v>
      </c>
      <c r="C27">
        <v>1852</v>
      </c>
      <c r="D27" t="s">
        <v>483</v>
      </c>
      <c r="E27" t="s">
        <v>484</v>
      </c>
      <c r="F27">
        <v>5</v>
      </c>
      <c r="G27" t="s">
        <v>485</v>
      </c>
      <c r="H27" t="s">
        <v>436</v>
      </c>
      <c r="I27">
        <v>1762103275.1</v>
      </c>
      <c r="J27">
        <f>(K27)/1000</f>
        <v>0</v>
      </c>
      <c r="K27">
        <f>IF(DP27, AN27, AH27)</f>
        <v>0</v>
      </c>
      <c r="L27">
        <f>IF(DP27, AI27, AG27)</f>
        <v>0</v>
      </c>
      <c r="M27">
        <f>DR27 - IF(AU27&gt;1, L27*DL27*100.0/(AW27), 0)</f>
        <v>0</v>
      </c>
      <c r="N27">
        <f>((T27-J27/2)*M27-L27)/(T27+J27/2)</f>
        <v>0</v>
      </c>
      <c r="O27">
        <f>N27*(DY27+DZ27)/1000.0</f>
        <v>0</v>
      </c>
      <c r="P27">
        <f>(DR27 - IF(AU27&gt;1, L27*DL27*100.0/(AW27), 0))*(DY27+DZ27)/1000.0</f>
        <v>0</v>
      </c>
      <c r="Q27">
        <f>2.0/((1/S27-1/R27)+SIGN(S27)*SQRT((1/S27-1/R27)*(1/S27-1/R27) + 4*DM27/((DM27+1)*(DM27+1))*(2*1/S27*1/R27-1/R27*1/R27)))</f>
        <v>0</v>
      </c>
      <c r="R27">
        <f>IF(LEFT(DN27,1)&lt;&gt;"0",IF(LEFT(DN27,1)="1",3.0,DO27),$D$5+$E$5*(EF27*DY27/($K$5*1000))+$F$5*(EF27*DY27/($K$5*1000))*MAX(MIN(DL27,$J$5),$I$5)*MAX(MIN(DL27,$J$5),$I$5)+$G$5*MAX(MIN(DL27,$J$5),$I$5)*(EF27*DY27/($K$5*1000))+$H$5*(EF27*DY27/($K$5*1000))*(EF27*DY27/($K$5*1000)))</f>
        <v>0</v>
      </c>
      <c r="S27">
        <f>J27*(1000-(1000*0.61365*exp(17.502*W27/(240.97+W27))/(DY27+DZ27)+DT27)/2)/(1000*0.61365*exp(17.502*W27/(240.97+W27))/(DY27+DZ27)-DT27)</f>
        <v>0</v>
      </c>
      <c r="T27">
        <f>1/((DM27+1)/(Q27/1.6)+1/(R27/1.37)) + DM27/((DM27+1)/(Q27/1.6) + DM27/(R27/1.37))</f>
        <v>0</v>
      </c>
      <c r="U27">
        <f>(DH27*DK27)</f>
        <v>0</v>
      </c>
      <c r="V27">
        <f>(EA27+(U27+2*0.95*5.67E-8*(((EA27+$B$7)+273)^4-(EA27+273)^4)-44100*J27)/(1.84*29.3*R27+8*0.95*5.67E-8*(EA27+273)^3))</f>
        <v>0</v>
      </c>
      <c r="W27">
        <f>($C$7*EB27+$D$7*EC27+$E$7*V27)</f>
        <v>0</v>
      </c>
      <c r="X27">
        <f>0.61365*exp(17.502*W27/(240.97+W27))</f>
        <v>0</v>
      </c>
      <c r="Y27">
        <f>(Z27/AA27*100)</f>
        <v>0</v>
      </c>
      <c r="Z27">
        <f>DT27*(DY27+DZ27)/1000</f>
        <v>0</v>
      </c>
      <c r="AA27">
        <f>0.61365*exp(17.502*EA27/(240.97+EA27))</f>
        <v>0</v>
      </c>
      <c r="AB27">
        <f>(X27-DT27*(DY27+DZ27)/1000)</f>
        <v>0</v>
      </c>
      <c r="AC27">
        <f>(-J27*44100)</f>
        <v>0</v>
      </c>
      <c r="AD27">
        <f>2*29.3*R27*0.92*(EA27-W27)</f>
        <v>0</v>
      </c>
      <c r="AE27">
        <f>2*0.95*5.67E-8*(((EA27+$B$7)+273)^4-(W27+273)^4)</f>
        <v>0</v>
      </c>
      <c r="AF27">
        <f>U27+AE27+AC27+AD27</f>
        <v>0</v>
      </c>
      <c r="AG27">
        <f>DX27*AU27*(DS27-DR27*(1000-AU27*DU27)/(1000-AU27*DT27))/(100*DL27)</f>
        <v>0</v>
      </c>
      <c r="AH27">
        <f>1000*DX27*AU27*(DT27-DU27)/(100*DL27*(1000-AU27*DT27))</f>
        <v>0</v>
      </c>
      <c r="AI27">
        <f>(AJ27 - AK27 - DY27*1E3/(8.314*(EA27+273.15)) * AM27/DX27 * AL27) * DX27/(100*DL27) * (1000 - DU27)/1000</f>
        <v>0</v>
      </c>
      <c r="AJ27">
        <v>428.46728168622</v>
      </c>
      <c r="AK27">
        <v>435.013345454545</v>
      </c>
      <c r="AL27">
        <v>-0.0323696191492875</v>
      </c>
      <c r="AM27">
        <v>64.2593478590459</v>
      </c>
      <c r="AN27">
        <f>(AP27 - AO27 + DY27*1E3/(8.314*(EA27+273.15)) * AR27/DX27 * AQ27) * DX27/(100*DL27) * 1000/(1000 - AP27)</f>
        <v>0</v>
      </c>
      <c r="AO27">
        <v>19.944975529352</v>
      </c>
      <c r="AP27">
        <v>45.8489181818182</v>
      </c>
      <c r="AQ27">
        <v>-0.0249943830408166</v>
      </c>
      <c r="AR27">
        <v>106.297995219871</v>
      </c>
      <c r="AS27">
        <v>0</v>
      </c>
      <c r="AT27">
        <v>0</v>
      </c>
      <c r="AU27">
        <f>IF(AS27*$H$13&gt;=AW27,1.0,(AW27/(AW27-AS27*$H$13)))</f>
        <v>0</v>
      </c>
      <c r="AV27">
        <f>(AU27-1)*100</f>
        <v>0</v>
      </c>
      <c r="AW27">
        <f>MAX(0,($B$13+$C$13*EF27)/(1+$D$13*EF27)*DY27/(EA27+273)*$E$13)</f>
        <v>0</v>
      </c>
      <c r="AX27" t="s">
        <v>481</v>
      </c>
      <c r="AY27">
        <v>5087.34</v>
      </c>
      <c r="AZ27">
        <v>1085.428</v>
      </c>
      <c r="BA27">
        <v>1355.94830374938</v>
      </c>
      <c r="BB27">
        <f>1-AZ27/BA27</f>
        <v>0</v>
      </c>
      <c r="BC27">
        <v>-6.44647968230568</v>
      </c>
      <c r="BD27" t="s">
        <v>486</v>
      </c>
      <c r="BE27">
        <v>5079.2</v>
      </c>
      <c r="BF27">
        <v>863.35104</v>
      </c>
      <c r="BG27">
        <v>882.811792269783</v>
      </c>
      <c r="BH27">
        <f>1-BF27/BG27</f>
        <v>0</v>
      </c>
      <c r="BI27">
        <v>0.5</v>
      </c>
      <c r="BJ27">
        <f>DI27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487</v>
      </c>
      <c r="BQ27">
        <v>817.33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BZ27">
        <v>813</v>
      </c>
      <c r="CA27">
        <v>290</v>
      </c>
      <c r="CB27">
        <v>874.74</v>
      </c>
      <c r="CC27">
        <v>245</v>
      </c>
      <c r="CD27">
        <v>5079.2</v>
      </c>
      <c r="CE27">
        <v>874.03</v>
      </c>
      <c r="CF27">
        <v>0.71</v>
      </c>
      <c r="CG27">
        <v>300</v>
      </c>
      <c r="CH27">
        <v>23.9</v>
      </c>
      <c r="CI27">
        <v>882.811792269783</v>
      </c>
      <c r="CJ27">
        <v>1.87527479146432</v>
      </c>
      <c r="CK27">
        <v>-4.4588217024918</v>
      </c>
      <c r="CL27">
        <v>0.877468640407648</v>
      </c>
      <c r="CM27">
        <v>0.479759240446773</v>
      </c>
      <c r="CN27">
        <v>-0.00254486051167965</v>
      </c>
      <c r="CO27">
        <v>290</v>
      </c>
      <c r="CP27">
        <v>873.78</v>
      </c>
      <c r="CQ27">
        <v>775</v>
      </c>
      <c r="CR27">
        <v>5076.43</v>
      </c>
      <c r="CS27">
        <v>874.03</v>
      </c>
      <c r="CT27">
        <v>-0.25</v>
      </c>
      <c r="DH27">
        <f>$B$11*EG27+$C$11*EH27+$F$11*ES27*(1-EV27)</f>
        <v>0</v>
      </c>
      <c r="DI27">
        <f>DH27*DJ27</f>
        <v>0</v>
      </c>
      <c r="DJ27">
        <f>($B$11*$D$9+$C$11*$D$9+$F$11*((FF27+EX27)/MAX(FF27+EX27+FG27, 0.1)*$I$9+FG27/MAX(FF27+EX27+FG27, 0.1)*$J$9))/($B$11+$C$11+$F$11)</f>
        <v>0</v>
      </c>
      <c r="DK27">
        <f>($B$11*$K$9+$C$11*$K$9+$F$11*((FF27+EX27)/MAX(FF27+EX27+FG27, 0.1)*$P$9+FG27/MAX(FF27+EX27+FG27, 0.1)*$Q$9))/($B$11+$C$11+$F$11)</f>
        <v>0</v>
      </c>
      <c r="DL27">
        <v>6</v>
      </c>
      <c r="DM27">
        <v>0.5</v>
      </c>
      <c r="DN27" t="s">
        <v>440</v>
      </c>
      <c r="DO27">
        <v>2</v>
      </c>
      <c r="DP27" t="b">
        <v>1</v>
      </c>
      <c r="DQ27">
        <v>1762103275.1</v>
      </c>
      <c r="DR27">
        <v>415.160066666667</v>
      </c>
      <c r="DS27">
        <v>419.9332</v>
      </c>
      <c r="DT27">
        <v>46.0315933333333</v>
      </c>
      <c r="DU27">
        <v>19.94104</v>
      </c>
      <c r="DV27">
        <v>406.8676</v>
      </c>
      <c r="DW27">
        <v>45.7022266666667</v>
      </c>
      <c r="DX27">
        <v>500.0912</v>
      </c>
      <c r="DY27">
        <v>90.8870466666667</v>
      </c>
      <c r="DZ27">
        <v>0.0465682</v>
      </c>
      <c r="EA27">
        <v>53.1366133333333</v>
      </c>
      <c r="EB27">
        <v>48.14782</v>
      </c>
      <c r="EC27">
        <v>999.9</v>
      </c>
      <c r="ED27">
        <v>0</v>
      </c>
      <c r="EE27">
        <v>0</v>
      </c>
      <c r="EF27">
        <v>10007.6306666667</v>
      </c>
      <c r="EG27">
        <v>0</v>
      </c>
      <c r="EH27">
        <v>1088.618</v>
      </c>
      <c r="EI27">
        <v>-4.77309133333333</v>
      </c>
      <c r="EJ27">
        <v>435.1928</v>
      </c>
      <c r="EK27">
        <v>428.477533333333</v>
      </c>
      <c r="EL27">
        <v>26.0905466666667</v>
      </c>
      <c r="EM27">
        <v>419.9332</v>
      </c>
      <c r="EN27">
        <v>19.94104</v>
      </c>
      <c r="EO27">
        <v>4.183674</v>
      </c>
      <c r="EP27">
        <v>1.812382</v>
      </c>
      <c r="EQ27">
        <v>29.6837266666667</v>
      </c>
      <c r="ER27">
        <v>15.8939866666667</v>
      </c>
      <c r="ES27">
        <v>1999.99533333333</v>
      </c>
      <c r="ET27">
        <v>0.979994466666667</v>
      </c>
      <c r="EU27">
        <v>0.0200052466666667</v>
      </c>
      <c r="EV27">
        <v>0</v>
      </c>
      <c r="EW27">
        <v>863.21</v>
      </c>
      <c r="EX27">
        <v>5.00016</v>
      </c>
      <c r="EY27">
        <v>17931.2533333333</v>
      </c>
      <c r="EZ27">
        <v>18234.1333333333</v>
      </c>
      <c r="FA27">
        <v>53.8330666666667</v>
      </c>
      <c r="FB27">
        <v>55.7332</v>
      </c>
      <c r="FC27">
        <v>54.0039333333333</v>
      </c>
      <c r="FD27">
        <v>56.3288</v>
      </c>
      <c r="FE27">
        <v>57.2497333333333</v>
      </c>
      <c r="FF27">
        <v>1955.08533333333</v>
      </c>
      <c r="FG27">
        <v>39.91</v>
      </c>
      <c r="FH27">
        <v>0</v>
      </c>
      <c r="FI27">
        <v>973.799999952316</v>
      </c>
      <c r="FJ27">
        <v>0</v>
      </c>
      <c r="FK27">
        <v>863.35104</v>
      </c>
      <c r="FL27">
        <v>14.8656923443601</v>
      </c>
      <c r="FM27">
        <v>347.45384669258</v>
      </c>
      <c r="FN27">
        <v>17934.676</v>
      </c>
      <c r="FO27">
        <v>15</v>
      </c>
      <c r="FP27">
        <v>0</v>
      </c>
      <c r="FQ27" t="s">
        <v>441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-4.7288565</v>
      </c>
      <c r="GD27">
        <v>-0.810260300751879</v>
      </c>
      <c r="GE27">
        <v>0.0929403920948798</v>
      </c>
      <c r="GF27">
        <v>0</v>
      </c>
      <c r="GG27">
        <v>862.253647058824</v>
      </c>
      <c r="GH27">
        <v>15.0466921327471</v>
      </c>
      <c r="GI27">
        <v>1.49540244204289</v>
      </c>
      <c r="GJ27">
        <v>-1</v>
      </c>
      <c r="GK27">
        <v>26.18526</v>
      </c>
      <c r="GL27">
        <v>-1.63102556390983</v>
      </c>
      <c r="GM27">
        <v>0.156814120537661</v>
      </c>
      <c r="GN27">
        <v>0</v>
      </c>
      <c r="GO27">
        <v>0</v>
      </c>
      <c r="GP27">
        <v>2</v>
      </c>
      <c r="GQ27" t="s">
        <v>488</v>
      </c>
      <c r="GR27">
        <v>3.12305</v>
      </c>
      <c r="GS27">
        <v>2.6723</v>
      </c>
      <c r="GT27">
        <v>0.0845751</v>
      </c>
      <c r="GU27">
        <v>0.0864279</v>
      </c>
      <c r="GV27">
        <v>0.154292</v>
      </c>
      <c r="GW27">
        <v>0.0863252</v>
      </c>
      <c r="GX27">
        <v>22531.3</v>
      </c>
      <c r="GY27">
        <v>21378.3</v>
      </c>
      <c r="GZ27">
        <v>22081.2</v>
      </c>
      <c r="HA27">
        <v>22863.6</v>
      </c>
      <c r="HB27">
        <v>32039.9</v>
      </c>
      <c r="HC27">
        <v>34661.2</v>
      </c>
      <c r="HD27">
        <v>40015.4</v>
      </c>
      <c r="HE27">
        <v>40894.3</v>
      </c>
      <c r="HF27">
        <v>1.7476</v>
      </c>
      <c r="HG27">
        <v>2.0772</v>
      </c>
      <c r="HH27">
        <v>-0.0436231</v>
      </c>
      <c r="HI27">
        <v>0</v>
      </c>
      <c r="HJ27">
        <v>48.616</v>
      </c>
      <c r="HK27">
        <v>999.9</v>
      </c>
      <c r="HL27">
        <v>51.154</v>
      </c>
      <c r="HM27">
        <v>27.08</v>
      </c>
      <c r="HN27">
        <v>20.2391</v>
      </c>
      <c r="HO27">
        <v>59.0064</v>
      </c>
      <c r="HP27">
        <v>22.9728</v>
      </c>
      <c r="HQ27">
        <v>2</v>
      </c>
      <c r="HR27">
        <v>1.55794</v>
      </c>
      <c r="HS27">
        <v>2.06276</v>
      </c>
      <c r="HT27">
        <v>20.1768</v>
      </c>
      <c r="HU27">
        <v>5.22837</v>
      </c>
      <c r="HV27">
        <v>11.998</v>
      </c>
      <c r="HW27">
        <v>4.9532</v>
      </c>
      <c r="HX27">
        <v>3.304</v>
      </c>
      <c r="HY27">
        <v>9999</v>
      </c>
      <c r="HZ27">
        <v>999.9</v>
      </c>
      <c r="IA27">
        <v>9999</v>
      </c>
      <c r="IB27">
        <v>9999</v>
      </c>
      <c r="IC27">
        <v>1.86853</v>
      </c>
      <c r="ID27">
        <v>1.86418</v>
      </c>
      <c r="IE27">
        <v>1.87181</v>
      </c>
      <c r="IF27">
        <v>1.86264</v>
      </c>
      <c r="IG27">
        <v>1.86203</v>
      </c>
      <c r="IH27">
        <v>1.86855</v>
      </c>
      <c r="II27">
        <v>1.85867</v>
      </c>
      <c r="IJ27">
        <v>1.86508</v>
      </c>
      <c r="IK27">
        <v>5</v>
      </c>
      <c r="IL27">
        <v>0</v>
      </c>
      <c r="IM27">
        <v>0</v>
      </c>
      <c r="IN27">
        <v>0</v>
      </c>
      <c r="IO27" t="s">
        <v>443</v>
      </c>
      <c r="IP27" t="s">
        <v>444</v>
      </c>
      <c r="IQ27" t="s">
        <v>445</v>
      </c>
      <c r="IR27" t="s">
        <v>445</v>
      </c>
      <c r="IS27" t="s">
        <v>445</v>
      </c>
      <c r="IT27" t="s">
        <v>445</v>
      </c>
      <c r="IU27">
        <v>0</v>
      </c>
      <c r="IV27">
        <v>100</v>
      </c>
      <c r="IW27">
        <v>100</v>
      </c>
      <c r="IX27">
        <v>8.293</v>
      </c>
      <c r="IY27">
        <v>0.3293</v>
      </c>
      <c r="IZ27">
        <v>5.63042802259986</v>
      </c>
      <c r="JA27">
        <v>0.00813484245791346</v>
      </c>
      <c r="JB27">
        <v>-4.34547228418155e-06</v>
      </c>
      <c r="JC27">
        <v>1.0644471544636e-09</v>
      </c>
      <c r="JD27">
        <v>0.329354282981013</v>
      </c>
      <c r="JE27">
        <v>0</v>
      </c>
      <c r="JF27">
        <v>0</v>
      </c>
      <c r="JG27">
        <v>0</v>
      </c>
      <c r="JH27">
        <v>-3</v>
      </c>
      <c r="JI27">
        <v>2169</v>
      </c>
      <c r="JJ27">
        <v>1</v>
      </c>
      <c r="JK27">
        <v>22</v>
      </c>
      <c r="JL27">
        <v>29368388.1</v>
      </c>
      <c r="JM27">
        <v>29368388.1</v>
      </c>
      <c r="JN27">
        <v>1.31226</v>
      </c>
      <c r="JO27">
        <v>2.34985</v>
      </c>
      <c r="JP27">
        <v>2.09839</v>
      </c>
      <c r="JQ27">
        <v>2.65137</v>
      </c>
      <c r="JR27">
        <v>2.24365</v>
      </c>
      <c r="JS27">
        <v>2.37305</v>
      </c>
      <c r="JT27">
        <v>34.3497</v>
      </c>
      <c r="JU27">
        <v>24.14</v>
      </c>
      <c r="JV27">
        <v>18</v>
      </c>
      <c r="JW27">
        <v>568.028</v>
      </c>
      <c r="JX27">
        <v>799.618</v>
      </c>
      <c r="JY27">
        <v>49.809</v>
      </c>
      <c r="JZ27">
        <v>46.5135</v>
      </c>
      <c r="KA27">
        <v>29.9951</v>
      </c>
      <c r="KB27">
        <v>45.212</v>
      </c>
      <c r="KC27">
        <v>45.294</v>
      </c>
      <c r="KD27">
        <v>26.3067</v>
      </c>
      <c r="KE27">
        <v>0</v>
      </c>
      <c r="KF27">
        <v>100</v>
      </c>
      <c r="KG27">
        <v>56.9321</v>
      </c>
      <c r="KH27">
        <v>420</v>
      </c>
      <c r="KI27">
        <v>23.2649</v>
      </c>
      <c r="KJ27">
        <v>89.5196</v>
      </c>
      <c r="KK27">
        <v>95.2049</v>
      </c>
    </row>
    <row r="28" spans="1:297">
      <c r="A28">
        <v>12</v>
      </c>
      <c r="B28">
        <v>1762103385.1</v>
      </c>
      <c r="C28">
        <v>1954</v>
      </c>
      <c r="D28" t="s">
        <v>489</v>
      </c>
      <c r="E28" t="s">
        <v>490</v>
      </c>
      <c r="F28">
        <v>5</v>
      </c>
      <c r="G28" t="s">
        <v>485</v>
      </c>
      <c r="H28" t="s">
        <v>436</v>
      </c>
      <c r="I28">
        <v>1762103376.6</v>
      </c>
      <c r="J28">
        <f>(K28)/1000</f>
        <v>0</v>
      </c>
      <c r="K28">
        <f>IF(DP28, AN28, AH28)</f>
        <v>0</v>
      </c>
      <c r="L28">
        <f>IF(DP28, AI28, AG28)</f>
        <v>0</v>
      </c>
      <c r="M28">
        <f>DR28 - IF(AU28&gt;1, L28*DL28*100.0/(AW28), 0)</f>
        <v>0</v>
      </c>
      <c r="N28">
        <f>((T28-J28/2)*M28-L28)/(T28+J28/2)</f>
        <v>0</v>
      </c>
      <c r="O28">
        <f>N28*(DY28+DZ28)/1000.0</f>
        <v>0</v>
      </c>
      <c r="P28">
        <f>(DR28 - IF(AU28&gt;1, L28*DL28*100.0/(AW28), 0))*(DY28+DZ28)/1000.0</f>
        <v>0</v>
      </c>
      <c r="Q28">
        <f>2.0/((1/S28-1/R28)+SIGN(S28)*SQRT((1/S28-1/R28)*(1/S28-1/R28) + 4*DM28/((DM28+1)*(DM28+1))*(2*1/S28*1/R28-1/R28*1/R28)))</f>
        <v>0</v>
      </c>
      <c r="R28">
        <f>IF(LEFT(DN28,1)&lt;&gt;"0",IF(LEFT(DN28,1)="1",3.0,DO28),$D$5+$E$5*(EF28*DY28/($K$5*1000))+$F$5*(EF28*DY28/($K$5*1000))*MAX(MIN(DL28,$J$5),$I$5)*MAX(MIN(DL28,$J$5),$I$5)+$G$5*MAX(MIN(DL28,$J$5),$I$5)*(EF28*DY28/($K$5*1000))+$H$5*(EF28*DY28/($K$5*1000))*(EF28*DY28/($K$5*1000)))</f>
        <v>0</v>
      </c>
      <c r="S28">
        <f>J28*(1000-(1000*0.61365*exp(17.502*W28/(240.97+W28))/(DY28+DZ28)+DT28)/2)/(1000*0.61365*exp(17.502*W28/(240.97+W28))/(DY28+DZ28)-DT28)</f>
        <v>0</v>
      </c>
      <c r="T28">
        <f>1/((DM28+1)/(Q28/1.6)+1/(R28/1.37)) + DM28/((DM28+1)/(Q28/1.6) + DM28/(R28/1.37))</f>
        <v>0</v>
      </c>
      <c r="U28">
        <f>(DH28*DK28)</f>
        <v>0</v>
      </c>
      <c r="V28">
        <f>(EA28+(U28+2*0.95*5.67E-8*(((EA28+$B$7)+273)^4-(EA28+273)^4)-44100*J28)/(1.84*29.3*R28+8*0.95*5.67E-8*(EA28+273)^3))</f>
        <v>0</v>
      </c>
      <c r="W28">
        <f>($C$7*EB28+$D$7*EC28+$E$7*V28)</f>
        <v>0</v>
      </c>
      <c r="X28">
        <f>0.61365*exp(17.502*W28/(240.97+W28))</f>
        <v>0</v>
      </c>
      <c r="Y28">
        <f>(Z28/AA28*100)</f>
        <v>0</v>
      </c>
      <c r="Z28">
        <f>DT28*(DY28+DZ28)/1000</f>
        <v>0</v>
      </c>
      <c r="AA28">
        <f>0.61365*exp(17.502*EA28/(240.97+EA28))</f>
        <v>0</v>
      </c>
      <c r="AB28">
        <f>(X28-DT28*(DY28+DZ28)/1000)</f>
        <v>0</v>
      </c>
      <c r="AC28">
        <f>(-J28*44100)</f>
        <v>0</v>
      </c>
      <c r="AD28">
        <f>2*29.3*R28*0.92*(EA28-W28)</f>
        <v>0</v>
      </c>
      <c r="AE28">
        <f>2*0.95*5.67E-8*(((EA28+$B$7)+273)^4-(W28+273)^4)</f>
        <v>0</v>
      </c>
      <c r="AF28">
        <f>U28+AE28+AC28+AD28</f>
        <v>0</v>
      </c>
      <c r="AG28">
        <f>DX28*AU28*(DS28-DR28*(1000-AU28*DU28)/(1000-AU28*DT28))/(100*DL28)</f>
        <v>0</v>
      </c>
      <c r="AH28">
        <f>1000*DX28*AU28*(DT28-DU28)/(100*DL28*(1000-AU28*DT28))</f>
        <v>0</v>
      </c>
      <c r="AI28">
        <f>(AJ28 - AK28 - DY28*1E3/(8.314*(EA28+273.15)) * AM28/DX28 * AL28) * DX28/(100*DL28) * (1000 - DU28)/1000</f>
        <v>0</v>
      </c>
      <c r="AJ28">
        <v>428.55941280615</v>
      </c>
      <c r="AK28">
        <v>433.750503030303</v>
      </c>
      <c r="AL28">
        <v>-0.00554180230838818</v>
      </c>
      <c r="AM28">
        <v>64.2593478590459</v>
      </c>
      <c r="AN28">
        <f>(AP28 - AO28 + DY28*1E3/(8.314*(EA28+273.15)) * AR28/DX28 * AQ28) * DX28/(100*DL28) * 1000/(1000 - AP28)</f>
        <v>0</v>
      </c>
      <c r="AO28">
        <v>20.0086005689962</v>
      </c>
      <c r="AP28">
        <v>45.3801078787878</v>
      </c>
      <c r="AQ28">
        <v>0.00601643593716276</v>
      </c>
      <c r="AR28">
        <v>106.297995219871</v>
      </c>
      <c r="AS28">
        <v>0</v>
      </c>
      <c r="AT28">
        <v>0</v>
      </c>
      <c r="AU28">
        <f>IF(AS28*$H$13&gt;=AW28,1.0,(AW28/(AW28-AS28*$H$13)))</f>
        <v>0</v>
      </c>
      <c r="AV28">
        <f>(AU28-1)*100</f>
        <v>0</v>
      </c>
      <c r="AW28">
        <f>MAX(0,($B$13+$C$13*EF28)/(1+$D$13*EF28)*DY28/(EA28+273)*$E$13)</f>
        <v>0</v>
      </c>
      <c r="AX28" t="s">
        <v>481</v>
      </c>
      <c r="AY28">
        <v>5087.34</v>
      </c>
      <c r="AZ28">
        <v>1085.428</v>
      </c>
      <c r="BA28">
        <v>1355.94830374938</v>
      </c>
      <c r="BB28">
        <f>1-AZ28/BA28</f>
        <v>0</v>
      </c>
      <c r="BC28">
        <v>-6.44647968230568</v>
      </c>
      <c r="BD28" t="s">
        <v>491</v>
      </c>
      <c r="BE28">
        <v>5078.28</v>
      </c>
      <c r="BF28">
        <v>873.379730769231</v>
      </c>
      <c r="BG28">
        <v>900.908199872393</v>
      </c>
      <c r="BH28">
        <f>1-BF28/BG28</f>
        <v>0</v>
      </c>
      <c r="BI28">
        <v>0.5</v>
      </c>
      <c r="BJ28">
        <f>DI28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492</v>
      </c>
      <c r="BQ28">
        <v>820.93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BZ28">
        <v>815</v>
      </c>
      <c r="CA28">
        <v>290</v>
      </c>
      <c r="CB28">
        <v>883.83</v>
      </c>
      <c r="CC28">
        <v>235</v>
      </c>
      <c r="CD28">
        <v>5078.28</v>
      </c>
      <c r="CE28">
        <v>884.02</v>
      </c>
      <c r="CF28">
        <v>-0.19</v>
      </c>
      <c r="CG28">
        <v>300</v>
      </c>
      <c r="CH28">
        <v>23.9</v>
      </c>
      <c r="CI28">
        <v>900.908199872393</v>
      </c>
      <c r="CJ28">
        <v>1.62578466026575</v>
      </c>
      <c r="CK28">
        <v>-8.57659853700104</v>
      </c>
      <c r="CL28">
        <v>0.756095321118693</v>
      </c>
      <c r="CM28">
        <v>0.821280317594913</v>
      </c>
      <c r="CN28">
        <v>-0.00271167074527252</v>
      </c>
      <c r="CO28">
        <v>290</v>
      </c>
      <c r="CP28">
        <v>883.11</v>
      </c>
      <c r="CQ28">
        <v>845</v>
      </c>
      <c r="CR28">
        <v>5074.79</v>
      </c>
      <c r="CS28">
        <v>884.01</v>
      </c>
      <c r="CT28">
        <v>-0.9</v>
      </c>
      <c r="DH28">
        <f>$B$11*EG28+$C$11*EH28+$F$11*ES28*(1-EV28)</f>
        <v>0</v>
      </c>
      <c r="DI28">
        <f>DH28*DJ28</f>
        <v>0</v>
      </c>
      <c r="DJ28">
        <f>($B$11*$D$9+$C$11*$D$9+$F$11*((FF28+EX28)/MAX(FF28+EX28+FG28, 0.1)*$I$9+FG28/MAX(FF28+EX28+FG28, 0.1)*$J$9))/($B$11+$C$11+$F$11)</f>
        <v>0</v>
      </c>
      <c r="DK28">
        <f>($B$11*$K$9+$C$11*$K$9+$F$11*((FF28+EX28)/MAX(FF28+EX28+FG28, 0.1)*$P$9+FG28/MAX(FF28+EX28+FG28, 0.1)*$Q$9))/($B$11+$C$11+$F$11)</f>
        <v>0</v>
      </c>
      <c r="DL28">
        <v>6</v>
      </c>
      <c r="DM28">
        <v>0.5</v>
      </c>
      <c r="DN28" t="s">
        <v>440</v>
      </c>
      <c r="DO28">
        <v>2</v>
      </c>
      <c r="DP28" t="b">
        <v>1</v>
      </c>
      <c r="DQ28">
        <v>1762103376.6</v>
      </c>
      <c r="DR28">
        <v>414.148875</v>
      </c>
      <c r="DS28">
        <v>419.99975</v>
      </c>
      <c r="DT28">
        <v>45.33433125</v>
      </c>
      <c r="DU28">
        <v>20.00525</v>
      </c>
      <c r="DV28">
        <v>405.8615625</v>
      </c>
      <c r="DW28">
        <v>45.0049875</v>
      </c>
      <c r="DX28">
        <v>499.9375625</v>
      </c>
      <c r="DY28">
        <v>90.88826875</v>
      </c>
      <c r="DZ28">
        <v>0.04744836875</v>
      </c>
      <c r="EA28">
        <v>52.62883125</v>
      </c>
      <c r="EB28">
        <v>47.5603625</v>
      </c>
      <c r="EC28">
        <v>999.9</v>
      </c>
      <c r="ED28">
        <v>0</v>
      </c>
      <c r="EE28">
        <v>0</v>
      </c>
      <c r="EF28">
        <v>9995.159375</v>
      </c>
      <c r="EG28">
        <v>0</v>
      </c>
      <c r="EH28">
        <v>1088.685</v>
      </c>
      <c r="EI28">
        <v>-5.850713125</v>
      </c>
      <c r="EJ28">
        <v>433.8156875</v>
      </c>
      <c r="EK28">
        <v>428.573375</v>
      </c>
      <c r="EL28">
        <v>25.3291125</v>
      </c>
      <c r="EM28">
        <v>419.99975</v>
      </c>
      <c r="EN28">
        <v>20.00525</v>
      </c>
      <c r="EO28">
        <v>4.120360625</v>
      </c>
      <c r="EP28">
        <v>1.818241875</v>
      </c>
      <c r="EQ28">
        <v>29.41915625</v>
      </c>
      <c r="ER28">
        <v>15.9445</v>
      </c>
      <c r="ES28">
        <v>1800.00125</v>
      </c>
      <c r="ET28">
        <v>0.977995125</v>
      </c>
      <c r="EU28">
        <v>0.022004925</v>
      </c>
      <c r="EV28">
        <v>0</v>
      </c>
      <c r="EW28">
        <v>873.523375</v>
      </c>
      <c r="EX28">
        <v>5.00016</v>
      </c>
      <c r="EY28">
        <v>16388.175</v>
      </c>
      <c r="EZ28">
        <v>16395.43125</v>
      </c>
      <c r="FA28">
        <v>54.976375</v>
      </c>
      <c r="FB28">
        <v>56.2224375</v>
      </c>
      <c r="FC28">
        <v>54.9568125</v>
      </c>
      <c r="FD28">
        <v>56.7965</v>
      </c>
      <c r="FE28">
        <v>58.2419375</v>
      </c>
      <c r="FF28">
        <v>1755.50125</v>
      </c>
      <c r="FG28">
        <v>39.5</v>
      </c>
      <c r="FH28">
        <v>0</v>
      </c>
      <c r="FI28">
        <v>97.7999999523163</v>
      </c>
      <c r="FJ28">
        <v>0</v>
      </c>
      <c r="FK28">
        <v>873.379730769231</v>
      </c>
      <c r="FL28">
        <v>-4.95490597549544</v>
      </c>
      <c r="FM28">
        <v>-50.642735086244</v>
      </c>
      <c r="FN28">
        <v>16387.4653846154</v>
      </c>
      <c r="FO28">
        <v>15</v>
      </c>
      <c r="FP28">
        <v>0</v>
      </c>
      <c r="FQ28" t="s">
        <v>441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-5.8296705</v>
      </c>
      <c r="GD28">
        <v>-0.466940300751881</v>
      </c>
      <c r="GE28">
        <v>0.0562399444767684</v>
      </c>
      <c r="GF28">
        <v>1</v>
      </c>
      <c r="GG28">
        <v>873.733911764706</v>
      </c>
      <c r="GH28">
        <v>-5.06910618462611</v>
      </c>
      <c r="GI28">
        <v>0.556268892218343</v>
      </c>
      <c r="GJ28">
        <v>-1</v>
      </c>
      <c r="GK28">
        <v>25.314285</v>
      </c>
      <c r="GL28">
        <v>0.306762406015062</v>
      </c>
      <c r="GM28">
        <v>0.0297256837600076</v>
      </c>
      <c r="GN28">
        <v>0</v>
      </c>
      <c r="GO28">
        <v>1</v>
      </c>
      <c r="GP28">
        <v>2</v>
      </c>
      <c r="GQ28" t="s">
        <v>458</v>
      </c>
      <c r="GR28">
        <v>3.12314</v>
      </c>
      <c r="GS28">
        <v>2.67298</v>
      </c>
      <c r="GT28">
        <v>0.0843872</v>
      </c>
      <c r="GU28">
        <v>0.0864235</v>
      </c>
      <c r="GV28">
        <v>0.153277</v>
      </c>
      <c r="GW28">
        <v>0.0865223</v>
      </c>
      <c r="GX28">
        <v>22525.7</v>
      </c>
      <c r="GY28">
        <v>21372.7</v>
      </c>
      <c r="GZ28">
        <v>22071.5</v>
      </c>
      <c r="HA28">
        <v>22857.8</v>
      </c>
      <c r="HB28">
        <v>32065.3</v>
      </c>
      <c r="HC28">
        <v>34646.3</v>
      </c>
      <c r="HD28">
        <v>40000</v>
      </c>
      <c r="HE28">
        <v>40885.6</v>
      </c>
      <c r="HF28">
        <v>1.7474</v>
      </c>
      <c r="HG28">
        <v>2.0758</v>
      </c>
      <c r="HH28">
        <v>-0.0174902</v>
      </c>
      <c r="HI28">
        <v>0</v>
      </c>
      <c r="HJ28">
        <v>47.8751</v>
      </c>
      <c r="HK28">
        <v>999.9</v>
      </c>
      <c r="HL28">
        <v>51.178</v>
      </c>
      <c r="HM28">
        <v>27.14</v>
      </c>
      <c r="HN28">
        <v>20.3196</v>
      </c>
      <c r="HO28">
        <v>58.8264</v>
      </c>
      <c r="HP28">
        <v>22.9647</v>
      </c>
      <c r="HQ28">
        <v>2</v>
      </c>
      <c r="HR28">
        <v>1.57366</v>
      </c>
      <c r="HS28">
        <v>-5.63183</v>
      </c>
      <c r="HT28">
        <v>20.1092</v>
      </c>
      <c r="HU28">
        <v>5.22897</v>
      </c>
      <c r="HV28">
        <v>11.998</v>
      </c>
      <c r="HW28">
        <v>4.9525</v>
      </c>
      <c r="HX28">
        <v>3.30398</v>
      </c>
      <c r="HY28">
        <v>9999</v>
      </c>
      <c r="HZ28">
        <v>999.9</v>
      </c>
      <c r="IA28">
        <v>9999</v>
      </c>
      <c r="IB28">
        <v>9999</v>
      </c>
      <c r="IC28">
        <v>1.86847</v>
      </c>
      <c r="ID28">
        <v>1.86418</v>
      </c>
      <c r="IE28">
        <v>1.87181</v>
      </c>
      <c r="IF28">
        <v>1.86264</v>
      </c>
      <c r="IG28">
        <v>1.86203</v>
      </c>
      <c r="IH28">
        <v>1.86857</v>
      </c>
      <c r="II28">
        <v>1.85866</v>
      </c>
      <c r="IJ28">
        <v>1.86508</v>
      </c>
      <c r="IK28">
        <v>5</v>
      </c>
      <c r="IL28">
        <v>0</v>
      </c>
      <c r="IM28">
        <v>0</v>
      </c>
      <c r="IN28">
        <v>0</v>
      </c>
      <c r="IO28" t="s">
        <v>443</v>
      </c>
      <c r="IP28" t="s">
        <v>444</v>
      </c>
      <c r="IQ28" t="s">
        <v>445</v>
      </c>
      <c r="IR28" t="s">
        <v>445</v>
      </c>
      <c r="IS28" t="s">
        <v>445</v>
      </c>
      <c r="IT28" t="s">
        <v>445</v>
      </c>
      <c r="IU28">
        <v>0</v>
      </c>
      <c r="IV28">
        <v>100</v>
      </c>
      <c r="IW28">
        <v>100</v>
      </c>
      <c r="IX28">
        <v>8.287</v>
      </c>
      <c r="IY28">
        <v>0.3293</v>
      </c>
      <c r="IZ28">
        <v>5.63042802259986</v>
      </c>
      <c r="JA28">
        <v>0.00813484245791346</v>
      </c>
      <c r="JB28">
        <v>-4.34547228418155e-06</v>
      </c>
      <c r="JC28">
        <v>1.0644471544636e-09</v>
      </c>
      <c r="JD28">
        <v>0.329354282981013</v>
      </c>
      <c r="JE28">
        <v>0</v>
      </c>
      <c r="JF28">
        <v>0</v>
      </c>
      <c r="JG28">
        <v>0</v>
      </c>
      <c r="JH28">
        <v>-3</v>
      </c>
      <c r="JI28">
        <v>2169</v>
      </c>
      <c r="JJ28">
        <v>1</v>
      </c>
      <c r="JK28">
        <v>22</v>
      </c>
      <c r="JL28">
        <v>29368389.8</v>
      </c>
      <c r="JM28">
        <v>29368389.8</v>
      </c>
      <c r="JN28">
        <v>1.31226</v>
      </c>
      <c r="JO28">
        <v>2.35107</v>
      </c>
      <c r="JP28">
        <v>2.09839</v>
      </c>
      <c r="JQ28">
        <v>2.65137</v>
      </c>
      <c r="JR28">
        <v>2.24365</v>
      </c>
      <c r="JS28">
        <v>2.35474</v>
      </c>
      <c r="JT28">
        <v>34.418</v>
      </c>
      <c r="JU28">
        <v>24.07</v>
      </c>
      <c r="JV28">
        <v>18</v>
      </c>
      <c r="JW28">
        <v>568.353</v>
      </c>
      <c r="JX28">
        <v>798.964</v>
      </c>
      <c r="JY28">
        <v>58.9474</v>
      </c>
      <c r="JZ28">
        <v>46.5854</v>
      </c>
      <c r="KA28">
        <v>30.0005</v>
      </c>
      <c r="KB28">
        <v>45.2818</v>
      </c>
      <c r="KC28">
        <v>45.3673</v>
      </c>
      <c r="KD28">
        <v>26.3097</v>
      </c>
      <c r="KE28">
        <v>0</v>
      </c>
      <c r="KF28">
        <v>100</v>
      </c>
      <c r="KG28">
        <v>59.1255</v>
      </c>
      <c r="KH28">
        <v>420</v>
      </c>
      <c r="KI28">
        <v>23.2649</v>
      </c>
      <c r="KJ28">
        <v>89.4836</v>
      </c>
      <c r="KK28">
        <v>95.1832</v>
      </c>
    </row>
    <row r="29" spans="1:297">
      <c r="A29">
        <v>13</v>
      </c>
      <c r="B29">
        <v>1762103488.1</v>
      </c>
      <c r="C29">
        <v>2057</v>
      </c>
      <c r="D29" t="s">
        <v>493</v>
      </c>
      <c r="E29" t="s">
        <v>494</v>
      </c>
      <c r="F29">
        <v>5</v>
      </c>
      <c r="G29" t="s">
        <v>485</v>
      </c>
      <c r="H29" t="s">
        <v>436</v>
      </c>
      <c r="I29">
        <v>1762103479.6</v>
      </c>
      <c r="J29">
        <f>(K29)/1000</f>
        <v>0</v>
      </c>
      <c r="K29">
        <f>IF(DP29, AN29, AH29)</f>
        <v>0</v>
      </c>
      <c r="L29">
        <f>IF(DP29, AI29, AG29)</f>
        <v>0</v>
      </c>
      <c r="M29">
        <f>DR29 - IF(AU29&gt;1, L29*DL29*100.0/(AW29), 0)</f>
        <v>0</v>
      </c>
      <c r="N29">
        <f>((T29-J29/2)*M29-L29)/(T29+J29/2)</f>
        <v>0</v>
      </c>
      <c r="O29">
        <f>N29*(DY29+DZ29)/1000.0</f>
        <v>0</v>
      </c>
      <c r="P29">
        <f>(DR29 - IF(AU29&gt;1, L29*DL29*100.0/(AW29), 0))*(DY29+DZ29)/1000.0</f>
        <v>0</v>
      </c>
      <c r="Q29">
        <f>2.0/((1/S29-1/R29)+SIGN(S29)*SQRT((1/S29-1/R29)*(1/S29-1/R29) + 4*DM29/((DM29+1)*(DM29+1))*(2*1/S29*1/R29-1/R29*1/R29)))</f>
        <v>0</v>
      </c>
      <c r="R29">
        <f>IF(LEFT(DN29,1)&lt;&gt;"0",IF(LEFT(DN29,1)="1",3.0,DO29),$D$5+$E$5*(EF29*DY29/($K$5*1000))+$F$5*(EF29*DY29/($K$5*1000))*MAX(MIN(DL29,$J$5),$I$5)*MAX(MIN(DL29,$J$5),$I$5)+$G$5*MAX(MIN(DL29,$J$5),$I$5)*(EF29*DY29/($K$5*1000))+$H$5*(EF29*DY29/($K$5*1000))*(EF29*DY29/($K$5*1000)))</f>
        <v>0</v>
      </c>
      <c r="S29">
        <f>J29*(1000-(1000*0.61365*exp(17.502*W29/(240.97+W29))/(DY29+DZ29)+DT29)/2)/(1000*0.61365*exp(17.502*W29/(240.97+W29))/(DY29+DZ29)-DT29)</f>
        <v>0</v>
      </c>
      <c r="T29">
        <f>1/((DM29+1)/(Q29/1.6)+1/(R29/1.37)) + DM29/((DM29+1)/(Q29/1.6) + DM29/(R29/1.37))</f>
        <v>0</v>
      </c>
      <c r="U29">
        <f>(DH29*DK29)</f>
        <v>0</v>
      </c>
      <c r="V29">
        <f>(EA29+(U29+2*0.95*5.67E-8*(((EA29+$B$7)+273)^4-(EA29+273)^4)-44100*J29)/(1.84*29.3*R29+8*0.95*5.67E-8*(EA29+273)^3))</f>
        <v>0</v>
      </c>
      <c r="W29">
        <f>($C$7*EB29+$D$7*EC29+$E$7*V29)</f>
        <v>0</v>
      </c>
      <c r="X29">
        <f>0.61365*exp(17.502*W29/(240.97+W29))</f>
        <v>0</v>
      </c>
      <c r="Y29">
        <f>(Z29/AA29*100)</f>
        <v>0</v>
      </c>
      <c r="Z29">
        <f>DT29*(DY29+DZ29)/1000</f>
        <v>0</v>
      </c>
      <c r="AA29">
        <f>0.61365*exp(17.502*EA29/(240.97+EA29))</f>
        <v>0</v>
      </c>
      <c r="AB29">
        <f>(X29-DT29*(DY29+DZ29)/1000)</f>
        <v>0</v>
      </c>
      <c r="AC29">
        <f>(-J29*44100)</f>
        <v>0</v>
      </c>
      <c r="AD29">
        <f>2*29.3*R29*0.92*(EA29-W29)</f>
        <v>0</v>
      </c>
      <c r="AE29">
        <f>2*0.95*5.67E-8*(((EA29+$B$7)+273)^4-(W29+273)^4)</f>
        <v>0</v>
      </c>
      <c r="AF29">
        <f>U29+AE29+AC29+AD29</f>
        <v>0</v>
      </c>
      <c r="AG29">
        <f>DX29*AU29*(DS29-DR29*(1000-AU29*DU29)/(1000-AU29*DT29))/(100*DL29)</f>
        <v>0</v>
      </c>
      <c r="AH29">
        <f>1000*DX29*AU29*(DT29-DU29)/(100*DL29*(1000-AU29*DT29))</f>
        <v>0</v>
      </c>
      <c r="AI29">
        <f>(AJ29 - AK29 - DY29*1E3/(8.314*(EA29+273.15)) * AM29/DX29 * AL29) * DX29/(100*DL29) * (1000 - DU29)/1000</f>
        <v>0</v>
      </c>
      <c r="AJ29">
        <v>428.599528023223</v>
      </c>
      <c r="AK29">
        <v>433.706593939394</v>
      </c>
      <c r="AL29">
        <v>0.000687767621635077</v>
      </c>
      <c r="AM29">
        <v>64.2593478590459</v>
      </c>
      <c r="AN29">
        <f>(AP29 - AO29 + DY29*1E3/(8.314*(EA29+273.15)) * AR29/DX29 * AQ29) * DX29/(100*DL29) * 1000/(1000 - AP29)</f>
        <v>0</v>
      </c>
      <c r="AO29">
        <v>20.0653812866637</v>
      </c>
      <c r="AP29">
        <v>45.924523030303</v>
      </c>
      <c r="AQ29">
        <v>0.0107502532959153</v>
      </c>
      <c r="AR29">
        <v>106.297995219871</v>
      </c>
      <c r="AS29">
        <v>0</v>
      </c>
      <c r="AT29">
        <v>0</v>
      </c>
      <c r="AU29">
        <f>IF(AS29*$H$13&gt;=AW29,1.0,(AW29/(AW29-AS29*$H$13)))</f>
        <v>0</v>
      </c>
      <c r="AV29">
        <f>(AU29-1)*100</f>
        <v>0</v>
      </c>
      <c r="AW29">
        <f>MAX(0,($B$13+$C$13*EF29)/(1+$D$13*EF29)*DY29/(EA29+273)*$E$13)</f>
        <v>0</v>
      </c>
      <c r="AX29" t="s">
        <v>481</v>
      </c>
      <c r="AY29">
        <v>5087.34</v>
      </c>
      <c r="AZ29">
        <v>1085.428</v>
      </c>
      <c r="BA29">
        <v>1355.94830374938</v>
      </c>
      <c r="BB29">
        <f>1-AZ29/BA29</f>
        <v>0</v>
      </c>
      <c r="BC29">
        <v>-6.44647968230568</v>
      </c>
      <c r="BD29" t="s">
        <v>495</v>
      </c>
      <c r="BE29">
        <v>5081.69</v>
      </c>
      <c r="BF29">
        <v>860.845807692308</v>
      </c>
      <c r="BG29">
        <v>883.423453785477</v>
      </c>
      <c r="BH29">
        <f>1-BF29/BG29</f>
        <v>0</v>
      </c>
      <c r="BI29">
        <v>0.5</v>
      </c>
      <c r="BJ29">
        <f>DI29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496</v>
      </c>
      <c r="BQ29">
        <v>807.13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BZ29">
        <v>817</v>
      </c>
      <c r="CA29">
        <v>290</v>
      </c>
      <c r="CB29">
        <v>874.18</v>
      </c>
      <c r="CC29">
        <v>185</v>
      </c>
      <c r="CD29">
        <v>5081.69</v>
      </c>
      <c r="CE29">
        <v>873.28</v>
      </c>
      <c r="CF29">
        <v>0.9</v>
      </c>
      <c r="CG29">
        <v>300</v>
      </c>
      <c r="CH29">
        <v>23.9</v>
      </c>
      <c r="CI29">
        <v>883.423453785477</v>
      </c>
      <c r="CJ29">
        <v>2.02353745658806</v>
      </c>
      <c r="CK29">
        <v>-5.15567553412564</v>
      </c>
      <c r="CL29">
        <v>0.933154014457512</v>
      </c>
      <c r="CM29">
        <v>0.521577048501943</v>
      </c>
      <c r="CN29">
        <v>-0.00296392680756396</v>
      </c>
      <c r="CO29">
        <v>290</v>
      </c>
      <c r="CP29">
        <v>872.99</v>
      </c>
      <c r="CQ29">
        <v>685</v>
      </c>
      <c r="CR29">
        <v>5078.02</v>
      </c>
      <c r="CS29">
        <v>873.27</v>
      </c>
      <c r="CT29">
        <v>-0.28</v>
      </c>
      <c r="DH29">
        <f>$B$11*EG29+$C$11*EH29+$F$11*ES29*(1-EV29)</f>
        <v>0</v>
      </c>
      <c r="DI29">
        <f>DH29*DJ29</f>
        <v>0</v>
      </c>
      <c r="DJ29">
        <f>($B$11*$D$9+$C$11*$D$9+$F$11*((FF29+EX29)/MAX(FF29+EX29+FG29, 0.1)*$I$9+FG29/MAX(FF29+EX29+FG29, 0.1)*$J$9))/($B$11+$C$11+$F$11)</f>
        <v>0</v>
      </c>
      <c r="DK29">
        <f>($B$11*$K$9+$C$11*$K$9+$F$11*((FF29+EX29)/MAX(FF29+EX29+FG29, 0.1)*$P$9+FG29/MAX(FF29+EX29+FG29, 0.1)*$Q$9))/($B$11+$C$11+$F$11)</f>
        <v>0</v>
      </c>
      <c r="DL29">
        <v>6</v>
      </c>
      <c r="DM29">
        <v>0.5</v>
      </c>
      <c r="DN29" t="s">
        <v>440</v>
      </c>
      <c r="DO29">
        <v>2</v>
      </c>
      <c r="DP29" t="b">
        <v>1</v>
      </c>
      <c r="DQ29">
        <v>1762103479.6</v>
      </c>
      <c r="DR29">
        <v>413.7820625</v>
      </c>
      <c r="DS29">
        <v>419.998</v>
      </c>
      <c r="DT29">
        <v>45.831625</v>
      </c>
      <c r="DU29">
        <v>20.06335</v>
      </c>
      <c r="DV29">
        <v>405.4965</v>
      </c>
      <c r="DW29">
        <v>45.502275</v>
      </c>
      <c r="DX29">
        <v>499.8944375</v>
      </c>
      <c r="DY29">
        <v>90.8909375</v>
      </c>
      <c r="DZ29">
        <v>0.0471684625</v>
      </c>
      <c r="EA29">
        <v>53.5013625</v>
      </c>
      <c r="EB29">
        <v>47.896</v>
      </c>
      <c r="EC29">
        <v>999.9</v>
      </c>
      <c r="ED29">
        <v>0</v>
      </c>
      <c r="EE29">
        <v>0</v>
      </c>
      <c r="EF29">
        <v>9993.9825</v>
      </c>
      <c r="EG29">
        <v>0</v>
      </c>
      <c r="EH29">
        <v>1088.789375</v>
      </c>
      <c r="EI29">
        <v>-6.215949375</v>
      </c>
      <c r="EJ29">
        <v>433.657375</v>
      </c>
      <c r="EK29">
        <v>428.597125</v>
      </c>
      <c r="EL29">
        <v>25.768275</v>
      </c>
      <c r="EM29">
        <v>419.998</v>
      </c>
      <c r="EN29">
        <v>20.06335</v>
      </c>
      <c r="EO29">
        <v>4.16568</v>
      </c>
      <c r="EP29">
        <v>1.823576875</v>
      </c>
      <c r="EQ29">
        <v>29.6089125</v>
      </c>
      <c r="ER29">
        <v>15.99036875</v>
      </c>
      <c r="ES29">
        <v>1499.9975</v>
      </c>
      <c r="ET29">
        <v>0.9729973125</v>
      </c>
      <c r="EU29">
        <v>0.02700305</v>
      </c>
      <c r="EV29">
        <v>0</v>
      </c>
      <c r="EW29">
        <v>860.938375</v>
      </c>
      <c r="EX29">
        <v>5.00016</v>
      </c>
      <c r="EY29">
        <v>13516.16875</v>
      </c>
      <c r="EZ29">
        <v>13632.775</v>
      </c>
      <c r="FA29">
        <v>55.50775</v>
      </c>
      <c r="FB29">
        <v>56.792625</v>
      </c>
      <c r="FC29">
        <v>55.70275</v>
      </c>
      <c r="FD29">
        <v>57.25775</v>
      </c>
      <c r="FE29">
        <v>58.8238125</v>
      </c>
      <c r="FF29">
        <v>1454.626875</v>
      </c>
      <c r="FG29">
        <v>40.370625</v>
      </c>
      <c r="FH29">
        <v>0</v>
      </c>
      <c r="FI29">
        <v>98.4000000953674</v>
      </c>
      <c r="FJ29">
        <v>0</v>
      </c>
      <c r="FK29">
        <v>860.845807692308</v>
      </c>
      <c r="FL29">
        <v>-7.78205127816008</v>
      </c>
      <c r="FM29">
        <v>-121.829059568658</v>
      </c>
      <c r="FN29">
        <v>13513.6192307692</v>
      </c>
      <c r="FO29">
        <v>15</v>
      </c>
      <c r="FP29">
        <v>0</v>
      </c>
      <c r="FQ29" t="s">
        <v>441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-6.21406428571429</v>
      </c>
      <c r="GD29">
        <v>0.0387062337662358</v>
      </c>
      <c r="GE29">
        <v>0.0339704576936839</v>
      </c>
      <c r="GF29">
        <v>1</v>
      </c>
      <c r="GG29">
        <v>861.618705882353</v>
      </c>
      <c r="GH29">
        <v>-10.3224751800406</v>
      </c>
      <c r="GI29">
        <v>1.06678294637254</v>
      </c>
      <c r="GJ29">
        <v>-1</v>
      </c>
      <c r="GK29">
        <v>25.7184476190476</v>
      </c>
      <c r="GL29">
        <v>0.860805194805169</v>
      </c>
      <c r="GM29">
        <v>0.087215516416833</v>
      </c>
      <c r="GN29">
        <v>0</v>
      </c>
      <c r="GO29">
        <v>1</v>
      </c>
      <c r="GP29">
        <v>2</v>
      </c>
      <c r="GQ29" t="s">
        <v>458</v>
      </c>
      <c r="GR29">
        <v>3.12316</v>
      </c>
      <c r="GS29">
        <v>2.6729</v>
      </c>
      <c r="GT29">
        <v>0.0843344</v>
      </c>
      <c r="GU29">
        <v>0.0864245</v>
      </c>
      <c r="GV29">
        <v>0.15453</v>
      </c>
      <c r="GW29">
        <v>0.0866911</v>
      </c>
      <c r="GX29">
        <v>22527.8</v>
      </c>
      <c r="GY29">
        <v>21375.1</v>
      </c>
      <c r="GZ29">
        <v>22072</v>
      </c>
      <c r="HA29">
        <v>22860.2</v>
      </c>
      <c r="HB29">
        <v>32019.7</v>
      </c>
      <c r="HC29">
        <v>34643.4</v>
      </c>
      <c r="HD29">
        <v>40001.1</v>
      </c>
      <c r="HE29">
        <v>40889.6</v>
      </c>
      <c r="HF29">
        <v>1.74778</v>
      </c>
      <c r="HG29">
        <v>2.07617</v>
      </c>
      <c r="HH29">
        <v>-3.72529e-05</v>
      </c>
      <c r="HI29">
        <v>0</v>
      </c>
      <c r="HJ29">
        <v>47.9518</v>
      </c>
      <c r="HK29">
        <v>999.9</v>
      </c>
      <c r="HL29">
        <v>51.154</v>
      </c>
      <c r="HM29">
        <v>27.191</v>
      </c>
      <c r="HN29">
        <v>20.3708</v>
      </c>
      <c r="HO29">
        <v>58.8164</v>
      </c>
      <c r="HP29">
        <v>22.9888</v>
      </c>
      <c r="HQ29">
        <v>2</v>
      </c>
      <c r="HR29">
        <v>1.5759</v>
      </c>
      <c r="HS29">
        <v>-6.66667</v>
      </c>
      <c r="HT29">
        <v>20.0856</v>
      </c>
      <c r="HU29">
        <v>5.22837</v>
      </c>
      <c r="HV29">
        <v>11.9998</v>
      </c>
      <c r="HW29">
        <v>4.9532</v>
      </c>
      <c r="HX29">
        <v>3.304</v>
      </c>
      <c r="HY29">
        <v>9999</v>
      </c>
      <c r="HZ29">
        <v>999.9</v>
      </c>
      <c r="IA29">
        <v>9999</v>
      </c>
      <c r="IB29">
        <v>9999</v>
      </c>
      <c r="IC29">
        <v>1.86852</v>
      </c>
      <c r="ID29">
        <v>1.86417</v>
      </c>
      <c r="IE29">
        <v>1.8718</v>
      </c>
      <c r="IF29">
        <v>1.86264</v>
      </c>
      <c r="IG29">
        <v>1.86203</v>
      </c>
      <c r="IH29">
        <v>1.86856</v>
      </c>
      <c r="II29">
        <v>1.85865</v>
      </c>
      <c r="IJ29">
        <v>1.86508</v>
      </c>
      <c r="IK29">
        <v>5</v>
      </c>
      <c r="IL29">
        <v>0</v>
      </c>
      <c r="IM29">
        <v>0</v>
      </c>
      <c r="IN29">
        <v>0</v>
      </c>
      <c r="IO29" t="s">
        <v>443</v>
      </c>
      <c r="IP29" t="s">
        <v>444</v>
      </c>
      <c r="IQ29" t="s">
        <v>445</v>
      </c>
      <c r="IR29" t="s">
        <v>445</v>
      </c>
      <c r="IS29" t="s">
        <v>445</v>
      </c>
      <c r="IT29" t="s">
        <v>445</v>
      </c>
      <c r="IU29">
        <v>0</v>
      </c>
      <c r="IV29">
        <v>100</v>
      </c>
      <c r="IW29">
        <v>100</v>
      </c>
      <c r="IX29">
        <v>8.285</v>
      </c>
      <c r="IY29">
        <v>0.3294</v>
      </c>
      <c r="IZ29">
        <v>5.63042802259986</v>
      </c>
      <c r="JA29">
        <v>0.00813484245791346</v>
      </c>
      <c r="JB29">
        <v>-4.34547228418155e-06</v>
      </c>
      <c r="JC29">
        <v>1.0644471544636e-09</v>
      </c>
      <c r="JD29">
        <v>0.329354282981013</v>
      </c>
      <c r="JE29">
        <v>0</v>
      </c>
      <c r="JF29">
        <v>0</v>
      </c>
      <c r="JG29">
        <v>0</v>
      </c>
      <c r="JH29">
        <v>-3</v>
      </c>
      <c r="JI29">
        <v>2169</v>
      </c>
      <c r="JJ29">
        <v>1</v>
      </c>
      <c r="JK29">
        <v>22</v>
      </c>
      <c r="JL29">
        <v>29368391.5</v>
      </c>
      <c r="JM29">
        <v>29368391.5</v>
      </c>
      <c r="JN29">
        <v>1.31226</v>
      </c>
      <c r="JO29">
        <v>2.35352</v>
      </c>
      <c r="JP29">
        <v>2.09839</v>
      </c>
      <c r="JQ29">
        <v>2.65137</v>
      </c>
      <c r="JR29">
        <v>2.24365</v>
      </c>
      <c r="JS29">
        <v>2.31689</v>
      </c>
      <c r="JT29">
        <v>34.4864</v>
      </c>
      <c r="JU29">
        <v>24.035</v>
      </c>
      <c r="JV29">
        <v>18</v>
      </c>
      <c r="JW29">
        <v>568.763</v>
      </c>
      <c r="JX29">
        <v>799.567</v>
      </c>
      <c r="JY29">
        <v>63.8141</v>
      </c>
      <c r="JZ29">
        <v>46.5232</v>
      </c>
      <c r="KA29">
        <v>29.9998</v>
      </c>
      <c r="KB29">
        <v>45.3013</v>
      </c>
      <c r="KC29">
        <v>45.3869</v>
      </c>
      <c r="KD29">
        <v>26.3117</v>
      </c>
      <c r="KE29">
        <v>0</v>
      </c>
      <c r="KF29">
        <v>100</v>
      </c>
      <c r="KG29">
        <v>63.9669</v>
      </c>
      <c r="KH29">
        <v>420</v>
      </c>
      <c r="KI29">
        <v>23.2649</v>
      </c>
      <c r="KJ29">
        <v>89.4858</v>
      </c>
      <c r="KK29">
        <v>95.1927</v>
      </c>
    </row>
    <row r="30" spans="1:297">
      <c r="A30">
        <v>14</v>
      </c>
      <c r="B30">
        <v>1762103590.1</v>
      </c>
      <c r="C30">
        <v>2159</v>
      </c>
      <c r="D30" t="s">
        <v>497</v>
      </c>
      <c r="E30" t="s">
        <v>498</v>
      </c>
      <c r="F30">
        <v>5</v>
      </c>
      <c r="G30" t="s">
        <v>485</v>
      </c>
      <c r="H30" t="s">
        <v>436</v>
      </c>
      <c r="I30">
        <v>1762103581.6</v>
      </c>
      <c r="J30">
        <f>(K30)/1000</f>
        <v>0</v>
      </c>
      <c r="K30">
        <f>IF(DP30, AN30, AH30)</f>
        <v>0</v>
      </c>
      <c r="L30">
        <f>IF(DP30, AI30, AG30)</f>
        <v>0</v>
      </c>
      <c r="M30">
        <f>DR30 - IF(AU30&gt;1, L30*DL30*100.0/(AW30), 0)</f>
        <v>0</v>
      </c>
      <c r="N30">
        <f>((T30-J30/2)*M30-L30)/(T30+J30/2)</f>
        <v>0</v>
      </c>
      <c r="O30">
        <f>N30*(DY30+DZ30)/1000.0</f>
        <v>0</v>
      </c>
      <c r="P30">
        <f>(DR30 - IF(AU30&gt;1, L30*DL30*100.0/(AW30), 0))*(DY30+DZ30)/1000.0</f>
        <v>0</v>
      </c>
      <c r="Q30">
        <f>2.0/((1/S30-1/R30)+SIGN(S30)*SQRT((1/S30-1/R30)*(1/S30-1/R30) + 4*DM30/((DM30+1)*(DM30+1))*(2*1/S30*1/R30-1/R30*1/R30)))</f>
        <v>0</v>
      </c>
      <c r="R30">
        <f>IF(LEFT(DN30,1)&lt;&gt;"0",IF(LEFT(DN30,1)="1",3.0,DO30),$D$5+$E$5*(EF30*DY30/($K$5*1000))+$F$5*(EF30*DY30/($K$5*1000))*MAX(MIN(DL30,$J$5),$I$5)*MAX(MIN(DL30,$J$5),$I$5)+$G$5*MAX(MIN(DL30,$J$5),$I$5)*(EF30*DY30/($K$5*1000))+$H$5*(EF30*DY30/($K$5*1000))*(EF30*DY30/($K$5*1000)))</f>
        <v>0</v>
      </c>
      <c r="S30">
        <f>J30*(1000-(1000*0.61365*exp(17.502*W30/(240.97+W30))/(DY30+DZ30)+DT30)/2)/(1000*0.61365*exp(17.502*W30/(240.97+W30))/(DY30+DZ30)-DT30)</f>
        <v>0</v>
      </c>
      <c r="T30">
        <f>1/((DM30+1)/(Q30/1.6)+1/(R30/1.37)) + DM30/((DM30+1)/(Q30/1.6) + DM30/(R30/1.37))</f>
        <v>0</v>
      </c>
      <c r="U30">
        <f>(DH30*DK30)</f>
        <v>0</v>
      </c>
      <c r="V30">
        <f>(EA30+(U30+2*0.95*5.67E-8*(((EA30+$B$7)+273)^4-(EA30+273)^4)-44100*J30)/(1.84*29.3*R30+8*0.95*5.67E-8*(EA30+273)^3))</f>
        <v>0</v>
      </c>
      <c r="W30">
        <f>($C$7*EB30+$D$7*EC30+$E$7*V30)</f>
        <v>0</v>
      </c>
      <c r="X30">
        <f>0.61365*exp(17.502*W30/(240.97+W30))</f>
        <v>0</v>
      </c>
      <c r="Y30">
        <f>(Z30/AA30*100)</f>
        <v>0</v>
      </c>
      <c r="Z30">
        <f>DT30*(DY30+DZ30)/1000</f>
        <v>0</v>
      </c>
      <c r="AA30">
        <f>0.61365*exp(17.502*EA30/(240.97+EA30))</f>
        <v>0</v>
      </c>
      <c r="AB30">
        <f>(X30-DT30*(DY30+DZ30)/1000)</f>
        <v>0</v>
      </c>
      <c r="AC30">
        <f>(-J30*44100)</f>
        <v>0</v>
      </c>
      <c r="AD30">
        <f>2*29.3*R30*0.92*(EA30-W30)</f>
        <v>0</v>
      </c>
      <c r="AE30">
        <f>2*0.95*5.67E-8*(((EA30+$B$7)+273)^4-(W30+273)^4)</f>
        <v>0</v>
      </c>
      <c r="AF30">
        <f>U30+AE30+AC30+AD30</f>
        <v>0</v>
      </c>
      <c r="AG30">
        <f>DX30*AU30*(DS30-DR30*(1000-AU30*DU30)/(1000-AU30*DT30))/(100*DL30)</f>
        <v>0</v>
      </c>
      <c r="AH30">
        <f>1000*DX30*AU30*(DT30-DU30)/(100*DL30*(1000-AU30*DT30))</f>
        <v>0</v>
      </c>
      <c r="AI30">
        <f>(AJ30 - AK30 - DY30*1E3/(8.314*(EA30+273.15)) * AM30/DX30 * AL30) * DX30/(100*DL30) * (1000 - DU30)/1000</f>
        <v>0</v>
      </c>
      <c r="AJ30">
        <v>428.580140358307</v>
      </c>
      <c r="AK30">
        <v>434.03423030303</v>
      </c>
      <c r="AL30">
        <v>0.00713593241481907</v>
      </c>
      <c r="AM30">
        <v>64.2593478590459</v>
      </c>
      <c r="AN30">
        <f>(AP30 - AO30 + DY30*1E3/(8.314*(EA30+273.15)) * AR30/DX30 * AQ30) * DX30/(100*DL30) * 1000/(1000 - AP30)</f>
        <v>0</v>
      </c>
      <c r="AO30">
        <v>20.1103904220534</v>
      </c>
      <c r="AP30">
        <v>46.4763157575758</v>
      </c>
      <c r="AQ30">
        <v>0.0100780973086745</v>
      </c>
      <c r="AR30">
        <v>106.297995219871</v>
      </c>
      <c r="AS30">
        <v>0</v>
      </c>
      <c r="AT30">
        <v>0</v>
      </c>
      <c r="AU30">
        <f>IF(AS30*$H$13&gt;=AW30,1.0,(AW30/(AW30-AS30*$H$13)))</f>
        <v>0</v>
      </c>
      <c r="AV30">
        <f>(AU30-1)*100</f>
        <v>0</v>
      </c>
      <c r="AW30">
        <f>MAX(0,($B$13+$C$13*EF30)/(1+$D$13*EF30)*DY30/(EA30+273)*$E$13)</f>
        <v>0</v>
      </c>
      <c r="AX30" t="s">
        <v>481</v>
      </c>
      <c r="AY30">
        <v>5087.34</v>
      </c>
      <c r="AZ30">
        <v>1085.428</v>
      </c>
      <c r="BA30">
        <v>1355.94830374938</v>
      </c>
      <c r="BB30">
        <f>1-AZ30/BA30</f>
        <v>0</v>
      </c>
      <c r="BC30">
        <v>-6.44647968230568</v>
      </c>
      <c r="BD30" t="s">
        <v>499</v>
      </c>
      <c r="BE30">
        <v>5082</v>
      </c>
      <c r="BF30">
        <v>844.8678</v>
      </c>
      <c r="BG30">
        <v>867.778908950782</v>
      </c>
      <c r="BH30">
        <f>1-BF30/BG30</f>
        <v>0</v>
      </c>
      <c r="BI30">
        <v>0.5</v>
      </c>
      <c r="BJ30">
        <f>DI30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500</v>
      </c>
      <c r="BQ30">
        <v>798.4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BZ30">
        <v>819</v>
      </c>
      <c r="CA30">
        <v>290</v>
      </c>
      <c r="CB30">
        <v>861.13</v>
      </c>
      <c r="CC30">
        <v>265</v>
      </c>
      <c r="CD30">
        <v>5082</v>
      </c>
      <c r="CE30">
        <v>860.08</v>
      </c>
      <c r="CF30">
        <v>1.05</v>
      </c>
      <c r="CG30">
        <v>300</v>
      </c>
      <c r="CH30">
        <v>23.9</v>
      </c>
      <c r="CI30">
        <v>867.778908950782</v>
      </c>
      <c r="CJ30">
        <v>1.45213977890743</v>
      </c>
      <c r="CK30">
        <v>-3.91395815014797</v>
      </c>
      <c r="CL30">
        <v>0.66380133596641</v>
      </c>
      <c r="CM30">
        <v>0.553899395666313</v>
      </c>
      <c r="CN30">
        <v>-0.00321493081201335</v>
      </c>
      <c r="CO30">
        <v>290</v>
      </c>
      <c r="CP30">
        <v>860.55</v>
      </c>
      <c r="CQ30">
        <v>685</v>
      </c>
      <c r="CR30">
        <v>5079.39</v>
      </c>
      <c r="CS30">
        <v>860.07</v>
      </c>
      <c r="CT30">
        <v>0.48</v>
      </c>
      <c r="DH30">
        <f>$B$11*EG30+$C$11*EH30+$F$11*ES30*(1-EV30)</f>
        <v>0</v>
      </c>
      <c r="DI30">
        <f>DH30*DJ30</f>
        <v>0</v>
      </c>
      <c r="DJ30">
        <f>($B$11*$D$9+$C$11*$D$9+$F$11*((FF30+EX30)/MAX(FF30+EX30+FG30, 0.1)*$I$9+FG30/MAX(FF30+EX30+FG30, 0.1)*$J$9))/($B$11+$C$11+$F$11)</f>
        <v>0</v>
      </c>
      <c r="DK30">
        <f>($B$11*$K$9+$C$11*$K$9+$F$11*((FF30+EX30)/MAX(FF30+EX30+FG30, 0.1)*$P$9+FG30/MAX(FF30+EX30+FG30, 0.1)*$Q$9))/($B$11+$C$11+$F$11)</f>
        <v>0</v>
      </c>
      <c r="DL30">
        <v>6</v>
      </c>
      <c r="DM30">
        <v>0.5</v>
      </c>
      <c r="DN30" t="s">
        <v>440</v>
      </c>
      <c r="DO30">
        <v>2</v>
      </c>
      <c r="DP30" t="b">
        <v>1</v>
      </c>
      <c r="DQ30">
        <v>1762103581.6</v>
      </c>
      <c r="DR30">
        <v>413.87975</v>
      </c>
      <c r="DS30">
        <v>419.972375</v>
      </c>
      <c r="DT30">
        <v>46.3912375</v>
      </c>
      <c r="DU30">
        <v>20.1093</v>
      </c>
      <c r="DV30">
        <v>405.593625</v>
      </c>
      <c r="DW30">
        <v>46.06189375</v>
      </c>
      <c r="DX30">
        <v>500.0441875</v>
      </c>
      <c r="DY30">
        <v>90.88975</v>
      </c>
      <c r="DZ30">
        <v>0.04566374375</v>
      </c>
      <c r="EA30">
        <v>54.25941875</v>
      </c>
      <c r="EB30">
        <v>48.11233125</v>
      </c>
      <c r="EC30">
        <v>999.9</v>
      </c>
      <c r="ED30">
        <v>0</v>
      </c>
      <c r="EE30">
        <v>0</v>
      </c>
      <c r="EF30">
        <v>10012.925</v>
      </c>
      <c r="EG30">
        <v>0</v>
      </c>
      <c r="EH30">
        <v>1088.865625</v>
      </c>
      <c r="EI30">
        <v>-6.09262125</v>
      </c>
      <c r="EJ30">
        <v>434.014125</v>
      </c>
      <c r="EK30">
        <v>428.591125</v>
      </c>
      <c r="EL30">
        <v>26.281925</v>
      </c>
      <c r="EM30">
        <v>419.972375</v>
      </c>
      <c r="EN30">
        <v>20.1093</v>
      </c>
      <c r="EO30">
        <v>4.2164875</v>
      </c>
      <c r="EP30">
        <v>1.82772875</v>
      </c>
      <c r="EQ30">
        <v>29.8195375</v>
      </c>
      <c r="ER30">
        <v>16.0259875</v>
      </c>
      <c r="ES30">
        <v>1200.015625</v>
      </c>
      <c r="ET30">
        <v>0.9669965625</v>
      </c>
      <c r="EU30">
        <v>0.03300306875</v>
      </c>
      <c r="EV30">
        <v>0</v>
      </c>
      <c r="EW30">
        <v>845.1490625</v>
      </c>
      <c r="EX30">
        <v>5.00016</v>
      </c>
      <c r="EY30">
        <v>10659.3875</v>
      </c>
      <c r="EZ30">
        <v>10875.75625</v>
      </c>
      <c r="FA30">
        <v>55.683125</v>
      </c>
      <c r="FB30">
        <v>57.23425</v>
      </c>
      <c r="FC30">
        <v>56.125</v>
      </c>
      <c r="FD30">
        <v>57.617125</v>
      </c>
      <c r="FE30">
        <v>59.128875</v>
      </c>
      <c r="FF30">
        <v>1155.575625</v>
      </c>
      <c r="FG30">
        <v>39.44</v>
      </c>
      <c r="FH30">
        <v>0</v>
      </c>
      <c r="FI30">
        <v>97.7999999523163</v>
      </c>
      <c r="FJ30">
        <v>0</v>
      </c>
      <c r="FK30">
        <v>844.8678</v>
      </c>
      <c r="FL30">
        <v>-13.4087692270211</v>
      </c>
      <c r="FM30">
        <v>-157.33076922405</v>
      </c>
      <c r="FN30">
        <v>10656.336</v>
      </c>
      <c r="FO30">
        <v>15</v>
      </c>
      <c r="FP30">
        <v>0</v>
      </c>
      <c r="FQ30" t="s">
        <v>441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-6.084871</v>
      </c>
      <c r="GD30">
        <v>-0.390000000000004</v>
      </c>
      <c r="GE30">
        <v>0.0512726019331964</v>
      </c>
      <c r="GF30">
        <v>1</v>
      </c>
      <c r="GG30">
        <v>845.624264705882</v>
      </c>
      <c r="GH30">
        <v>-13.8672727324384</v>
      </c>
      <c r="GI30">
        <v>1.38012041906032</v>
      </c>
      <c r="GJ30">
        <v>-1</v>
      </c>
      <c r="GK30">
        <v>26.25794</v>
      </c>
      <c r="GL30">
        <v>0.70100751879704</v>
      </c>
      <c r="GM30">
        <v>0.0675789567838984</v>
      </c>
      <c r="GN30">
        <v>0</v>
      </c>
      <c r="GO30">
        <v>1</v>
      </c>
      <c r="GP30">
        <v>2</v>
      </c>
      <c r="GQ30" t="s">
        <v>458</v>
      </c>
      <c r="GR30">
        <v>3.12326</v>
      </c>
      <c r="GS30">
        <v>2.67023</v>
      </c>
      <c r="GT30">
        <v>0.0843504</v>
      </c>
      <c r="GU30">
        <v>0.0864247</v>
      </c>
      <c r="GV30">
        <v>0.155762</v>
      </c>
      <c r="GW30">
        <v>0.0868306</v>
      </c>
      <c r="GX30">
        <v>22528.3</v>
      </c>
      <c r="GY30">
        <v>21377.5</v>
      </c>
      <c r="GZ30">
        <v>22072.8</v>
      </c>
      <c r="HA30">
        <v>22862.7</v>
      </c>
      <c r="HB30">
        <v>31975.3</v>
      </c>
      <c r="HC30">
        <v>34642.2</v>
      </c>
      <c r="HD30">
        <v>40002.7</v>
      </c>
      <c r="HE30">
        <v>40894.4</v>
      </c>
      <c r="HF30">
        <v>1.7491</v>
      </c>
      <c r="HG30">
        <v>2.0761</v>
      </c>
      <c r="HH30">
        <v>-0.00808388</v>
      </c>
      <c r="HI30">
        <v>0</v>
      </c>
      <c r="HJ30">
        <v>48.276</v>
      </c>
      <c r="HK30">
        <v>999.9</v>
      </c>
      <c r="HL30">
        <v>51.129</v>
      </c>
      <c r="HM30">
        <v>27.251</v>
      </c>
      <c r="HN30">
        <v>20.4323</v>
      </c>
      <c r="HO30">
        <v>58.3365</v>
      </c>
      <c r="HP30">
        <v>22.7364</v>
      </c>
      <c r="HQ30">
        <v>2</v>
      </c>
      <c r="HR30">
        <v>1.57249</v>
      </c>
      <c r="HS30">
        <v>-6.66667</v>
      </c>
      <c r="HT30">
        <v>20.0899</v>
      </c>
      <c r="HU30">
        <v>5.22747</v>
      </c>
      <c r="HV30">
        <v>12.0004</v>
      </c>
      <c r="HW30">
        <v>4.9502</v>
      </c>
      <c r="HX30">
        <v>3.30395</v>
      </c>
      <c r="HY30">
        <v>9999</v>
      </c>
      <c r="HZ30">
        <v>999.9</v>
      </c>
      <c r="IA30">
        <v>9999</v>
      </c>
      <c r="IB30">
        <v>9999</v>
      </c>
      <c r="IC30">
        <v>1.8685</v>
      </c>
      <c r="ID30">
        <v>1.86417</v>
      </c>
      <c r="IE30">
        <v>1.8718</v>
      </c>
      <c r="IF30">
        <v>1.86264</v>
      </c>
      <c r="IG30">
        <v>1.86203</v>
      </c>
      <c r="IH30">
        <v>1.86859</v>
      </c>
      <c r="II30">
        <v>1.85865</v>
      </c>
      <c r="IJ30">
        <v>1.86508</v>
      </c>
      <c r="IK30">
        <v>5</v>
      </c>
      <c r="IL30">
        <v>0</v>
      </c>
      <c r="IM30">
        <v>0</v>
      </c>
      <c r="IN30">
        <v>0</v>
      </c>
      <c r="IO30" t="s">
        <v>443</v>
      </c>
      <c r="IP30" t="s">
        <v>444</v>
      </c>
      <c r="IQ30" t="s">
        <v>445</v>
      </c>
      <c r="IR30" t="s">
        <v>445</v>
      </c>
      <c r="IS30" t="s">
        <v>445</v>
      </c>
      <c r="IT30" t="s">
        <v>445</v>
      </c>
      <c r="IU30">
        <v>0</v>
      </c>
      <c r="IV30">
        <v>100</v>
      </c>
      <c r="IW30">
        <v>100</v>
      </c>
      <c r="IX30">
        <v>8.286</v>
      </c>
      <c r="IY30">
        <v>0.3293</v>
      </c>
      <c r="IZ30">
        <v>5.63042802259986</v>
      </c>
      <c r="JA30">
        <v>0.00813484245791346</v>
      </c>
      <c r="JB30">
        <v>-4.34547228418155e-06</v>
      </c>
      <c r="JC30">
        <v>1.0644471544636e-09</v>
      </c>
      <c r="JD30">
        <v>0.329354282981013</v>
      </c>
      <c r="JE30">
        <v>0</v>
      </c>
      <c r="JF30">
        <v>0</v>
      </c>
      <c r="JG30">
        <v>0</v>
      </c>
      <c r="JH30">
        <v>-3</v>
      </c>
      <c r="JI30">
        <v>2169</v>
      </c>
      <c r="JJ30">
        <v>1</v>
      </c>
      <c r="JK30">
        <v>22</v>
      </c>
      <c r="JL30">
        <v>29368393.2</v>
      </c>
      <c r="JM30">
        <v>29368393.2</v>
      </c>
      <c r="JN30">
        <v>1.31348</v>
      </c>
      <c r="JO30">
        <v>2.35229</v>
      </c>
      <c r="JP30">
        <v>2.09839</v>
      </c>
      <c r="JQ30">
        <v>2.65015</v>
      </c>
      <c r="JR30">
        <v>2.24365</v>
      </c>
      <c r="JS30">
        <v>2.2876</v>
      </c>
      <c r="JT30">
        <v>34.5321</v>
      </c>
      <c r="JU30">
        <v>24.0437</v>
      </c>
      <c r="JV30">
        <v>18</v>
      </c>
      <c r="JW30">
        <v>569.744</v>
      </c>
      <c r="JX30">
        <v>799.489</v>
      </c>
      <c r="JY30">
        <v>65.1279</v>
      </c>
      <c r="JZ30">
        <v>46.4973</v>
      </c>
      <c r="KA30">
        <v>30.0001</v>
      </c>
      <c r="KB30">
        <v>45.3013</v>
      </c>
      <c r="KC30">
        <v>45.3869</v>
      </c>
      <c r="KD30">
        <v>26.3203</v>
      </c>
      <c r="KE30">
        <v>0</v>
      </c>
      <c r="KF30">
        <v>100</v>
      </c>
      <c r="KG30">
        <v>63.8414</v>
      </c>
      <c r="KH30">
        <v>420</v>
      </c>
      <c r="KI30">
        <v>23.2649</v>
      </c>
      <c r="KJ30">
        <v>89.4892</v>
      </c>
      <c r="KK30">
        <v>95.2036</v>
      </c>
    </row>
    <row r="31" spans="1:297">
      <c r="A31">
        <v>15</v>
      </c>
      <c r="B31">
        <v>1762103693.1</v>
      </c>
      <c r="C31">
        <v>2262</v>
      </c>
      <c r="D31" t="s">
        <v>501</v>
      </c>
      <c r="E31" t="s">
        <v>502</v>
      </c>
      <c r="F31">
        <v>5</v>
      </c>
      <c r="G31" t="s">
        <v>485</v>
      </c>
      <c r="H31" t="s">
        <v>436</v>
      </c>
      <c r="I31">
        <v>1762103684.6</v>
      </c>
      <c r="J31">
        <f>(K31)/1000</f>
        <v>0</v>
      </c>
      <c r="K31">
        <f>IF(DP31, AN31, AH31)</f>
        <v>0</v>
      </c>
      <c r="L31">
        <f>IF(DP31, AI31, AG31)</f>
        <v>0</v>
      </c>
      <c r="M31">
        <f>DR31 - IF(AU31&gt;1, L31*DL31*100.0/(AW31), 0)</f>
        <v>0</v>
      </c>
      <c r="N31">
        <f>((T31-J31/2)*M31-L31)/(T31+J31/2)</f>
        <v>0</v>
      </c>
      <c r="O31">
        <f>N31*(DY31+DZ31)/1000.0</f>
        <v>0</v>
      </c>
      <c r="P31">
        <f>(DR31 - IF(AU31&gt;1, L31*DL31*100.0/(AW31), 0))*(DY31+DZ31)/1000.0</f>
        <v>0</v>
      </c>
      <c r="Q31">
        <f>2.0/((1/S31-1/R31)+SIGN(S31)*SQRT((1/S31-1/R31)*(1/S31-1/R31) + 4*DM31/((DM31+1)*(DM31+1))*(2*1/S31*1/R31-1/R31*1/R31)))</f>
        <v>0</v>
      </c>
      <c r="R31">
        <f>IF(LEFT(DN31,1)&lt;&gt;"0",IF(LEFT(DN31,1)="1",3.0,DO31),$D$5+$E$5*(EF31*DY31/($K$5*1000))+$F$5*(EF31*DY31/($K$5*1000))*MAX(MIN(DL31,$J$5),$I$5)*MAX(MIN(DL31,$J$5),$I$5)+$G$5*MAX(MIN(DL31,$J$5),$I$5)*(EF31*DY31/($K$5*1000))+$H$5*(EF31*DY31/($K$5*1000))*(EF31*DY31/($K$5*1000)))</f>
        <v>0</v>
      </c>
      <c r="S31">
        <f>J31*(1000-(1000*0.61365*exp(17.502*W31/(240.97+W31))/(DY31+DZ31)+DT31)/2)/(1000*0.61365*exp(17.502*W31/(240.97+W31))/(DY31+DZ31)-DT31)</f>
        <v>0</v>
      </c>
      <c r="T31">
        <f>1/((DM31+1)/(Q31/1.6)+1/(R31/1.37)) + DM31/((DM31+1)/(Q31/1.6) + DM31/(R31/1.37))</f>
        <v>0</v>
      </c>
      <c r="U31">
        <f>(DH31*DK31)</f>
        <v>0</v>
      </c>
      <c r="V31">
        <f>(EA31+(U31+2*0.95*5.67E-8*(((EA31+$B$7)+273)^4-(EA31+273)^4)-44100*J31)/(1.84*29.3*R31+8*0.95*5.67E-8*(EA31+273)^3))</f>
        <v>0</v>
      </c>
      <c r="W31">
        <f>($C$7*EB31+$D$7*EC31+$E$7*V31)</f>
        <v>0</v>
      </c>
      <c r="X31">
        <f>0.61365*exp(17.502*W31/(240.97+W31))</f>
        <v>0</v>
      </c>
      <c r="Y31">
        <f>(Z31/AA31*100)</f>
        <v>0</v>
      </c>
      <c r="Z31">
        <f>DT31*(DY31+DZ31)/1000</f>
        <v>0</v>
      </c>
      <c r="AA31">
        <f>0.61365*exp(17.502*EA31/(240.97+EA31))</f>
        <v>0</v>
      </c>
      <c r="AB31">
        <f>(X31-DT31*(DY31+DZ31)/1000)</f>
        <v>0</v>
      </c>
      <c r="AC31">
        <f>(-J31*44100)</f>
        <v>0</v>
      </c>
      <c r="AD31">
        <f>2*29.3*R31*0.92*(EA31-W31)</f>
        <v>0</v>
      </c>
      <c r="AE31">
        <f>2*0.95*5.67E-8*(((EA31+$B$7)+273)^4-(W31+273)^4)</f>
        <v>0</v>
      </c>
      <c r="AF31">
        <f>U31+AE31+AC31+AD31</f>
        <v>0</v>
      </c>
      <c r="AG31">
        <f>DX31*AU31*(DS31-DR31*(1000-AU31*DU31)/(1000-AU31*DT31))/(100*DL31)</f>
        <v>0</v>
      </c>
      <c r="AH31">
        <f>1000*DX31*AU31*(DT31-DU31)/(100*DL31*(1000-AU31*DT31))</f>
        <v>0</v>
      </c>
      <c r="AI31">
        <f>(AJ31 - AK31 - DY31*1E3/(8.314*(EA31+273.15)) * AM31/DX31 * AL31) * DX31/(100*DL31) * (1000 - DU31)/1000</f>
        <v>0</v>
      </c>
      <c r="AJ31">
        <v>428.655213956458</v>
      </c>
      <c r="AK31">
        <v>434.305503030303</v>
      </c>
      <c r="AL31">
        <v>-0.00640972744679194</v>
      </c>
      <c r="AM31">
        <v>64.2593478590459</v>
      </c>
      <c r="AN31">
        <f>(AP31 - AO31 + DY31*1E3/(8.314*(EA31+273.15)) * AR31/DX31 * AQ31) * DX31/(100*DL31) * 1000/(1000 - AP31)</f>
        <v>0</v>
      </c>
      <c r="AO31">
        <v>20.1481626373367</v>
      </c>
      <c r="AP31">
        <v>46.5159478787879</v>
      </c>
      <c r="AQ31">
        <v>0.000331472444579761</v>
      </c>
      <c r="AR31">
        <v>106.297995219871</v>
      </c>
      <c r="AS31">
        <v>0</v>
      </c>
      <c r="AT31">
        <v>0</v>
      </c>
      <c r="AU31">
        <f>IF(AS31*$H$13&gt;=AW31,1.0,(AW31/(AW31-AS31*$H$13)))</f>
        <v>0</v>
      </c>
      <c r="AV31">
        <f>(AU31-1)*100</f>
        <v>0</v>
      </c>
      <c r="AW31">
        <f>MAX(0,($B$13+$C$13*EF31)/(1+$D$13*EF31)*DY31/(EA31+273)*$E$13)</f>
        <v>0</v>
      </c>
      <c r="AX31" t="s">
        <v>481</v>
      </c>
      <c r="AY31">
        <v>5087.34</v>
      </c>
      <c r="AZ31">
        <v>1085.428</v>
      </c>
      <c r="BA31">
        <v>1355.94830374938</v>
      </c>
      <c r="BB31">
        <f>1-AZ31/BA31</f>
        <v>0</v>
      </c>
      <c r="BC31">
        <v>-6.44647968230568</v>
      </c>
      <c r="BD31" t="s">
        <v>503</v>
      </c>
      <c r="BE31">
        <v>5085.51</v>
      </c>
      <c r="BF31">
        <v>829.685</v>
      </c>
      <c r="BG31">
        <v>863.094517117812</v>
      </c>
      <c r="BH31">
        <f>1-BF31/BG31</f>
        <v>0</v>
      </c>
      <c r="BI31">
        <v>0.5</v>
      </c>
      <c r="BJ31">
        <f>DI31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504</v>
      </c>
      <c r="BQ31">
        <v>789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BZ31">
        <v>821</v>
      </c>
      <c r="CA31">
        <v>290</v>
      </c>
      <c r="CB31">
        <v>852.27</v>
      </c>
      <c r="CC31">
        <v>245</v>
      </c>
      <c r="CD31">
        <v>5085.51</v>
      </c>
      <c r="CE31">
        <v>852.02</v>
      </c>
      <c r="CF31">
        <v>0.25</v>
      </c>
      <c r="CG31">
        <v>300</v>
      </c>
      <c r="CH31">
        <v>24</v>
      </c>
      <c r="CI31">
        <v>863.094517117812</v>
      </c>
      <c r="CJ31">
        <v>1.61556548059006</v>
      </c>
      <c r="CK31">
        <v>-5.62986910910416</v>
      </c>
      <c r="CL31">
        <v>0.73215393864208</v>
      </c>
      <c r="CM31">
        <v>0.678633031400416</v>
      </c>
      <c r="CN31">
        <v>-0.00346764827586206</v>
      </c>
      <c r="CO31">
        <v>290</v>
      </c>
      <c r="CP31">
        <v>851.86</v>
      </c>
      <c r="CQ31">
        <v>695</v>
      </c>
      <c r="CR31">
        <v>5082.33</v>
      </c>
      <c r="CS31">
        <v>852.02</v>
      </c>
      <c r="CT31">
        <v>-0.16</v>
      </c>
      <c r="DH31">
        <f>$B$11*EG31+$C$11*EH31+$F$11*ES31*(1-EV31)</f>
        <v>0</v>
      </c>
      <c r="DI31">
        <f>DH31*DJ31</f>
        <v>0</v>
      </c>
      <c r="DJ31">
        <f>($B$11*$D$9+$C$11*$D$9+$F$11*((FF31+EX31)/MAX(FF31+EX31+FG31, 0.1)*$I$9+FG31/MAX(FF31+EX31+FG31, 0.1)*$J$9))/($B$11+$C$11+$F$11)</f>
        <v>0</v>
      </c>
      <c r="DK31">
        <f>($B$11*$K$9+$C$11*$K$9+$F$11*((FF31+EX31)/MAX(FF31+EX31+FG31, 0.1)*$P$9+FG31/MAX(FF31+EX31+FG31, 0.1)*$Q$9))/($B$11+$C$11+$F$11)</f>
        <v>0</v>
      </c>
      <c r="DL31">
        <v>6</v>
      </c>
      <c r="DM31">
        <v>0.5</v>
      </c>
      <c r="DN31" t="s">
        <v>440</v>
      </c>
      <c r="DO31">
        <v>2</v>
      </c>
      <c r="DP31" t="b">
        <v>1</v>
      </c>
      <c r="DQ31">
        <v>1762103684.6</v>
      </c>
      <c r="DR31">
        <v>414.1929375</v>
      </c>
      <c r="DS31">
        <v>420.0183125</v>
      </c>
      <c r="DT31">
        <v>46.4909375</v>
      </c>
      <c r="DU31">
        <v>20.14648125</v>
      </c>
      <c r="DV31">
        <v>405.905375</v>
      </c>
      <c r="DW31">
        <v>46.161575</v>
      </c>
      <c r="DX31">
        <v>500.0468125</v>
      </c>
      <c r="DY31">
        <v>90.89443125</v>
      </c>
      <c r="DZ31">
        <v>0.0452544</v>
      </c>
      <c r="EA31">
        <v>54.4783875</v>
      </c>
      <c r="EB31">
        <v>47.9857</v>
      </c>
      <c r="EC31">
        <v>999.9</v>
      </c>
      <c r="ED31">
        <v>0</v>
      </c>
      <c r="EE31">
        <v>0</v>
      </c>
      <c r="EF31">
        <v>10011.9525</v>
      </c>
      <c r="EG31">
        <v>0</v>
      </c>
      <c r="EH31">
        <v>1088.915625</v>
      </c>
      <c r="EI31">
        <v>-5.82536125</v>
      </c>
      <c r="EJ31">
        <v>434.388125</v>
      </c>
      <c r="EK31">
        <v>428.6540625</v>
      </c>
      <c r="EL31">
        <v>26.344425</v>
      </c>
      <c r="EM31">
        <v>420.0183125</v>
      </c>
      <c r="EN31">
        <v>20.14648125</v>
      </c>
      <c r="EO31">
        <v>4.22576625</v>
      </c>
      <c r="EP31">
        <v>1.831203125</v>
      </c>
      <c r="EQ31">
        <v>29.8577625</v>
      </c>
      <c r="ER31">
        <v>16.055725</v>
      </c>
      <c r="ES31">
        <v>900.0225</v>
      </c>
      <c r="ET31">
        <v>0.9559941875</v>
      </c>
      <c r="EU31">
        <v>0.04400603125</v>
      </c>
      <c r="EV31">
        <v>0</v>
      </c>
      <c r="EW31">
        <v>829.82825</v>
      </c>
      <c r="EX31">
        <v>5.00016</v>
      </c>
      <c r="EY31">
        <v>7894.50875</v>
      </c>
      <c r="EZ31">
        <v>8115.970625</v>
      </c>
      <c r="FA31">
        <v>55.625</v>
      </c>
      <c r="FB31">
        <v>57.531</v>
      </c>
      <c r="FC31">
        <v>56.312</v>
      </c>
      <c r="FD31">
        <v>57.875</v>
      </c>
      <c r="FE31">
        <v>59.25</v>
      </c>
      <c r="FF31">
        <v>855.638125</v>
      </c>
      <c r="FG31">
        <v>39.39</v>
      </c>
      <c r="FH31">
        <v>0</v>
      </c>
      <c r="FI31">
        <v>97.7999999523163</v>
      </c>
      <c r="FJ31">
        <v>0</v>
      </c>
      <c r="FK31">
        <v>829.685</v>
      </c>
      <c r="FL31">
        <v>-13.653811967413</v>
      </c>
      <c r="FM31">
        <v>-127.330940292559</v>
      </c>
      <c r="FN31">
        <v>7892.72884615385</v>
      </c>
      <c r="FO31">
        <v>15</v>
      </c>
      <c r="FP31">
        <v>0</v>
      </c>
      <c r="FQ31" t="s">
        <v>441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-5.79824952380952</v>
      </c>
      <c r="GD31">
        <v>-0.630204935064948</v>
      </c>
      <c r="GE31">
        <v>0.0714241139402807</v>
      </c>
      <c r="GF31">
        <v>0</v>
      </c>
      <c r="GG31">
        <v>830.425705882353</v>
      </c>
      <c r="GH31">
        <v>-14.5789763207241</v>
      </c>
      <c r="GI31">
        <v>1.45326991398934</v>
      </c>
      <c r="GJ31">
        <v>-1</v>
      </c>
      <c r="GK31">
        <v>26.3365238095238</v>
      </c>
      <c r="GL31">
        <v>0.193955844155819</v>
      </c>
      <c r="GM31">
        <v>0.0197872711552967</v>
      </c>
      <c r="GN31">
        <v>0</v>
      </c>
      <c r="GO31">
        <v>0</v>
      </c>
      <c r="GP31">
        <v>2</v>
      </c>
      <c r="GQ31" t="s">
        <v>488</v>
      </c>
      <c r="GR31">
        <v>3.12316</v>
      </c>
      <c r="GS31">
        <v>2.67082</v>
      </c>
      <c r="GT31">
        <v>0.0843894</v>
      </c>
      <c r="GU31">
        <v>0.0864261</v>
      </c>
      <c r="GV31">
        <v>0.15583</v>
      </c>
      <c r="GW31">
        <v>0.0869483</v>
      </c>
      <c r="GX31">
        <v>22526.3</v>
      </c>
      <c r="GY31">
        <v>21379.2</v>
      </c>
      <c r="GZ31">
        <v>22071.8</v>
      </c>
      <c r="HA31">
        <v>22864.6</v>
      </c>
      <c r="HB31">
        <v>31971.4</v>
      </c>
      <c r="HC31">
        <v>34640.8</v>
      </c>
      <c r="HD31">
        <v>40000.8</v>
      </c>
      <c r="HE31">
        <v>40898.1</v>
      </c>
      <c r="HF31">
        <v>1.74835</v>
      </c>
      <c r="HG31">
        <v>2.07582</v>
      </c>
      <c r="HH31">
        <v>-0.0345521</v>
      </c>
      <c r="HI31">
        <v>0</v>
      </c>
      <c r="HJ31">
        <v>48.5455</v>
      </c>
      <c r="HK31">
        <v>999.9</v>
      </c>
      <c r="HL31">
        <v>51.105</v>
      </c>
      <c r="HM31">
        <v>27.301</v>
      </c>
      <c r="HN31">
        <v>20.4826</v>
      </c>
      <c r="HO31">
        <v>58.1465</v>
      </c>
      <c r="HP31">
        <v>22.7003</v>
      </c>
      <c r="HQ31">
        <v>2</v>
      </c>
      <c r="HR31">
        <v>1.56654</v>
      </c>
      <c r="HS31">
        <v>-5.49705</v>
      </c>
      <c r="HT31">
        <v>20.1252</v>
      </c>
      <c r="HU31">
        <v>5.22912</v>
      </c>
      <c r="HV31">
        <v>11.9999</v>
      </c>
      <c r="HW31">
        <v>4.9534</v>
      </c>
      <c r="HX31">
        <v>3.30398</v>
      </c>
      <c r="HY31">
        <v>9999</v>
      </c>
      <c r="HZ31">
        <v>999.9</v>
      </c>
      <c r="IA31">
        <v>9999</v>
      </c>
      <c r="IB31">
        <v>9999</v>
      </c>
      <c r="IC31">
        <v>1.86852</v>
      </c>
      <c r="ID31">
        <v>1.86418</v>
      </c>
      <c r="IE31">
        <v>1.87181</v>
      </c>
      <c r="IF31">
        <v>1.86264</v>
      </c>
      <c r="IG31">
        <v>1.86203</v>
      </c>
      <c r="IH31">
        <v>1.86858</v>
      </c>
      <c r="II31">
        <v>1.85867</v>
      </c>
      <c r="IJ31">
        <v>1.86508</v>
      </c>
      <c r="IK31">
        <v>5</v>
      </c>
      <c r="IL31">
        <v>0</v>
      </c>
      <c r="IM31">
        <v>0</v>
      </c>
      <c r="IN31">
        <v>0</v>
      </c>
      <c r="IO31" t="s">
        <v>443</v>
      </c>
      <c r="IP31" t="s">
        <v>444</v>
      </c>
      <c r="IQ31" t="s">
        <v>445</v>
      </c>
      <c r="IR31" t="s">
        <v>445</v>
      </c>
      <c r="IS31" t="s">
        <v>445</v>
      </c>
      <c r="IT31" t="s">
        <v>445</v>
      </c>
      <c r="IU31">
        <v>0</v>
      </c>
      <c r="IV31">
        <v>100</v>
      </c>
      <c r="IW31">
        <v>100</v>
      </c>
      <c r="IX31">
        <v>8.286</v>
      </c>
      <c r="IY31">
        <v>0.3294</v>
      </c>
      <c r="IZ31">
        <v>5.63042802259986</v>
      </c>
      <c r="JA31">
        <v>0.00813484245791346</v>
      </c>
      <c r="JB31">
        <v>-4.34547228418155e-06</v>
      </c>
      <c r="JC31">
        <v>1.0644471544636e-09</v>
      </c>
      <c r="JD31">
        <v>0.329354282981013</v>
      </c>
      <c r="JE31">
        <v>0</v>
      </c>
      <c r="JF31">
        <v>0</v>
      </c>
      <c r="JG31">
        <v>0</v>
      </c>
      <c r="JH31">
        <v>-3</v>
      </c>
      <c r="JI31">
        <v>2169</v>
      </c>
      <c r="JJ31">
        <v>1</v>
      </c>
      <c r="JK31">
        <v>22</v>
      </c>
      <c r="JL31">
        <v>29368394.9</v>
      </c>
      <c r="JM31">
        <v>29368394.9</v>
      </c>
      <c r="JN31">
        <v>1.31348</v>
      </c>
      <c r="JO31">
        <v>2.35718</v>
      </c>
      <c r="JP31">
        <v>2.09839</v>
      </c>
      <c r="JQ31">
        <v>2.65015</v>
      </c>
      <c r="JR31">
        <v>2.24365</v>
      </c>
      <c r="JS31">
        <v>2.27173</v>
      </c>
      <c r="JT31">
        <v>34.5777</v>
      </c>
      <c r="JU31">
        <v>24.0875</v>
      </c>
      <c r="JV31">
        <v>18</v>
      </c>
      <c r="JW31">
        <v>569.274</v>
      </c>
      <c r="JX31">
        <v>799.31</v>
      </c>
      <c r="JY31">
        <v>63.4528</v>
      </c>
      <c r="JZ31">
        <v>46.5232</v>
      </c>
      <c r="KA31">
        <v>30.0006</v>
      </c>
      <c r="KB31">
        <v>45.3141</v>
      </c>
      <c r="KC31">
        <v>45.3967</v>
      </c>
      <c r="KD31">
        <v>26.3275</v>
      </c>
      <c r="KE31">
        <v>0</v>
      </c>
      <c r="KF31">
        <v>100</v>
      </c>
      <c r="KG31">
        <v>63.5031</v>
      </c>
      <c r="KH31">
        <v>420</v>
      </c>
      <c r="KI31">
        <v>23.2649</v>
      </c>
      <c r="KJ31">
        <v>89.4851</v>
      </c>
      <c r="KK31">
        <v>95.212</v>
      </c>
    </row>
    <row r="32" spans="1:297">
      <c r="A32">
        <v>16</v>
      </c>
      <c r="B32">
        <v>1762103796.1</v>
      </c>
      <c r="C32">
        <v>2365</v>
      </c>
      <c r="D32" t="s">
        <v>505</v>
      </c>
      <c r="E32" t="s">
        <v>506</v>
      </c>
      <c r="F32">
        <v>5</v>
      </c>
      <c r="G32" t="s">
        <v>485</v>
      </c>
      <c r="H32" t="s">
        <v>436</v>
      </c>
      <c r="I32">
        <v>1762103787.6</v>
      </c>
      <c r="J32">
        <f>(K32)/1000</f>
        <v>0</v>
      </c>
      <c r="K32">
        <f>IF(DP32, AN32, AH32)</f>
        <v>0</v>
      </c>
      <c r="L32">
        <f>IF(DP32, AI32, AG32)</f>
        <v>0</v>
      </c>
      <c r="M32">
        <f>DR32 - IF(AU32&gt;1, L32*DL32*100.0/(AW32), 0)</f>
        <v>0</v>
      </c>
      <c r="N32">
        <f>((T32-J32/2)*M32-L32)/(T32+J32/2)</f>
        <v>0</v>
      </c>
      <c r="O32">
        <f>N32*(DY32+DZ32)/1000.0</f>
        <v>0</v>
      </c>
      <c r="P32">
        <f>(DR32 - IF(AU32&gt;1, L32*DL32*100.0/(AW32), 0))*(DY32+DZ32)/1000.0</f>
        <v>0</v>
      </c>
      <c r="Q32">
        <f>2.0/((1/S32-1/R32)+SIGN(S32)*SQRT((1/S32-1/R32)*(1/S32-1/R32) + 4*DM32/((DM32+1)*(DM32+1))*(2*1/S32*1/R32-1/R32*1/R32)))</f>
        <v>0</v>
      </c>
      <c r="R32">
        <f>IF(LEFT(DN32,1)&lt;&gt;"0",IF(LEFT(DN32,1)="1",3.0,DO32),$D$5+$E$5*(EF32*DY32/($K$5*1000))+$F$5*(EF32*DY32/($K$5*1000))*MAX(MIN(DL32,$J$5),$I$5)*MAX(MIN(DL32,$J$5),$I$5)+$G$5*MAX(MIN(DL32,$J$5),$I$5)*(EF32*DY32/($K$5*1000))+$H$5*(EF32*DY32/($K$5*1000))*(EF32*DY32/($K$5*1000)))</f>
        <v>0</v>
      </c>
      <c r="S32">
        <f>J32*(1000-(1000*0.61365*exp(17.502*W32/(240.97+W32))/(DY32+DZ32)+DT32)/2)/(1000*0.61365*exp(17.502*W32/(240.97+W32))/(DY32+DZ32)-DT32)</f>
        <v>0</v>
      </c>
      <c r="T32">
        <f>1/((DM32+1)/(Q32/1.6)+1/(R32/1.37)) + DM32/((DM32+1)/(Q32/1.6) + DM32/(R32/1.37))</f>
        <v>0</v>
      </c>
      <c r="U32">
        <f>(DH32*DK32)</f>
        <v>0</v>
      </c>
      <c r="V32">
        <f>(EA32+(U32+2*0.95*5.67E-8*(((EA32+$B$7)+273)^4-(EA32+273)^4)-44100*J32)/(1.84*29.3*R32+8*0.95*5.67E-8*(EA32+273)^3))</f>
        <v>0</v>
      </c>
      <c r="W32">
        <f>($C$7*EB32+$D$7*EC32+$E$7*V32)</f>
        <v>0</v>
      </c>
      <c r="X32">
        <f>0.61365*exp(17.502*W32/(240.97+W32))</f>
        <v>0</v>
      </c>
      <c r="Y32">
        <f>(Z32/AA32*100)</f>
        <v>0</v>
      </c>
      <c r="Z32">
        <f>DT32*(DY32+DZ32)/1000</f>
        <v>0</v>
      </c>
      <c r="AA32">
        <f>0.61365*exp(17.502*EA32/(240.97+EA32))</f>
        <v>0</v>
      </c>
      <c r="AB32">
        <f>(X32-DT32*(DY32+DZ32)/1000)</f>
        <v>0</v>
      </c>
      <c r="AC32">
        <f>(-J32*44100)</f>
        <v>0</v>
      </c>
      <c r="AD32">
        <f>2*29.3*R32*0.92*(EA32-W32)</f>
        <v>0</v>
      </c>
      <c r="AE32">
        <f>2*0.95*5.67E-8*(((EA32+$B$7)+273)^4-(W32+273)^4)</f>
        <v>0</v>
      </c>
      <c r="AF32">
        <f>U32+AE32+AC32+AD32</f>
        <v>0</v>
      </c>
      <c r="AG32">
        <f>DX32*AU32*(DS32-DR32*(1000-AU32*DU32)/(1000-AU32*DT32))/(100*DL32)</f>
        <v>0</v>
      </c>
      <c r="AH32">
        <f>1000*DX32*AU32*(DT32-DU32)/(100*DL32*(1000-AU32*DT32))</f>
        <v>0</v>
      </c>
      <c r="AI32">
        <f>(AJ32 - AK32 - DY32*1E3/(8.314*(EA32+273.15)) * AM32/DX32 * AL32) * DX32/(100*DL32) * (1000 - DU32)/1000</f>
        <v>0</v>
      </c>
      <c r="AJ32">
        <v>428.615814814799</v>
      </c>
      <c r="AK32">
        <v>434.419866666667</v>
      </c>
      <c r="AL32">
        <v>-0.0394635837214327</v>
      </c>
      <c r="AM32">
        <v>64.2593478590459</v>
      </c>
      <c r="AN32">
        <f>(AP32 - AO32 + DY32*1E3/(8.314*(EA32+273.15)) * AR32/DX32 * AQ32) * DX32/(100*DL32) * 1000/(1000 - AP32)</f>
        <v>0</v>
      </c>
      <c r="AO32">
        <v>20.1794913757174</v>
      </c>
      <c r="AP32">
        <v>46.3416593939394</v>
      </c>
      <c r="AQ32">
        <v>0.00714364974094649</v>
      </c>
      <c r="AR32">
        <v>106.297995219871</v>
      </c>
      <c r="AS32">
        <v>0</v>
      </c>
      <c r="AT32">
        <v>0</v>
      </c>
      <c r="AU32">
        <f>IF(AS32*$H$13&gt;=AW32,1.0,(AW32/(AW32-AS32*$H$13)))</f>
        <v>0</v>
      </c>
      <c r="AV32">
        <f>(AU32-1)*100</f>
        <v>0</v>
      </c>
      <c r="AW32">
        <f>MAX(0,($B$13+$C$13*EF32)/(1+$D$13*EF32)*DY32/(EA32+273)*$E$13)</f>
        <v>0</v>
      </c>
      <c r="AX32" t="s">
        <v>481</v>
      </c>
      <c r="AY32">
        <v>5087.34</v>
      </c>
      <c r="AZ32">
        <v>1085.428</v>
      </c>
      <c r="BA32">
        <v>1355.94830374938</v>
      </c>
      <c r="BB32">
        <f>1-AZ32/BA32</f>
        <v>0</v>
      </c>
      <c r="BC32">
        <v>-6.44647968230568</v>
      </c>
      <c r="BD32" t="s">
        <v>507</v>
      </c>
      <c r="BE32">
        <v>5089.81</v>
      </c>
      <c r="BF32">
        <v>814.212115384615</v>
      </c>
      <c r="BG32">
        <v>863.168116339617</v>
      </c>
      <c r="BH32">
        <f>1-BF32/BG32</f>
        <v>0</v>
      </c>
      <c r="BI32">
        <v>0.5</v>
      </c>
      <c r="BJ32">
        <f>DI32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508</v>
      </c>
      <c r="BQ32">
        <v>774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BZ32">
        <v>823</v>
      </c>
      <c r="CA32">
        <v>290</v>
      </c>
      <c r="CB32">
        <v>850.87</v>
      </c>
      <c r="CC32">
        <v>245</v>
      </c>
      <c r="CD32">
        <v>5089.81</v>
      </c>
      <c r="CE32">
        <v>851.41</v>
      </c>
      <c r="CF32">
        <v>-0.54</v>
      </c>
      <c r="CG32">
        <v>300</v>
      </c>
      <c r="CH32">
        <v>24</v>
      </c>
      <c r="CI32">
        <v>863.168116339617</v>
      </c>
      <c r="CJ32">
        <v>1.28228471377028</v>
      </c>
      <c r="CK32">
        <v>-5.98377887047534</v>
      </c>
      <c r="CL32">
        <v>0.576152677848074</v>
      </c>
      <c r="CM32">
        <v>0.793911325349827</v>
      </c>
      <c r="CN32">
        <v>-0.00372098531701891</v>
      </c>
      <c r="CO32">
        <v>290</v>
      </c>
      <c r="CP32">
        <v>851.1</v>
      </c>
      <c r="CQ32">
        <v>775</v>
      </c>
      <c r="CR32">
        <v>5085.86</v>
      </c>
      <c r="CS32">
        <v>851.4</v>
      </c>
      <c r="CT32">
        <v>-0.3</v>
      </c>
      <c r="DH32">
        <f>$B$11*EG32+$C$11*EH32+$F$11*ES32*(1-EV32)</f>
        <v>0</v>
      </c>
      <c r="DI32">
        <f>DH32*DJ32</f>
        <v>0</v>
      </c>
      <c r="DJ32">
        <f>($B$11*$D$9+$C$11*$D$9+$F$11*((FF32+EX32)/MAX(FF32+EX32+FG32, 0.1)*$I$9+FG32/MAX(FF32+EX32+FG32, 0.1)*$J$9))/($B$11+$C$11+$F$11)</f>
        <v>0</v>
      </c>
      <c r="DK32">
        <f>($B$11*$K$9+$C$11*$K$9+$F$11*((FF32+EX32)/MAX(FF32+EX32+FG32, 0.1)*$P$9+FG32/MAX(FF32+EX32+FG32, 0.1)*$Q$9))/($B$11+$C$11+$F$11)</f>
        <v>0</v>
      </c>
      <c r="DL32">
        <v>6</v>
      </c>
      <c r="DM32">
        <v>0.5</v>
      </c>
      <c r="DN32" t="s">
        <v>440</v>
      </c>
      <c r="DO32">
        <v>2</v>
      </c>
      <c r="DP32" t="b">
        <v>1</v>
      </c>
      <c r="DQ32">
        <v>1762103787.6</v>
      </c>
      <c r="DR32">
        <v>414.42475</v>
      </c>
      <c r="DS32">
        <v>420.0035</v>
      </c>
      <c r="DT32">
        <v>46.28751875</v>
      </c>
      <c r="DU32">
        <v>20.17770625</v>
      </c>
      <c r="DV32">
        <v>406.1359375</v>
      </c>
      <c r="DW32">
        <v>45.95815</v>
      </c>
      <c r="DX32">
        <v>500.0446875</v>
      </c>
      <c r="DY32">
        <v>90.88933125</v>
      </c>
      <c r="DZ32">
        <v>0.04595704375</v>
      </c>
      <c r="EA32">
        <v>54.46224375</v>
      </c>
      <c r="EB32">
        <v>47.82988125</v>
      </c>
      <c r="EC32">
        <v>999.9</v>
      </c>
      <c r="ED32">
        <v>0</v>
      </c>
      <c r="EE32">
        <v>0</v>
      </c>
      <c r="EF32">
        <v>10013.05875</v>
      </c>
      <c r="EG32">
        <v>0</v>
      </c>
      <c r="EH32">
        <v>1049.8634375</v>
      </c>
      <c r="EI32">
        <v>-5.578795625</v>
      </c>
      <c r="EJ32">
        <v>434.538375</v>
      </c>
      <c r="EK32">
        <v>428.652875</v>
      </c>
      <c r="EL32">
        <v>26.1097875</v>
      </c>
      <c r="EM32">
        <v>420.0035</v>
      </c>
      <c r="EN32">
        <v>20.17770625</v>
      </c>
      <c r="EO32">
        <v>4.207041875</v>
      </c>
      <c r="EP32">
        <v>1.83393875</v>
      </c>
      <c r="EQ32">
        <v>29.78054375</v>
      </c>
      <c r="ER32">
        <v>16.07910625</v>
      </c>
      <c r="ES32">
        <v>599.985875</v>
      </c>
      <c r="ET32">
        <v>0.933003125</v>
      </c>
      <c r="EU32">
        <v>0.066996825</v>
      </c>
      <c r="EV32">
        <v>0</v>
      </c>
      <c r="EW32">
        <v>814.4351875</v>
      </c>
      <c r="EX32">
        <v>5.00016</v>
      </c>
      <c r="EY32">
        <v>5210.595625</v>
      </c>
      <c r="EZ32">
        <v>5354.215625</v>
      </c>
      <c r="FA32">
        <v>55.308125</v>
      </c>
      <c r="FB32">
        <v>57.6405</v>
      </c>
      <c r="FC32">
        <v>56.312</v>
      </c>
      <c r="FD32">
        <v>57.9409375</v>
      </c>
      <c r="FE32">
        <v>59.136625</v>
      </c>
      <c r="FF32">
        <v>555.1225</v>
      </c>
      <c r="FG32">
        <v>39.86</v>
      </c>
      <c r="FH32">
        <v>0</v>
      </c>
      <c r="FI32">
        <v>98.6000001430511</v>
      </c>
      <c r="FJ32">
        <v>0</v>
      </c>
      <c r="FK32">
        <v>814.212115384615</v>
      </c>
      <c r="FL32">
        <v>-12.6210940177211</v>
      </c>
      <c r="FM32">
        <v>-16.8194873002302</v>
      </c>
      <c r="FN32">
        <v>5211.23653846154</v>
      </c>
      <c r="FO32">
        <v>15</v>
      </c>
      <c r="FP32">
        <v>0</v>
      </c>
      <c r="FQ32" t="s">
        <v>441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-5.575758</v>
      </c>
      <c r="GD32">
        <v>-0.164379248120307</v>
      </c>
      <c r="GE32">
        <v>0.0502771304471527</v>
      </c>
      <c r="GF32">
        <v>1</v>
      </c>
      <c r="GG32">
        <v>815.079794117647</v>
      </c>
      <c r="GH32">
        <v>-14.5704965585832</v>
      </c>
      <c r="GI32">
        <v>1.44425915833551</v>
      </c>
      <c r="GJ32">
        <v>-1</v>
      </c>
      <c r="GK32">
        <v>26.09183</v>
      </c>
      <c r="GL32">
        <v>0.49757593984955</v>
      </c>
      <c r="GM32">
        <v>0.0481540870539558</v>
      </c>
      <c r="GN32">
        <v>0</v>
      </c>
      <c r="GO32">
        <v>1</v>
      </c>
      <c r="GP32">
        <v>2</v>
      </c>
      <c r="GQ32" t="s">
        <v>458</v>
      </c>
      <c r="GR32">
        <v>3.1233</v>
      </c>
      <c r="GS32">
        <v>2.67096</v>
      </c>
      <c r="GT32">
        <v>0.0844295</v>
      </c>
      <c r="GU32">
        <v>0.0864188</v>
      </c>
      <c r="GV32">
        <v>0.155432</v>
      </c>
      <c r="GW32">
        <v>0.0870421</v>
      </c>
      <c r="GX32">
        <v>22524</v>
      </c>
      <c r="GY32">
        <v>21379.9</v>
      </c>
      <c r="GZ32">
        <v>22070.6</v>
      </c>
      <c r="HA32">
        <v>22865.3</v>
      </c>
      <c r="HB32">
        <v>31984.8</v>
      </c>
      <c r="HC32">
        <v>34638.5</v>
      </c>
      <c r="HD32">
        <v>39999.1</v>
      </c>
      <c r="HE32">
        <v>40899.5</v>
      </c>
      <c r="HF32">
        <v>1.74845</v>
      </c>
      <c r="HG32">
        <v>2.0756</v>
      </c>
      <c r="HH32">
        <v>-0.0505708</v>
      </c>
      <c r="HI32">
        <v>0</v>
      </c>
      <c r="HJ32">
        <v>48.6602</v>
      </c>
      <c r="HK32">
        <v>999.9</v>
      </c>
      <c r="HL32">
        <v>51.032</v>
      </c>
      <c r="HM32">
        <v>27.352</v>
      </c>
      <c r="HN32">
        <v>20.5152</v>
      </c>
      <c r="HO32">
        <v>58.4664</v>
      </c>
      <c r="HP32">
        <v>22.7524</v>
      </c>
      <c r="HQ32">
        <v>2</v>
      </c>
      <c r="HR32">
        <v>1.57119</v>
      </c>
      <c r="HS32">
        <v>-6.45803</v>
      </c>
      <c r="HT32">
        <v>20.1012</v>
      </c>
      <c r="HU32">
        <v>5.22897</v>
      </c>
      <c r="HV32">
        <v>12.0014</v>
      </c>
      <c r="HW32">
        <v>4.95305</v>
      </c>
      <c r="HX32">
        <v>3.30398</v>
      </c>
      <c r="HY32">
        <v>9999</v>
      </c>
      <c r="HZ32">
        <v>999.9</v>
      </c>
      <c r="IA32">
        <v>9999</v>
      </c>
      <c r="IB32">
        <v>9999</v>
      </c>
      <c r="IC32">
        <v>1.86846</v>
      </c>
      <c r="ID32">
        <v>1.86418</v>
      </c>
      <c r="IE32">
        <v>1.87181</v>
      </c>
      <c r="IF32">
        <v>1.86264</v>
      </c>
      <c r="IG32">
        <v>1.86204</v>
      </c>
      <c r="IH32">
        <v>1.86857</v>
      </c>
      <c r="II32">
        <v>1.85865</v>
      </c>
      <c r="IJ32">
        <v>1.86508</v>
      </c>
      <c r="IK32">
        <v>5</v>
      </c>
      <c r="IL32">
        <v>0</v>
      </c>
      <c r="IM32">
        <v>0</v>
      </c>
      <c r="IN32">
        <v>0</v>
      </c>
      <c r="IO32" t="s">
        <v>443</v>
      </c>
      <c r="IP32" t="s">
        <v>444</v>
      </c>
      <c r="IQ32" t="s">
        <v>445</v>
      </c>
      <c r="IR32" t="s">
        <v>445</v>
      </c>
      <c r="IS32" t="s">
        <v>445</v>
      </c>
      <c r="IT32" t="s">
        <v>445</v>
      </c>
      <c r="IU32">
        <v>0</v>
      </c>
      <c r="IV32">
        <v>100</v>
      </c>
      <c r="IW32">
        <v>100</v>
      </c>
      <c r="IX32">
        <v>8.288</v>
      </c>
      <c r="IY32">
        <v>0.3294</v>
      </c>
      <c r="IZ32">
        <v>5.63042802259986</v>
      </c>
      <c r="JA32">
        <v>0.00813484245791346</v>
      </c>
      <c r="JB32">
        <v>-4.34547228418155e-06</v>
      </c>
      <c r="JC32">
        <v>1.0644471544636e-09</v>
      </c>
      <c r="JD32">
        <v>0.329354282981013</v>
      </c>
      <c r="JE32">
        <v>0</v>
      </c>
      <c r="JF32">
        <v>0</v>
      </c>
      <c r="JG32">
        <v>0</v>
      </c>
      <c r="JH32">
        <v>-3</v>
      </c>
      <c r="JI32">
        <v>2169</v>
      </c>
      <c r="JJ32">
        <v>1</v>
      </c>
      <c r="JK32">
        <v>22</v>
      </c>
      <c r="JL32">
        <v>29368396.6</v>
      </c>
      <c r="JM32">
        <v>29368396.6</v>
      </c>
      <c r="JN32">
        <v>1.31348</v>
      </c>
      <c r="JO32">
        <v>2.3584</v>
      </c>
      <c r="JP32">
        <v>2.09839</v>
      </c>
      <c r="JQ32">
        <v>2.65137</v>
      </c>
      <c r="JR32">
        <v>2.24365</v>
      </c>
      <c r="JS32">
        <v>2.27661</v>
      </c>
      <c r="JT32">
        <v>34.6235</v>
      </c>
      <c r="JU32">
        <v>24.07</v>
      </c>
      <c r="JV32">
        <v>18</v>
      </c>
      <c r="JW32">
        <v>569.325</v>
      </c>
      <c r="JX32">
        <v>799.077</v>
      </c>
      <c r="JY32">
        <v>64.4642</v>
      </c>
      <c r="JZ32">
        <v>46.5329</v>
      </c>
      <c r="KA32">
        <v>29.9995</v>
      </c>
      <c r="KB32">
        <v>45.3104</v>
      </c>
      <c r="KC32">
        <v>45.3967</v>
      </c>
      <c r="KD32">
        <v>26.3364</v>
      </c>
      <c r="KE32">
        <v>0</v>
      </c>
      <c r="KF32">
        <v>100</v>
      </c>
      <c r="KG32">
        <v>64.4788</v>
      </c>
      <c r="KH32">
        <v>420</v>
      </c>
      <c r="KI32">
        <v>23.2649</v>
      </c>
      <c r="KJ32">
        <v>89.481</v>
      </c>
      <c r="KK32">
        <v>95.2151</v>
      </c>
    </row>
    <row r="33" spans="1:297">
      <c r="A33">
        <v>17</v>
      </c>
      <c r="B33">
        <v>1762103899.1</v>
      </c>
      <c r="C33">
        <v>2468</v>
      </c>
      <c r="D33" t="s">
        <v>509</v>
      </c>
      <c r="E33" t="s">
        <v>510</v>
      </c>
      <c r="F33">
        <v>5</v>
      </c>
      <c r="G33" t="s">
        <v>485</v>
      </c>
      <c r="H33" t="s">
        <v>436</v>
      </c>
      <c r="I33">
        <v>1762103890.6</v>
      </c>
      <c r="J33">
        <f>(K33)/1000</f>
        <v>0</v>
      </c>
      <c r="K33">
        <f>IF(DP33, AN33, AH33)</f>
        <v>0</v>
      </c>
      <c r="L33">
        <f>IF(DP33, AI33, AG33)</f>
        <v>0</v>
      </c>
      <c r="M33">
        <f>DR33 - IF(AU33&gt;1, L33*DL33*100.0/(AW33), 0)</f>
        <v>0</v>
      </c>
      <c r="N33">
        <f>((T33-J33/2)*M33-L33)/(T33+J33/2)</f>
        <v>0</v>
      </c>
      <c r="O33">
        <f>N33*(DY33+DZ33)/1000.0</f>
        <v>0</v>
      </c>
      <c r="P33">
        <f>(DR33 - IF(AU33&gt;1, L33*DL33*100.0/(AW33), 0))*(DY33+DZ33)/1000.0</f>
        <v>0</v>
      </c>
      <c r="Q33">
        <f>2.0/((1/S33-1/R33)+SIGN(S33)*SQRT((1/S33-1/R33)*(1/S33-1/R33) + 4*DM33/((DM33+1)*(DM33+1))*(2*1/S33*1/R33-1/R33*1/R33)))</f>
        <v>0</v>
      </c>
      <c r="R33">
        <f>IF(LEFT(DN33,1)&lt;&gt;"0",IF(LEFT(DN33,1)="1",3.0,DO33),$D$5+$E$5*(EF33*DY33/($K$5*1000))+$F$5*(EF33*DY33/($K$5*1000))*MAX(MIN(DL33,$J$5),$I$5)*MAX(MIN(DL33,$J$5),$I$5)+$G$5*MAX(MIN(DL33,$J$5),$I$5)*(EF33*DY33/($K$5*1000))+$H$5*(EF33*DY33/($K$5*1000))*(EF33*DY33/($K$5*1000)))</f>
        <v>0</v>
      </c>
      <c r="S33">
        <f>J33*(1000-(1000*0.61365*exp(17.502*W33/(240.97+W33))/(DY33+DZ33)+DT33)/2)/(1000*0.61365*exp(17.502*W33/(240.97+W33))/(DY33+DZ33)-DT33)</f>
        <v>0</v>
      </c>
      <c r="T33">
        <f>1/((DM33+1)/(Q33/1.6)+1/(R33/1.37)) + DM33/((DM33+1)/(Q33/1.6) + DM33/(R33/1.37))</f>
        <v>0</v>
      </c>
      <c r="U33">
        <f>(DH33*DK33)</f>
        <v>0</v>
      </c>
      <c r="V33">
        <f>(EA33+(U33+2*0.95*5.67E-8*(((EA33+$B$7)+273)^4-(EA33+273)^4)-44100*J33)/(1.84*29.3*R33+8*0.95*5.67E-8*(EA33+273)^3))</f>
        <v>0</v>
      </c>
      <c r="W33">
        <f>($C$7*EB33+$D$7*EC33+$E$7*V33)</f>
        <v>0</v>
      </c>
      <c r="X33">
        <f>0.61365*exp(17.502*W33/(240.97+W33))</f>
        <v>0</v>
      </c>
      <c r="Y33">
        <f>(Z33/AA33*100)</f>
        <v>0</v>
      </c>
      <c r="Z33">
        <f>DT33*(DY33+DZ33)/1000</f>
        <v>0</v>
      </c>
      <c r="AA33">
        <f>0.61365*exp(17.502*EA33/(240.97+EA33))</f>
        <v>0</v>
      </c>
      <c r="AB33">
        <f>(X33-DT33*(DY33+DZ33)/1000)</f>
        <v>0</v>
      </c>
      <c r="AC33">
        <f>(-J33*44100)</f>
        <v>0</v>
      </c>
      <c r="AD33">
        <f>2*29.3*R33*0.92*(EA33-W33)</f>
        <v>0</v>
      </c>
      <c r="AE33">
        <f>2*0.95*5.67E-8*(((EA33+$B$7)+273)^4-(W33+273)^4)</f>
        <v>0</v>
      </c>
      <c r="AF33">
        <f>U33+AE33+AC33+AD33</f>
        <v>0</v>
      </c>
      <c r="AG33">
        <f>DX33*AU33*(DS33-DR33*(1000-AU33*DU33)/(1000-AU33*DT33))/(100*DL33)</f>
        <v>0</v>
      </c>
      <c r="AH33">
        <f>1000*DX33*AU33*(DT33-DU33)/(100*DL33*(1000-AU33*DT33))</f>
        <v>0</v>
      </c>
      <c r="AI33">
        <f>(AJ33 - AK33 - DY33*1E3/(8.314*(EA33+273.15)) * AM33/DX33 * AL33) * DX33/(100*DL33) * (1000 - DU33)/1000</f>
        <v>0</v>
      </c>
      <c r="AJ33">
        <v>428.670244787605</v>
      </c>
      <c r="AK33">
        <v>435.354012121212</v>
      </c>
      <c r="AL33">
        <v>0.00926662604208427</v>
      </c>
      <c r="AM33">
        <v>64.2593478590459</v>
      </c>
      <c r="AN33">
        <f>(AP33 - AO33 + DY33*1E3/(8.314*(EA33+273.15)) * AR33/DX33 * AQ33) * DX33/(100*DL33) * 1000/(1000 - AP33)</f>
        <v>0</v>
      </c>
      <c r="AO33">
        <v>20.2119056332369</v>
      </c>
      <c r="AP33">
        <v>46.1553812121212</v>
      </c>
      <c r="AQ33">
        <v>0.00731791485490841</v>
      </c>
      <c r="AR33">
        <v>106.297995219871</v>
      </c>
      <c r="AS33">
        <v>0</v>
      </c>
      <c r="AT33">
        <v>0</v>
      </c>
      <c r="AU33">
        <f>IF(AS33*$H$13&gt;=AW33,1.0,(AW33/(AW33-AS33*$H$13)))</f>
        <v>0</v>
      </c>
      <c r="AV33">
        <f>(AU33-1)*100</f>
        <v>0</v>
      </c>
      <c r="AW33">
        <f>MAX(0,($B$13+$C$13*EF33)/(1+$D$13*EF33)*DY33/(EA33+273)*$E$13)</f>
        <v>0</v>
      </c>
      <c r="AX33" t="s">
        <v>481</v>
      </c>
      <c r="AY33">
        <v>5087.34</v>
      </c>
      <c r="AZ33">
        <v>1085.428</v>
      </c>
      <c r="BA33">
        <v>1355.94830374938</v>
      </c>
      <c r="BB33">
        <f>1-AZ33/BA33</f>
        <v>0</v>
      </c>
      <c r="BC33">
        <v>-6.44647968230568</v>
      </c>
      <c r="BD33" t="s">
        <v>511</v>
      </c>
      <c r="BE33">
        <v>5082.63</v>
      </c>
      <c r="BF33">
        <v>802.46472</v>
      </c>
      <c r="BG33">
        <v>887.71295437889</v>
      </c>
      <c r="BH33">
        <f>1-BF33/BG33</f>
        <v>0</v>
      </c>
      <c r="BI33">
        <v>0.5</v>
      </c>
      <c r="BJ33">
        <f>DI33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512</v>
      </c>
      <c r="BQ33">
        <v>775.93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BZ33">
        <v>825</v>
      </c>
      <c r="CA33">
        <v>290</v>
      </c>
      <c r="CB33">
        <v>874.7</v>
      </c>
      <c r="CC33">
        <v>295</v>
      </c>
      <c r="CD33">
        <v>5082.63</v>
      </c>
      <c r="CE33">
        <v>874.61</v>
      </c>
      <c r="CF33">
        <v>0.09</v>
      </c>
      <c r="CG33">
        <v>300</v>
      </c>
      <c r="CH33">
        <v>24</v>
      </c>
      <c r="CI33">
        <v>887.71295437889</v>
      </c>
      <c r="CJ33">
        <v>1.10092116244124</v>
      </c>
      <c r="CK33">
        <v>-6.66057251779936</v>
      </c>
      <c r="CL33">
        <v>0.489304501178081</v>
      </c>
      <c r="CM33">
        <v>0.868726674297993</v>
      </c>
      <c r="CN33">
        <v>-0.00396660333704116</v>
      </c>
      <c r="CO33">
        <v>290</v>
      </c>
      <c r="CP33">
        <v>874.47</v>
      </c>
      <c r="CQ33">
        <v>865</v>
      </c>
      <c r="CR33">
        <v>5078.64</v>
      </c>
      <c r="CS33">
        <v>874.6</v>
      </c>
      <c r="CT33">
        <v>-0.13</v>
      </c>
      <c r="DH33">
        <f>$B$11*EG33+$C$11*EH33+$F$11*ES33*(1-EV33)</f>
        <v>0</v>
      </c>
      <c r="DI33">
        <f>DH33*DJ33</f>
        <v>0</v>
      </c>
      <c r="DJ33">
        <f>($B$11*$D$9+$C$11*$D$9+$F$11*((FF33+EX33)/MAX(FF33+EX33+FG33, 0.1)*$I$9+FG33/MAX(FF33+EX33+FG33, 0.1)*$J$9))/($B$11+$C$11+$F$11)</f>
        <v>0</v>
      </c>
      <c r="DK33">
        <f>($B$11*$K$9+$C$11*$K$9+$F$11*((FF33+EX33)/MAX(FF33+EX33+FG33, 0.1)*$P$9+FG33/MAX(FF33+EX33+FG33, 0.1)*$Q$9))/($B$11+$C$11+$F$11)</f>
        <v>0</v>
      </c>
      <c r="DL33">
        <v>6</v>
      </c>
      <c r="DM33">
        <v>0.5</v>
      </c>
      <c r="DN33" t="s">
        <v>440</v>
      </c>
      <c r="DO33">
        <v>2</v>
      </c>
      <c r="DP33" t="b">
        <v>1</v>
      </c>
      <c r="DQ33">
        <v>1762103890.6</v>
      </c>
      <c r="DR33">
        <v>415.2285625</v>
      </c>
      <c r="DS33">
        <v>419.997</v>
      </c>
      <c r="DT33">
        <v>46.1039125</v>
      </c>
      <c r="DU33">
        <v>20.21038125</v>
      </c>
      <c r="DV33">
        <v>406.935625</v>
      </c>
      <c r="DW33">
        <v>45.774575</v>
      </c>
      <c r="DX33">
        <v>500.004875</v>
      </c>
      <c r="DY33">
        <v>90.89369375</v>
      </c>
      <c r="DZ33">
        <v>0.04679138125</v>
      </c>
      <c r="EA33">
        <v>54.524375</v>
      </c>
      <c r="EB33">
        <v>47.71358125</v>
      </c>
      <c r="EC33">
        <v>999.9</v>
      </c>
      <c r="ED33">
        <v>0</v>
      </c>
      <c r="EE33">
        <v>0</v>
      </c>
      <c r="EF33">
        <v>10003.364375</v>
      </c>
      <c r="EG33">
        <v>0</v>
      </c>
      <c r="EH33">
        <v>1088.771875</v>
      </c>
      <c r="EI33">
        <v>-4.768549375</v>
      </c>
      <c r="EJ33">
        <v>435.297375</v>
      </c>
      <c r="EK33">
        <v>428.6605</v>
      </c>
      <c r="EL33">
        <v>25.89354375</v>
      </c>
      <c r="EM33">
        <v>419.997</v>
      </c>
      <c r="EN33">
        <v>20.21038125</v>
      </c>
      <c r="EO33">
        <v>4.19055625</v>
      </c>
      <c r="EP33">
        <v>1.836998125</v>
      </c>
      <c r="EQ33">
        <v>29.712325</v>
      </c>
      <c r="ER33">
        <v>16.10520625</v>
      </c>
      <c r="ES33">
        <v>299.9845625</v>
      </c>
      <c r="ET33">
        <v>0.89997675</v>
      </c>
      <c r="EU33">
        <v>0.10002334375</v>
      </c>
      <c r="EV33">
        <v>0</v>
      </c>
      <c r="EW33">
        <v>802.702</v>
      </c>
      <c r="EX33">
        <v>5.00016</v>
      </c>
      <c r="EY33">
        <v>2660.93875</v>
      </c>
      <c r="EZ33">
        <v>2625.2975</v>
      </c>
      <c r="FA33">
        <v>54.89825</v>
      </c>
      <c r="FB33">
        <v>57.625</v>
      </c>
      <c r="FC33">
        <v>56.183125</v>
      </c>
      <c r="FD33">
        <v>58</v>
      </c>
      <c r="FE33">
        <v>58.875</v>
      </c>
      <c r="FF33">
        <v>265.479375</v>
      </c>
      <c r="FG33">
        <v>29.505625</v>
      </c>
      <c r="FH33">
        <v>0</v>
      </c>
      <c r="FI33">
        <v>98</v>
      </c>
      <c r="FJ33">
        <v>0</v>
      </c>
      <c r="FK33">
        <v>802.46472</v>
      </c>
      <c r="FL33">
        <v>-9.84284615724441</v>
      </c>
      <c r="FM33">
        <v>-32.7961538898622</v>
      </c>
      <c r="FN33">
        <v>2660.4152</v>
      </c>
      <c r="FO33">
        <v>15</v>
      </c>
      <c r="FP33">
        <v>0</v>
      </c>
      <c r="FQ33" t="s">
        <v>441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-4.74268904761905</v>
      </c>
      <c r="GD33">
        <v>-0.392700779220783</v>
      </c>
      <c r="GE33">
        <v>0.0608602201696064</v>
      </c>
      <c r="GF33">
        <v>1</v>
      </c>
      <c r="GG33">
        <v>803.087411764706</v>
      </c>
      <c r="GH33">
        <v>-11.0856531789297</v>
      </c>
      <c r="GI33">
        <v>1.10680728216866</v>
      </c>
      <c r="GJ33">
        <v>-1</v>
      </c>
      <c r="GK33">
        <v>25.8750047619048</v>
      </c>
      <c r="GL33">
        <v>0.431018181818188</v>
      </c>
      <c r="GM33">
        <v>0.0436119520117668</v>
      </c>
      <c r="GN33">
        <v>0</v>
      </c>
      <c r="GO33">
        <v>1</v>
      </c>
      <c r="GP33">
        <v>2</v>
      </c>
      <c r="GQ33" t="s">
        <v>458</v>
      </c>
      <c r="GR33">
        <v>3.12311</v>
      </c>
      <c r="GS33">
        <v>2.67232</v>
      </c>
      <c r="GT33">
        <v>0.0845745</v>
      </c>
      <c r="GU33">
        <v>0.0864268</v>
      </c>
      <c r="GV33">
        <v>0.155044</v>
      </c>
      <c r="GW33">
        <v>0.0871478</v>
      </c>
      <c r="GX33">
        <v>22519.9</v>
      </c>
      <c r="GY33">
        <v>21380.6</v>
      </c>
      <c r="GZ33">
        <v>22070</v>
      </c>
      <c r="HA33">
        <v>22866.2</v>
      </c>
      <c r="HB33">
        <v>31997.9</v>
      </c>
      <c r="HC33">
        <v>34635.9</v>
      </c>
      <c r="HD33">
        <v>39997.6</v>
      </c>
      <c r="HE33">
        <v>40901.2</v>
      </c>
      <c r="HF33">
        <v>1.74783</v>
      </c>
      <c r="HG33">
        <v>2.07515</v>
      </c>
      <c r="HH33">
        <v>-0.0656024</v>
      </c>
      <c r="HI33">
        <v>0</v>
      </c>
      <c r="HJ33">
        <v>48.7922</v>
      </c>
      <c r="HK33">
        <v>999.9</v>
      </c>
      <c r="HL33">
        <v>51.007</v>
      </c>
      <c r="HM33">
        <v>27.402</v>
      </c>
      <c r="HN33">
        <v>20.5634</v>
      </c>
      <c r="HO33">
        <v>59.2965</v>
      </c>
      <c r="HP33">
        <v>23.0889</v>
      </c>
      <c r="HQ33">
        <v>2</v>
      </c>
      <c r="HR33">
        <v>1.57348</v>
      </c>
      <c r="HS33">
        <v>-6.66667</v>
      </c>
      <c r="HT33">
        <v>20.0976</v>
      </c>
      <c r="HU33">
        <v>5.22942</v>
      </c>
      <c r="HV33">
        <v>12.0034</v>
      </c>
      <c r="HW33">
        <v>4.95355</v>
      </c>
      <c r="HX33">
        <v>3.304</v>
      </c>
      <c r="HY33">
        <v>9999</v>
      </c>
      <c r="HZ33">
        <v>999.9</v>
      </c>
      <c r="IA33">
        <v>9999</v>
      </c>
      <c r="IB33">
        <v>9999</v>
      </c>
      <c r="IC33">
        <v>1.86847</v>
      </c>
      <c r="ID33">
        <v>1.86417</v>
      </c>
      <c r="IE33">
        <v>1.8718</v>
      </c>
      <c r="IF33">
        <v>1.86264</v>
      </c>
      <c r="IG33">
        <v>1.86204</v>
      </c>
      <c r="IH33">
        <v>1.86854</v>
      </c>
      <c r="II33">
        <v>1.85867</v>
      </c>
      <c r="IJ33">
        <v>1.86508</v>
      </c>
      <c r="IK33">
        <v>5</v>
      </c>
      <c r="IL33">
        <v>0</v>
      </c>
      <c r="IM33">
        <v>0</v>
      </c>
      <c r="IN33">
        <v>0</v>
      </c>
      <c r="IO33" t="s">
        <v>443</v>
      </c>
      <c r="IP33" t="s">
        <v>444</v>
      </c>
      <c r="IQ33" t="s">
        <v>445</v>
      </c>
      <c r="IR33" t="s">
        <v>445</v>
      </c>
      <c r="IS33" t="s">
        <v>445</v>
      </c>
      <c r="IT33" t="s">
        <v>445</v>
      </c>
      <c r="IU33">
        <v>0</v>
      </c>
      <c r="IV33">
        <v>100</v>
      </c>
      <c r="IW33">
        <v>100</v>
      </c>
      <c r="IX33">
        <v>8.293</v>
      </c>
      <c r="IY33">
        <v>0.3293</v>
      </c>
      <c r="IZ33">
        <v>5.63042802259986</v>
      </c>
      <c r="JA33">
        <v>0.00813484245791346</v>
      </c>
      <c r="JB33">
        <v>-4.34547228418155e-06</v>
      </c>
      <c r="JC33">
        <v>1.0644471544636e-09</v>
      </c>
      <c r="JD33">
        <v>0.329354282981013</v>
      </c>
      <c r="JE33">
        <v>0</v>
      </c>
      <c r="JF33">
        <v>0</v>
      </c>
      <c r="JG33">
        <v>0</v>
      </c>
      <c r="JH33">
        <v>-3</v>
      </c>
      <c r="JI33">
        <v>2169</v>
      </c>
      <c r="JJ33">
        <v>1</v>
      </c>
      <c r="JK33">
        <v>22</v>
      </c>
      <c r="JL33">
        <v>29368398.3</v>
      </c>
      <c r="JM33">
        <v>29368398.3</v>
      </c>
      <c r="JN33">
        <v>1.3147</v>
      </c>
      <c r="JO33">
        <v>2.35474</v>
      </c>
      <c r="JP33">
        <v>2.09839</v>
      </c>
      <c r="JQ33">
        <v>2.65015</v>
      </c>
      <c r="JR33">
        <v>2.24365</v>
      </c>
      <c r="JS33">
        <v>2.28882</v>
      </c>
      <c r="JT33">
        <v>34.6921</v>
      </c>
      <c r="JU33">
        <v>24.07</v>
      </c>
      <c r="JV33">
        <v>18</v>
      </c>
      <c r="JW33">
        <v>568.899</v>
      </c>
      <c r="JX33">
        <v>798.613</v>
      </c>
      <c r="JY33">
        <v>65.1889</v>
      </c>
      <c r="JZ33">
        <v>46.5368</v>
      </c>
      <c r="KA33">
        <v>30.0004</v>
      </c>
      <c r="KB33">
        <v>45.3159</v>
      </c>
      <c r="KC33">
        <v>45.397</v>
      </c>
      <c r="KD33">
        <v>26.3433</v>
      </c>
      <c r="KE33">
        <v>0</v>
      </c>
      <c r="KF33">
        <v>100</v>
      </c>
      <c r="KG33">
        <v>66.3098</v>
      </c>
      <c r="KH33">
        <v>420</v>
      </c>
      <c r="KI33">
        <v>23.2649</v>
      </c>
      <c r="KJ33">
        <v>89.4779</v>
      </c>
      <c r="KK33">
        <v>95.219</v>
      </c>
    </row>
    <row r="34" spans="1:297">
      <c r="A34">
        <v>18</v>
      </c>
      <c r="B34">
        <v>1762104002.1</v>
      </c>
      <c r="C34">
        <v>2571</v>
      </c>
      <c r="D34" t="s">
        <v>513</v>
      </c>
      <c r="E34" t="s">
        <v>514</v>
      </c>
      <c r="F34">
        <v>5</v>
      </c>
      <c r="G34" t="s">
        <v>485</v>
      </c>
      <c r="H34" t="s">
        <v>436</v>
      </c>
      <c r="I34">
        <v>1762103993.6</v>
      </c>
      <c r="J34">
        <f>(K34)/1000</f>
        <v>0</v>
      </c>
      <c r="K34">
        <f>IF(DP34, AN34, AH34)</f>
        <v>0</v>
      </c>
      <c r="L34">
        <f>IF(DP34, AI34, AG34)</f>
        <v>0</v>
      </c>
      <c r="M34">
        <f>DR34 - IF(AU34&gt;1, L34*DL34*100.0/(AW34), 0)</f>
        <v>0</v>
      </c>
      <c r="N34">
        <f>((T34-J34/2)*M34-L34)/(T34+J34/2)</f>
        <v>0</v>
      </c>
      <c r="O34">
        <f>N34*(DY34+DZ34)/1000.0</f>
        <v>0</v>
      </c>
      <c r="P34">
        <f>(DR34 - IF(AU34&gt;1, L34*DL34*100.0/(AW34), 0))*(DY34+DZ34)/1000.0</f>
        <v>0</v>
      </c>
      <c r="Q34">
        <f>2.0/((1/S34-1/R34)+SIGN(S34)*SQRT((1/S34-1/R34)*(1/S34-1/R34) + 4*DM34/((DM34+1)*(DM34+1))*(2*1/S34*1/R34-1/R34*1/R34)))</f>
        <v>0</v>
      </c>
      <c r="R34">
        <f>IF(LEFT(DN34,1)&lt;&gt;"0",IF(LEFT(DN34,1)="1",3.0,DO34),$D$5+$E$5*(EF34*DY34/($K$5*1000))+$F$5*(EF34*DY34/($K$5*1000))*MAX(MIN(DL34,$J$5),$I$5)*MAX(MIN(DL34,$J$5),$I$5)+$G$5*MAX(MIN(DL34,$J$5),$I$5)*(EF34*DY34/($K$5*1000))+$H$5*(EF34*DY34/($K$5*1000))*(EF34*DY34/($K$5*1000)))</f>
        <v>0</v>
      </c>
      <c r="S34">
        <f>J34*(1000-(1000*0.61365*exp(17.502*W34/(240.97+W34))/(DY34+DZ34)+DT34)/2)/(1000*0.61365*exp(17.502*W34/(240.97+W34))/(DY34+DZ34)-DT34)</f>
        <v>0</v>
      </c>
      <c r="T34">
        <f>1/((DM34+1)/(Q34/1.6)+1/(R34/1.37)) + DM34/((DM34+1)/(Q34/1.6) + DM34/(R34/1.37))</f>
        <v>0</v>
      </c>
      <c r="U34">
        <f>(DH34*DK34)</f>
        <v>0</v>
      </c>
      <c r="V34">
        <f>(EA34+(U34+2*0.95*5.67E-8*(((EA34+$B$7)+273)^4-(EA34+273)^4)-44100*J34)/(1.84*29.3*R34+8*0.95*5.67E-8*(EA34+273)^3))</f>
        <v>0</v>
      </c>
      <c r="W34">
        <f>($C$7*EB34+$D$7*EC34+$E$7*V34)</f>
        <v>0</v>
      </c>
      <c r="X34">
        <f>0.61365*exp(17.502*W34/(240.97+W34))</f>
        <v>0</v>
      </c>
      <c r="Y34">
        <f>(Z34/AA34*100)</f>
        <v>0</v>
      </c>
      <c r="Z34">
        <f>DT34*(DY34+DZ34)/1000</f>
        <v>0</v>
      </c>
      <c r="AA34">
        <f>0.61365*exp(17.502*EA34/(240.97+EA34))</f>
        <v>0</v>
      </c>
      <c r="AB34">
        <f>(X34-DT34*(DY34+DZ34)/1000)</f>
        <v>0</v>
      </c>
      <c r="AC34">
        <f>(-J34*44100)</f>
        <v>0</v>
      </c>
      <c r="AD34">
        <f>2*29.3*R34*0.92*(EA34-W34)</f>
        <v>0</v>
      </c>
      <c r="AE34">
        <f>2*0.95*5.67E-8*(((EA34+$B$7)+273)^4-(W34+273)^4)</f>
        <v>0</v>
      </c>
      <c r="AF34">
        <f>U34+AE34+AC34+AD34</f>
        <v>0</v>
      </c>
      <c r="AG34">
        <f>DX34*AU34*(DS34-DR34*(1000-AU34*DU34)/(1000-AU34*DT34))/(100*DL34)</f>
        <v>0</v>
      </c>
      <c r="AH34">
        <f>1000*DX34*AU34*(DT34-DU34)/(100*DL34*(1000-AU34*DT34))</f>
        <v>0</v>
      </c>
      <c r="AI34">
        <f>(AJ34 - AK34 - DY34*1E3/(8.314*(EA34+273.15)) * AM34/DX34 * AL34) * DX34/(100*DL34) * (1000 - DU34)/1000</f>
        <v>0</v>
      </c>
      <c r="AJ34">
        <v>428.68829876409</v>
      </c>
      <c r="AK34">
        <v>436.125939393939</v>
      </c>
      <c r="AL34">
        <v>0.0250044735476261</v>
      </c>
      <c r="AM34">
        <v>64.2593478590459</v>
      </c>
      <c r="AN34">
        <f>(AP34 - AO34 + DY34*1E3/(8.314*(EA34+273.15)) * AR34/DX34 * AQ34) * DX34/(100*DL34) * 1000/(1000 - AP34)</f>
        <v>0</v>
      </c>
      <c r="AO34">
        <v>20.23571172779</v>
      </c>
      <c r="AP34">
        <v>46.1104157575758</v>
      </c>
      <c r="AQ34">
        <v>0.00745245693394663</v>
      </c>
      <c r="AR34">
        <v>106.297995219871</v>
      </c>
      <c r="AS34">
        <v>0</v>
      </c>
      <c r="AT34">
        <v>0</v>
      </c>
      <c r="AU34">
        <f>IF(AS34*$H$13&gt;=AW34,1.0,(AW34/(AW34-AS34*$H$13)))</f>
        <v>0</v>
      </c>
      <c r="AV34">
        <f>(AU34-1)*100</f>
        <v>0</v>
      </c>
      <c r="AW34">
        <f>MAX(0,($B$13+$C$13*EF34)/(1+$D$13*EF34)*DY34/(EA34+273)*$E$13)</f>
        <v>0</v>
      </c>
      <c r="AX34" t="s">
        <v>481</v>
      </c>
      <c r="AY34">
        <v>5087.34</v>
      </c>
      <c r="AZ34">
        <v>1085.428</v>
      </c>
      <c r="BA34">
        <v>1355.94830374938</v>
      </c>
      <c r="BB34">
        <f>1-AZ34/BA34</f>
        <v>0</v>
      </c>
      <c r="BC34">
        <v>-6.44647968230568</v>
      </c>
      <c r="BD34" t="s">
        <v>515</v>
      </c>
      <c r="BE34">
        <v>5070.67</v>
      </c>
      <c r="BF34">
        <v>802.74252</v>
      </c>
      <c r="BG34">
        <v>920.787687150569</v>
      </c>
      <c r="BH34">
        <f>1-BF34/BG34</f>
        <v>0</v>
      </c>
      <c r="BI34">
        <v>0.5</v>
      </c>
      <c r="BJ34">
        <f>DI34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516</v>
      </c>
      <c r="BQ34">
        <v>790.33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BZ34">
        <v>827</v>
      </c>
      <c r="CA34">
        <v>290</v>
      </c>
      <c r="CB34">
        <v>907.91</v>
      </c>
      <c r="CC34">
        <v>285</v>
      </c>
      <c r="CD34">
        <v>5070.67</v>
      </c>
      <c r="CE34">
        <v>908.18</v>
      </c>
      <c r="CF34">
        <v>-0.27</v>
      </c>
      <c r="CG34">
        <v>300</v>
      </c>
      <c r="CH34">
        <v>24</v>
      </c>
      <c r="CI34">
        <v>920.787687150569</v>
      </c>
      <c r="CJ34">
        <v>1.56063446076386</v>
      </c>
      <c r="CK34">
        <v>-6.39064119288905</v>
      </c>
      <c r="CL34">
        <v>0.688612302691647</v>
      </c>
      <c r="CM34">
        <v>0.754659280474281</v>
      </c>
      <c r="CN34">
        <v>-0.00408261090100111</v>
      </c>
      <c r="CO34">
        <v>290</v>
      </c>
      <c r="CP34">
        <v>908.82</v>
      </c>
      <c r="CQ34">
        <v>815</v>
      </c>
      <c r="CR34">
        <v>5066.9</v>
      </c>
      <c r="CS34">
        <v>908.18</v>
      </c>
      <c r="CT34">
        <v>0.64</v>
      </c>
      <c r="DH34">
        <f>$B$11*EG34+$C$11*EH34+$F$11*ES34*(1-EV34)</f>
        <v>0</v>
      </c>
      <c r="DI34">
        <f>DH34*DJ34</f>
        <v>0</v>
      </c>
      <c r="DJ34">
        <f>($B$11*$D$9+$C$11*$D$9+$F$11*((FF34+EX34)/MAX(FF34+EX34+FG34, 0.1)*$I$9+FG34/MAX(FF34+EX34+FG34, 0.1)*$J$9))/($B$11+$C$11+$F$11)</f>
        <v>0</v>
      </c>
      <c r="DK34">
        <f>($B$11*$K$9+$C$11*$K$9+$F$11*((FF34+EX34)/MAX(FF34+EX34+FG34, 0.1)*$P$9+FG34/MAX(FF34+EX34+FG34, 0.1)*$Q$9))/($B$11+$C$11+$F$11)</f>
        <v>0</v>
      </c>
      <c r="DL34">
        <v>6</v>
      </c>
      <c r="DM34">
        <v>0.5</v>
      </c>
      <c r="DN34" t="s">
        <v>440</v>
      </c>
      <c r="DO34">
        <v>2</v>
      </c>
      <c r="DP34" t="b">
        <v>1</v>
      </c>
      <c r="DQ34">
        <v>1762103993.6</v>
      </c>
      <c r="DR34">
        <v>415.9964375</v>
      </c>
      <c r="DS34">
        <v>420.0113125</v>
      </c>
      <c r="DT34">
        <v>46.0504625</v>
      </c>
      <c r="DU34">
        <v>20.235325</v>
      </c>
      <c r="DV34">
        <v>407.6995</v>
      </c>
      <c r="DW34">
        <v>45.72110625</v>
      </c>
      <c r="DX34">
        <v>500.0353125</v>
      </c>
      <c r="DY34">
        <v>90.90085</v>
      </c>
      <c r="DZ34">
        <v>0.0462685875</v>
      </c>
      <c r="EA34">
        <v>54.57264375</v>
      </c>
      <c r="EB34">
        <v>47.6752375</v>
      </c>
      <c r="EC34">
        <v>999.9</v>
      </c>
      <c r="ED34">
        <v>0</v>
      </c>
      <c r="EE34">
        <v>0</v>
      </c>
      <c r="EF34">
        <v>10016.28625</v>
      </c>
      <c r="EG34">
        <v>0</v>
      </c>
      <c r="EH34">
        <v>1088.675</v>
      </c>
      <c r="EI34">
        <v>-4.0149275</v>
      </c>
      <c r="EJ34">
        <v>436.0778125</v>
      </c>
      <c r="EK34">
        <v>428.685875</v>
      </c>
      <c r="EL34">
        <v>25.81514375</v>
      </c>
      <c r="EM34">
        <v>420.0113125</v>
      </c>
      <c r="EN34">
        <v>20.235325</v>
      </c>
      <c r="EO34">
        <v>4.1860275</v>
      </c>
      <c r="EP34">
        <v>1.839408125</v>
      </c>
      <c r="EQ34">
        <v>29.6935375</v>
      </c>
      <c r="ER34">
        <v>16.12576875</v>
      </c>
      <c r="ES34">
        <v>149.984875</v>
      </c>
      <c r="ET34">
        <v>0.899955625</v>
      </c>
      <c r="EU34">
        <v>0.100044175</v>
      </c>
      <c r="EV34">
        <v>0</v>
      </c>
      <c r="EW34">
        <v>802.914625</v>
      </c>
      <c r="EX34">
        <v>5.00016</v>
      </c>
      <c r="EY34">
        <v>1431.533125</v>
      </c>
      <c r="EZ34">
        <v>1290.32125</v>
      </c>
      <c r="FA34">
        <v>54.5465</v>
      </c>
      <c r="FB34">
        <v>57.5974375</v>
      </c>
      <c r="FC34">
        <v>55.9881875</v>
      </c>
      <c r="FD34">
        <v>57.992125</v>
      </c>
      <c r="FE34">
        <v>58.628875</v>
      </c>
      <c r="FF34">
        <v>130.47875</v>
      </c>
      <c r="FG34">
        <v>14.506875</v>
      </c>
      <c r="FH34">
        <v>0</v>
      </c>
      <c r="FI34">
        <v>98.4000000953674</v>
      </c>
      <c r="FJ34">
        <v>0</v>
      </c>
      <c r="FK34">
        <v>802.74252</v>
      </c>
      <c r="FL34">
        <v>-8.40415384107128</v>
      </c>
      <c r="FM34">
        <v>-16.2999999319026</v>
      </c>
      <c r="FN34">
        <v>1431.2024</v>
      </c>
      <c r="FO34">
        <v>15</v>
      </c>
      <c r="FP34">
        <v>0</v>
      </c>
      <c r="FQ34" t="s">
        <v>441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-3.98294047619048</v>
      </c>
      <c r="GD34">
        <v>-0.471949090909096</v>
      </c>
      <c r="GE34">
        <v>0.0598591825693309</v>
      </c>
      <c r="GF34">
        <v>1</v>
      </c>
      <c r="GG34">
        <v>803.399882352941</v>
      </c>
      <c r="GH34">
        <v>-8.9518411053487</v>
      </c>
      <c r="GI34">
        <v>0.913043448637779</v>
      </c>
      <c r="GJ34">
        <v>-1</v>
      </c>
      <c r="GK34">
        <v>25.7904619047619</v>
      </c>
      <c r="GL34">
        <v>0.414124675324725</v>
      </c>
      <c r="GM34">
        <v>0.0419670446239321</v>
      </c>
      <c r="GN34">
        <v>0</v>
      </c>
      <c r="GO34">
        <v>1</v>
      </c>
      <c r="GP34">
        <v>2</v>
      </c>
      <c r="GQ34" t="s">
        <v>458</v>
      </c>
      <c r="GR34">
        <v>3.12358</v>
      </c>
      <c r="GS34">
        <v>2.6717</v>
      </c>
      <c r="GT34">
        <v>0.0847038</v>
      </c>
      <c r="GU34">
        <v>0.0864256</v>
      </c>
      <c r="GV34">
        <v>0.154905</v>
      </c>
      <c r="GW34">
        <v>0.0872186</v>
      </c>
      <c r="GX34">
        <v>22509.6</v>
      </c>
      <c r="GY34">
        <v>21375.6</v>
      </c>
      <c r="GZ34">
        <v>22063.5</v>
      </c>
      <c r="HA34">
        <v>22861.2</v>
      </c>
      <c r="HB34">
        <v>31994.7</v>
      </c>
      <c r="HC34">
        <v>34626.5</v>
      </c>
      <c r="HD34">
        <v>39986.6</v>
      </c>
      <c r="HE34">
        <v>40893.4</v>
      </c>
      <c r="HF34">
        <v>1.74702</v>
      </c>
      <c r="HG34">
        <v>2.07332</v>
      </c>
      <c r="HH34">
        <v>-0.0768527</v>
      </c>
      <c r="HI34">
        <v>0</v>
      </c>
      <c r="HJ34">
        <v>48.9501</v>
      </c>
      <c r="HK34">
        <v>999.9</v>
      </c>
      <c r="HL34">
        <v>50.934</v>
      </c>
      <c r="HM34">
        <v>27.462</v>
      </c>
      <c r="HN34">
        <v>20.6062</v>
      </c>
      <c r="HO34">
        <v>58.8665</v>
      </c>
      <c r="HP34">
        <v>22.8486</v>
      </c>
      <c r="HQ34">
        <v>2</v>
      </c>
      <c r="HR34">
        <v>1.58218</v>
      </c>
      <c r="HS34">
        <v>-6.66667</v>
      </c>
      <c r="HT34">
        <v>20.099</v>
      </c>
      <c r="HU34">
        <v>5.22912</v>
      </c>
      <c r="HV34">
        <v>12.0029</v>
      </c>
      <c r="HW34">
        <v>4.9534</v>
      </c>
      <c r="HX34">
        <v>3.304</v>
      </c>
      <c r="HY34">
        <v>9999</v>
      </c>
      <c r="HZ34">
        <v>999.9</v>
      </c>
      <c r="IA34">
        <v>9999</v>
      </c>
      <c r="IB34">
        <v>9999</v>
      </c>
      <c r="IC34">
        <v>1.86848</v>
      </c>
      <c r="ID34">
        <v>1.86418</v>
      </c>
      <c r="IE34">
        <v>1.87181</v>
      </c>
      <c r="IF34">
        <v>1.86264</v>
      </c>
      <c r="IG34">
        <v>1.86203</v>
      </c>
      <c r="IH34">
        <v>1.86855</v>
      </c>
      <c r="II34">
        <v>1.85867</v>
      </c>
      <c r="IJ34">
        <v>1.86508</v>
      </c>
      <c r="IK34">
        <v>5</v>
      </c>
      <c r="IL34">
        <v>0</v>
      </c>
      <c r="IM34">
        <v>0</v>
      </c>
      <c r="IN34">
        <v>0</v>
      </c>
      <c r="IO34" t="s">
        <v>443</v>
      </c>
      <c r="IP34" t="s">
        <v>444</v>
      </c>
      <c r="IQ34" t="s">
        <v>445</v>
      </c>
      <c r="IR34" t="s">
        <v>445</v>
      </c>
      <c r="IS34" t="s">
        <v>445</v>
      </c>
      <c r="IT34" t="s">
        <v>445</v>
      </c>
      <c r="IU34">
        <v>0</v>
      </c>
      <c r="IV34">
        <v>100</v>
      </c>
      <c r="IW34">
        <v>100</v>
      </c>
      <c r="IX34">
        <v>8.297</v>
      </c>
      <c r="IY34">
        <v>0.3294</v>
      </c>
      <c r="IZ34">
        <v>5.63042802259986</v>
      </c>
      <c r="JA34">
        <v>0.00813484245791346</v>
      </c>
      <c r="JB34">
        <v>-4.34547228418155e-06</v>
      </c>
      <c r="JC34">
        <v>1.0644471544636e-09</v>
      </c>
      <c r="JD34">
        <v>0.329354282981013</v>
      </c>
      <c r="JE34">
        <v>0</v>
      </c>
      <c r="JF34">
        <v>0</v>
      </c>
      <c r="JG34">
        <v>0</v>
      </c>
      <c r="JH34">
        <v>-3</v>
      </c>
      <c r="JI34">
        <v>2169</v>
      </c>
      <c r="JJ34">
        <v>1</v>
      </c>
      <c r="JK34">
        <v>22</v>
      </c>
      <c r="JL34">
        <v>29368400</v>
      </c>
      <c r="JM34">
        <v>29368400</v>
      </c>
      <c r="JN34">
        <v>1.3147</v>
      </c>
      <c r="JO34">
        <v>2.35107</v>
      </c>
      <c r="JP34">
        <v>2.09839</v>
      </c>
      <c r="JQ34">
        <v>2.65015</v>
      </c>
      <c r="JR34">
        <v>2.24365</v>
      </c>
      <c r="JS34">
        <v>2.33398</v>
      </c>
      <c r="JT34">
        <v>34.715</v>
      </c>
      <c r="JU34">
        <v>24.0787</v>
      </c>
      <c r="JV34">
        <v>18</v>
      </c>
      <c r="JW34">
        <v>568.722</v>
      </c>
      <c r="JX34">
        <v>797.388</v>
      </c>
      <c r="JY34">
        <v>65.2853</v>
      </c>
      <c r="JZ34">
        <v>46.6275</v>
      </c>
      <c r="KA34">
        <v>30.0003</v>
      </c>
      <c r="KB34">
        <v>45.3775</v>
      </c>
      <c r="KC34">
        <v>45.4583</v>
      </c>
      <c r="KD34">
        <v>26.3503</v>
      </c>
      <c r="KE34">
        <v>0</v>
      </c>
      <c r="KF34">
        <v>100</v>
      </c>
      <c r="KG34">
        <v>66.3695</v>
      </c>
      <c r="KH34">
        <v>420</v>
      </c>
      <c r="KI34">
        <v>23.2649</v>
      </c>
      <c r="KJ34">
        <v>89.4526</v>
      </c>
      <c r="KK34">
        <v>95.1998</v>
      </c>
    </row>
    <row r="35" spans="1:297">
      <c r="A35">
        <v>19</v>
      </c>
      <c r="B35">
        <v>1762104104.1</v>
      </c>
      <c r="C35">
        <v>2673</v>
      </c>
      <c r="D35" t="s">
        <v>517</v>
      </c>
      <c r="E35" t="s">
        <v>518</v>
      </c>
      <c r="F35">
        <v>5</v>
      </c>
      <c r="G35" t="s">
        <v>485</v>
      </c>
      <c r="H35" t="s">
        <v>436</v>
      </c>
      <c r="I35">
        <v>1762104095.6</v>
      </c>
      <c r="J35">
        <f>(K35)/1000</f>
        <v>0</v>
      </c>
      <c r="K35">
        <f>IF(DP35, AN35, AH35)</f>
        <v>0</v>
      </c>
      <c r="L35">
        <f>IF(DP35, AI35, AG35)</f>
        <v>0</v>
      </c>
      <c r="M35">
        <f>DR35 - IF(AU35&gt;1, L35*DL35*100.0/(AW35), 0)</f>
        <v>0</v>
      </c>
      <c r="N35">
        <f>((T35-J35/2)*M35-L35)/(T35+J35/2)</f>
        <v>0</v>
      </c>
      <c r="O35">
        <f>N35*(DY35+DZ35)/1000.0</f>
        <v>0</v>
      </c>
      <c r="P35">
        <f>(DR35 - IF(AU35&gt;1, L35*DL35*100.0/(AW35), 0))*(DY35+DZ35)/1000.0</f>
        <v>0</v>
      </c>
      <c r="Q35">
        <f>2.0/((1/S35-1/R35)+SIGN(S35)*SQRT((1/S35-1/R35)*(1/S35-1/R35) + 4*DM35/((DM35+1)*(DM35+1))*(2*1/S35*1/R35-1/R35*1/R35)))</f>
        <v>0</v>
      </c>
      <c r="R35">
        <f>IF(LEFT(DN35,1)&lt;&gt;"0",IF(LEFT(DN35,1)="1",3.0,DO35),$D$5+$E$5*(EF35*DY35/($K$5*1000))+$F$5*(EF35*DY35/($K$5*1000))*MAX(MIN(DL35,$J$5),$I$5)*MAX(MIN(DL35,$J$5),$I$5)+$G$5*MAX(MIN(DL35,$J$5),$I$5)*(EF35*DY35/($K$5*1000))+$H$5*(EF35*DY35/($K$5*1000))*(EF35*DY35/($K$5*1000)))</f>
        <v>0</v>
      </c>
      <c r="S35">
        <f>J35*(1000-(1000*0.61365*exp(17.502*W35/(240.97+W35))/(DY35+DZ35)+DT35)/2)/(1000*0.61365*exp(17.502*W35/(240.97+W35))/(DY35+DZ35)-DT35)</f>
        <v>0</v>
      </c>
      <c r="T35">
        <f>1/((DM35+1)/(Q35/1.6)+1/(R35/1.37)) + DM35/((DM35+1)/(Q35/1.6) + DM35/(R35/1.37))</f>
        <v>0</v>
      </c>
      <c r="U35">
        <f>(DH35*DK35)</f>
        <v>0</v>
      </c>
      <c r="V35">
        <f>(EA35+(U35+2*0.95*5.67E-8*(((EA35+$B$7)+273)^4-(EA35+273)^4)-44100*J35)/(1.84*29.3*R35+8*0.95*5.67E-8*(EA35+273)^3))</f>
        <v>0</v>
      </c>
      <c r="W35">
        <f>($C$7*EB35+$D$7*EC35+$E$7*V35)</f>
        <v>0</v>
      </c>
      <c r="X35">
        <f>0.61365*exp(17.502*W35/(240.97+W35))</f>
        <v>0</v>
      </c>
      <c r="Y35">
        <f>(Z35/AA35*100)</f>
        <v>0</v>
      </c>
      <c r="Z35">
        <f>DT35*(DY35+DZ35)/1000</f>
        <v>0</v>
      </c>
      <c r="AA35">
        <f>0.61365*exp(17.502*EA35/(240.97+EA35))</f>
        <v>0</v>
      </c>
      <c r="AB35">
        <f>(X35-DT35*(DY35+DZ35)/1000)</f>
        <v>0</v>
      </c>
      <c r="AC35">
        <f>(-J35*44100)</f>
        <v>0</v>
      </c>
      <c r="AD35">
        <f>2*29.3*R35*0.92*(EA35-W35)</f>
        <v>0</v>
      </c>
      <c r="AE35">
        <f>2*0.95*5.67E-8*(((EA35+$B$7)+273)^4-(W35+273)^4)</f>
        <v>0</v>
      </c>
      <c r="AF35">
        <f>U35+AE35+AC35+AD35</f>
        <v>0</v>
      </c>
      <c r="AG35">
        <f>DX35*AU35*(DS35-DR35*(1000-AU35*DU35)/(1000-AU35*DT35))/(100*DL35)</f>
        <v>0</v>
      </c>
      <c r="AH35">
        <f>1000*DX35*AU35*(DT35-DU35)/(100*DL35*(1000-AU35*DT35))</f>
        <v>0</v>
      </c>
      <c r="AI35">
        <f>(AJ35 - AK35 - DY35*1E3/(8.314*(EA35+273.15)) * AM35/DX35 * AL35) * DX35/(100*DL35) * (1000 - DU35)/1000</f>
        <v>0</v>
      </c>
      <c r="AJ35">
        <v>428.652113833106</v>
      </c>
      <c r="AK35">
        <v>437.179078787879</v>
      </c>
      <c r="AL35">
        <v>0.000485857307539694</v>
      </c>
      <c r="AM35">
        <v>64.2593478590459</v>
      </c>
      <c r="AN35">
        <f>(AP35 - AO35 + DY35*1E3/(8.314*(EA35+273.15)) * AR35/DX35 * AQ35) * DX35/(100*DL35) * 1000/(1000 - AP35)</f>
        <v>0</v>
      </c>
      <c r="AO35">
        <v>20.2559733756506</v>
      </c>
      <c r="AP35">
        <v>46.0598284848485</v>
      </c>
      <c r="AQ35">
        <v>0.00629738654578853</v>
      </c>
      <c r="AR35">
        <v>106.297995219871</v>
      </c>
      <c r="AS35">
        <v>0</v>
      </c>
      <c r="AT35">
        <v>0</v>
      </c>
      <c r="AU35">
        <f>IF(AS35*$H$13&gt;=AW35,1.0,(AW35/(AW35-AS35*$H$13)))</f>
        <v>0</v>
      </c>
      <c r="AV35">
        <f>(AU35-1)*100</f>
        <v>0</v>
      </c>
      <c r="AW35">
        <f>MAX(0,($B$13+$C$13*EF35)/(1+$D$13*EF35)*DY35/(EA35+273)*$E$13)</f>
        <v>0</v>
      </c>
      <c r="AX35" t="s">
        <v>481</v>
      </c>
      <c r="AY35">
        <v>5087.34</v>
      </c>
      <c r="AZ35">
        <v>1085.428</v>
      </c>
      <c r="BA35">
        <v>1355.94830374938</v>
      </c>
      <c r="BB35">
        <f>1-AZ35/BA35</f>
        <v>0</v>
      </c>
      <c r="BC35">
        <v>-6.44647968230568</v>
      </c>
      <c r="BD35" t="s">
        <v>519</v>
      </c>
      <c r="BE35">
        <v>5063.44</v>
      </c>
      <c r="BF35">
        <v>805.114307692308</v>
      </c>
      <c r="BG35">
        <v>948.9</v>
      </c>
      <c r="BH35">
        <f>1-BF35/BG35</f>
        <v>0</v>
      </c>
      <c r="BI35">
        <v>0.5</v>
      </c>
      <c r="BJ35">
        <f>DI35</f>
        <v>0</v>
      </c>
      <c r="BK35">
        <f>L35</f>
        <v>0</v>
      </c>
      <c r="BL35">
        <f>BH35*BI35*BJ35</f>
        <v>0</v>
      </c>
      <c r="BM35">
        <f>(BK35-BC35)/BJ35</f>
        <v>0</v>
      </c>
      <c r="BN35">
        <f>(BA35-BG35)/BG35</f>
        <v>0</v>
      </c>
      <c r="BO35">
        <f>AZ35/(BB35+AZ35/BG35)</f>
        <v>0</v>
      </c>
      <c r="BP35" t="s">
        <v>520</v>
      </c>
      <c r="BQ35">
        <v>802.47</v>
      </c>
      <c r="BR35">
        <f>IF(BQ35&lt;&gt;0, BQ35, BO35)</f>
        <v>0</v>
      </c>
      <c r="BS35">
        <f>1-BR35/BG35</f>
        <v>0</v>
      </c>
      <c r="BT35">
        <f>(BG35-BF35)/(BG35-BR35)</f>
        <v>0</v>
      </c>
      <c r="BU35">
        <f>(BA35-BG35)/(BA35-BR35)</f>
        <v>0</v>
      </c>
      <c r="BV35">
        <f>(BG35-BF35)/(BG35-AZ35)</f>
        <v>0</v>
      </c>
      <c r="BW35">
        <f>(BA35-BG35)/(BA35-AZ35)</f>
        <v>0</v>
      </c>
      <c r="BX35">
        <f>(BT35*BR35/BF35)</f>
        <v>0</v>
      </c>
      <c r="BY35">
        <f>(1-BX35)</f>
        <v>0</v>
      </c>
      <c r="BZ35">
        <v>829</v>
      </c>
      <c r="CA35">
        <v>290</v>
      </c>
      <c r="CB35">
        <v>948.9</v>
      </c>
      <c r="CC35">
        <v>285</v>
      </c>
      <c r="CD35">
        <v>5063.44</v>
      </c>
      <c r="CE35">
        <v>951.17</v>
      </c>
      <c r="CF35">
        <v>-2.27</v>
      </c>
      <c r="CG35">
        <v>300</v>
      </c>
      <c r="CH35">
        <v>24</v>
      </c>
      <c r="CI35">
        <v>944.464548816943</v>
      </c>
      <c r="CJ35">
        <v>1.81729994048282</v>
      </c>
      <c r="CK35">
        <v>3.39328980010902</v>
      </c>
      <c r="CL35">
        <v>0.798100284717623</v>
      </c>
      <c r="CM35">
        <v>0.392321885855343</v>
      </c>
      <c r="CN35">
        <v>-0.00415993503893215</v>
      </c>
      <c r="CO35">
        <v>290</v>
      </c>
      <c r="CP35">
        <v>956.91</v>
      </c>
      <c r="CQ35">
        <v>765</v>
      </c>
      <c r="CR35">
        <v>5060.05</v>
      </c>
      <c r="CS35">
        <v>951.17</v>
      </c>
      <c r="CT35">
        <v>5.74</v>
      </c>
      <c r="DH35">
        <f>$B$11*EG35+$C$11*EH35+$F$11*ES35*(1-EV35)</f>
        <v>0</v>
      </c>
      <c r="DI35">
        <f>DH35*DJ35</f>
        <v>0</v>
      </c>
      <c r="DJ35">
        <f>($B$11*$D$9+$C$11*$D$9+$F$11*((FF35+EX35)/MAX(FF35+EX35+FG35, 0.1)*$I$9+FG35/MAX(FF35+EX35+FG35, 0.1)*$J$9))/($B$11+$C$11+$F$11)</f>
        <v>0</v>
      </c>
      <c r="DK35">
        <f>($B$11*$K$9+$C$11*$K$9+$F$11*((FF35+EX35)/MAX(FF35+EX35+FG35, 0.1)*$P$9+FG35/MAX(FF35+EX35+FG35, 0.1)*$Q$9))/($B$11+$C$11+$F$11)</f>
        <v>0</v>
      </c>
      <c r="DL35">
        <v>6</v>
      </c>
      <c r="DM35">
        <v>0.5</v>
      </c>
      <c r="DN35" t="s">
        <v>440</v>
      </c>
      <c r="DO35">
        <v>2</v>
      </c>
      <c r="DP35" t="b">
        <v>1</v>
      </c>
      <c r="DQ35">
        <v>1762104095.6</v>
      </c>
      <c r="DR35">
        <v>417.0715625</v>
      </c>
      <c r="DS35">
        <v>419.9876875</v>
      </c>
      <c r="DT35">
        <v>46.01270625</v>
      </c>
      <c r="DU35">
        <v>20.25545</v>
      </c>
      <c r="DV35">
        <v>408.769375</v>
      </c>
      <c r="DW35">
        <v>45.68336875</v>
      </c>
      <c r="DX35">
        <v>499.938</v>
      </c>
      <c r="DY35">
        <v>90.8995875</v>
      </c>
      <c r="DZ35">
        <v>0.04591665</v>
      </c>
      <c r="EA35">
        <v>54.62458125</v>
      </c>
      <c r="EB35">
        <v>47.59705</v>
      </c>
      <c r="EC35">
        <v>999.9</v>
      </c>
      <c r="ED35">
        <v>0</v>
      </c>
      <c r="EE35">
        <v>0</v>
      </c>
      <c r="EF35">
        <v>9993.4275</v>
      </c>
      <c r="EG35">
        <v>0</v>
      </c>
      <c r="EH35">
        <v>1088.666875</v>
      </c>
      <c r="EI35">
        <v>-2.91608875</v>
      </c>
      <c r="EJ35">
        <v>437.188</v>
      </c>
      <c r="EK35">
        <v>428.6705</v>
      </c>
      <c r="EL35">
        <v>25.75726875</v>
      </c>
      <c r="EM35">
        <v>419.9876875</v>
      </c>
      <c r="EN35">
        <v>20.25545</v>
      </c>
      <c r="EO35">
        <v>4.182536875</v>
      </c>
      <c r="EP35">
        <v>1.84121125</v>
      </c>
      <c r="EQ35">
        <v>29.67905</v>
      </c>
      <c r="ER35">
        <v>16.141125</v>
      </c>
      <c r="ES35">
        <v>49.9848875</v>
      </c>
      <c r="ET35">
        <v>0.9000133125</v>
      </c>
      <c r="EU35">
        <v>0.0999866125</v>
      </c>
      <c r="EV35">
        <v>0</v>
      </c>
      <c r="EW35">
        <v>805.1718125</v>
      </c>
      <c r="EX35">
        <v>5.00016</v>
      </c>
      <c r="EY35">
        <v>602.413</v>
      </c>
      <c r="EZ35">
        <v>400.3591875</v>
      </c>
      <c r="FA35">
        <v>54.156</v>
      </c>
      <c r="FB35">
        <v>57.4488125</v>
      </c>
      <c r="FC35">
        <v>55.710625</v>
      </c>
      <c r="FD35">
        <v>57.8710625</v>
      </c>
      <c r="FE35">
        <v>58.3435</v>
      </c>
      <c r="FF35">
        <v>40.4875</v>
      </c>
      <c r="FG35">
        <v>4.5</v>
      </c>
      <c r="FH35">
        <v>0</v>
      </c>
      <c r="FI35">
        <v>97.7999999523163</v>
      </c>
      <c r="FJ35">
        <v>0</v>
      </c>
      <c r="FK35">
        <v>805.114307692308</v>
      </c>
      <c r="FL35">
        <v>-4.5924102637595</v>
      </c>
      <c r="FM35">
        <v>-3.59928203281215</v>
      </c>
      <c r="FN35">
        <v>602.603807692308</v>
      </c>
      <c r="FO35">
        <v>15</v>
      </c>
      <c r="FP35">
        <v>0</v>
      </c>
      <c r="FQ35" t="s">
        <v>441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-2.913628</v>
      </c>
      <c r="GD35">
        <v>-0.0510144360902222</v>
      </c>
      <c r="GE35">
        <v>0.0204212187687219</v>
      </c>
      <c r="GF35">
        <v>1</v>
      </c>
      <c r="GG35">
        <v>805.303647058823</v>
      </c>
      <c r="GH35">
        <v>-4.18689076081009</v>
      </c>
      <c r="GI35">
        <v>0.471811832030827</v>
      </c>
      <c r="GJ35">
        <v>-1</v>
      </c>
      <c r="GK35">
        <v>25.74672</v>
      </c>
      <c r="GL35">
        <v>0.309771428571447</v>
      </c>
      <c r="GM35">
        <v>0.0300796376307961</v>
      </c>
      <c r="GN35">
        <v>0</v>
      </c>
      <c r="GO35">
        <v>1</v>
      </c>
      <c r="GP35">
        <v>2</v>
      </c>
      <c r="GQ35" t="s">
        <v>458</v>
      </c>
      <c r="GR35">
        <v>3.12318</v>
      </c>
      <c r="GS35">
        <v>2.6716</v>
      </c>
      <c r="GT35">
        <v>0.0848499</v>
      </c>
      <c r="GU35">
        <v>0.0864039</v>
      </c>
      <c r="GV35">
        <v>0.1548</v>
      </c>
      <c r="GW35">
        <v>0.0872736</v>
      </c>
      <c r="GX35">
        <v>22501</v>
      </c>
      <c r="GY35">
        <v>21374.5</v>
      </c>
      <c r="GZ35">
        <v>22058.8</v>
      </c>
      <c r="HA35">
        <v>22859.8</v>
      </c>
      <c r="HB35">
        <v>31993.2</v>
      </c>
      <c r="HC35">
        <v>34622.7</v>
      </c>
      <c r="HD35">
        <v>39979.6</v>
      </c>
      <c r="HE35">
        <v>40891.5</v>
      </c>
      <c r="HF35">
        <v>1.74588</v>
      </c>
      <c r="HG35">
        <v>2.07243</v>
      </c>
      <c r="HH35">
        <v>-0.0867248</v>
      </c>
      <c r="HI35">
        <v>0</v>
      </c>
      <c r="HJ35">
        <v>48.9887</v>
      </c>
      <c r="HK35">
        <v>999.9</v>
      </c>
      <c r="HL35">
        <v>50.885</v>
      </c>
      <c r="HM35">
        <v>27.503</v>
      </c>
      <c r="HN35">
        <v>20.6367</v>
      </c>
      <c r="HO35">
        <v>57.9665</v>
      </c>
      <c r="HP35">
        <v>22.7644</v>
      </c>
      <c r="HQ35">
        <v>2</v>
      </c>
      <c r="HR35">
        <v>1.58707</v>
      </c>
      <c r="HS35">
        <v>-6.66667</v>
      </c>
      <c r="HT35">
        <v>20.1005</v>
      </c>
      <c r="HU35">
        <v>5.23017</v>
      </c>
      <c r="HV35">
        <v>12.0017</v>
      </c>
      <c r="HW35">
        <v>4.9535</v>
      </c>
      <c r="HX35">
        <v>3.30395</v>
      </c>
      <c r="HY35">
        <v>9999</v>
      </c>
      <c r="HZ35">
        <v>999.9</v>
      </c>
      <c r="IA35">
        <v>9999</v>
      </c>
      <c r="IB35">
        <v>9999</v>
      </c>
      <c r="IC35">
        <v>1.86848</v>
      </c>
      <c r="ID35">
        <v>1.86417</v>
      </c>
      <c r="IE35">
        <v>1.87181</v>
      </c>
      <c r="IF35">
        <v>1.86264</v>
      </c>
      <c r="IG35">
        <v>1.86203</v>
      </c>
      <c r="IH35">
        <v>1.86857</v>
      </c>
      <c r="II35">
        <v>1.85867</v>
      </c>
      <c r="IJ35">
        <v>1.86508</v>
      </c>
      <c r="IK35">
        <v>5</v>
      </c>
      <c r="IL35">
        <v>0</v>
      </c>
      <c r="IM35">
        <v>0</v>
      </c>
      <c r="IN35">
        <v>0</v>
      </c>
      <c r="IO35" t="s">
        <v>443</v>
      </c>
      <c r="IP35" t="s">
        <v>444</v>
      </c>
      <c r="IQ35" t="s">
        <v>445</v>
      </c>
      <c r="IR35" t="s">
        <v>445</v>
      </c>
      <c r="IS35" t="s">
        <v>445</v>
      </c>
      <c r="IT35" t="s">
        <v>445</v>
      </c>
      <c r="IU35">
        <v>0</v>
      </c>
      <c r="IV35">
        <v>100</v>
      </c>
      <c r="IW35">
        <v>100</v>
      </c>
      <c r="IX35">
        <v>8.302</v>
      </c>
      <c r="IY35">
        <v>0.3294</v>
      </c>
      <c r="IZ35">
        <v>5.63042802259986</v>
      </c>
      <c r="JA35">
        <v>0.00813484245791346</v>
      </c>
      <c r="JB35">
        <v>-4.34547228418155e-06</v>
      </c>
      <c r="JC35">
        <v>1.0644471544636e-09</v>
      </c>
      <c r="JD35">
        <v>0.329354282981013</v>
      </c>
      <c r="JE35">
        <v>0</v>
      </c>
      <c r="JF35">
        <v>0</v>
      </c>
      <c r="JG35">
        <v>0</v>
      </c>
      <c r="JH35">
        <v>-3</v>
      </c>
      <c r="JI35">
        <v>2169</v>
      </c>
      <c r="JJ35">
        <v>1</v>
      </c>
      <c r="JK35">
        <v>22</v>
      </c>
      <c r="JL35">
        <v>29368401.7</v>
      </c>
      <c r="JM35">
        <v>29368401.7</v>
      </c>
      <c r="JN35">
        <v>1.3147</v>
      </c>
      <c r="JO35">
        <v>2.35718</v>
      </c>
      <c r="JP35">
        <v>2.09839</v>
      </c>
      <c r="JQ35">
        <v>2.65015</v>
      </c>
      <c r="JR35">
        <v>2.24365</v>
      </c>
      <c r="JS35">
        <v>2.28271</v>
      </c>
      <c r="JT35">
        <v>34.7608</v>
      </c>
      <c r="JU35">
        <v>24.0787</v>
      </c>
      <c r="JV35">
        <v>18</v>
      </c>
      <c r="JW35">
        <v>568.181</v>
      </c>
      <c r="JX35">
        <v>796.987</v>
      </c>
      <c r="JY35">
        <v>65.4991</v>
      </c>
      <c r="JZ35">
        <v>46.6997</v>
      </c>
      <c r="KA35">
        <v>30.0003</v>
      </c>
      <c r="KB35">
        <v>45.4234</v>
      </c>
      <c r="KC35">
        <v>45.5073</v>
      </c>
      <c r="KD35">
        <v>26.3612</v>
      </c>
      <c r="KE35">
        <v>0</v>
      </c>
      <c r="KF35">
        <v>100</v>
      </c>
      <c r="KG35">
        <v>67.4806</v>
      </c>
      <c r="KH35">
        <v>420</v>
      </c>
      <c r="KI35">
        <v>23.2649</v>
      </c>
      <c r="KJ35">
        <v>89.4358</v>
      </c>
      <c r="KK35">
        <v>95.1949</v>
      </c>
    </row>
    <row r="36" spans="1:297">
      <c r="A36">
        <v>20</v>
      </c>
      <c r="B36">
        <v>1762104207.1</v>
      </c>
      <c r="C36">
        <v>2776</v>
      </c>
      <c r="D36" t="s">
        <v>521</v>
      </c>
      <c r="E36" t="s">
        <v>522</v>
      </c>
      <c r="F36">
        <v>5</v>
      </c>
      <c r="G36" t="s">
        <v>485</v>
      </c>
      <c r="H36" t="s">
        <v>436</v>
      </c>
      <c r="I36">
        <v>1762104198.6</v>
      </c>
      <c r="J36">
        <f>(K36)/1000</f>
        <v>0</v>
      </c>
      <c r="K36">
        <f>IF(DP36, AN36, AH36)</f>
        <v>0</v>
      </c>
      <c r="L36">
        <f>IF(DP36, AI36, AG36)</f>
        <v>0</v>
      </c>
      <c r="M36">
        <f>DR36 - IF(AU36&gt;1, L36*DL36*100.0/(AW36), 0)</f>
        <v>0</v>
      </c>
      <c r="N36">
        <f>((T36-J36/2)*M36-L36)/(T36+J36/2)</f>
        <v>0</v>
      </c>
      <c r="O36">
        <f>N36*(DY36+DZ36)/1000.0</f>
        <v>0</v>
      </c>
      <c r="P36">
        <f>(DR36 - IF(AU36&gt;1, L36*DL36*100.0/(AW36), 0))*(DY36+DZ36)/1000.0</f>
        <v>0</v>
      </c>
      <c r="Q36">
        <f>2.0/((1/S36-1/R36)+SIGN(S36)*SQRT((1/S36-1/R36)*(1/S36-1/R36) + 4*DM36/((DM36+1)*(DM36+1))*(2*1/S36*1/R36-1/R36*1/R36)))</f>
        <v>0</v>
      </c>
      <c r="R36">
        <f>IF(LEFT(DN36,1)&lt;&gt;"0",IF(LEFT(DN36,1)="1",3.0,DO36),$D$5+$E$5*(EF36*DY36/($K$5*1000))+$F$5*(EF36*DY36/($K$5*1000))*MAX(MIN(DL36,$J$5),$I$5)*MAX(MIN(DL36,$J$5),$I$5)+$G$5*MAX(MIN(DL36,$J$5),$I$5)*(EF36*DY36/($K$5*1000))+$H$5*(EF36*DY36/($K$5*1000))*(EF36*DY36/($K$5*1000)))</f>
        <v>0</v>
      </c>
      <c r="S36">
        <f>J36*(1000-(1000*0.61365*exp(17.502*W36/(240.97+W36))/(DY36+DZ36)+DT36)/2)/(1000*0.61365*exp(17.502*W36/(240.97+W36))/(DY36+DZ36)-DT36)</f>
        <v>0</v>
      </c>
      <c r="T36">
        <f>1/((DM36+1)/(Q36/1.6)+1/(R36/1.37)) + DM36/((DM36+1)/(Q36/1.6) + DM36/(R36/1.37))</f>
        <v>0</v>
      </c>
      <c r="U36">
        <f>(DH36*DK36)</f>
        <v>0</v>
      </c>
      <c r="V36">
        <f>(EA36+(U36+2*0.95*5.67E-8*(((EA36+$B$7)+273)^4-(EA36+273)^4)-44100*J36)/(1.84*29.3*R36+8*0.95*5.67E-8*(EA36+273)^3))</f>
        <v>0</v>
      </c>
      <c r="W36">
        <f>($C$7*EB36+$D$7*EC36+$E$7*V36)</f>
        <v>0</v>
      </c>
      <c r="X36">
        <f>0.61365*exp(17.502*W36/(240.97+W36))</f>
        <v>0</v>
      </c>
      <c r="Y36">
        <f>(Z36/AA36*100)</f>
        <v>0</v>
      </c>
      <c r="Z36">
        <f>DT36*(DY36+DZ36)/1000</f>
        <v>0</v>
      </c>
      <c r="AA36">
        <f>0.61365*exp(17.502*EA36/(240.97+EA36))</f>
        <v>0</v>
      </c>
      <c r="AB36">
        <f>(X36-DT36*(DY36+DZ36)/1000)</f>
        <v>0</v>
      </c>
      <c r="AC36">
        <f>(-J36*44100)</f>
        <v>0</v>
      </c>
      <c r="AD36">
        <f>2*29.3*R36*0.92*(EA36-W36)</f>
        <v>0</v>
      </c>
      <c r="AE36">
        <f>2*0.95*5.67E-8*(((EA36+$B$7)+273)^4-(W36+273)^4)</f>
        <v>0</v>
      </c>
      <c r="AF36">
        <f>U36+AE36+AC36+AD36</f>
        <v>0</v>
      </c>
      <c r="AG36">
        <f>DX36*AU36*(DS36-DR36*(1000-AU36*DU36)/(1000-AU36*DT36))/(100*DL36)</f>
        <v>0</v>
      </c>
      <c r="AH36">
        <f>1000*DX36*AU36*(DT36-DU36)/(100*DL36*(1000-AU36*DT36))</f>
        <v>0</v>
      </c>
      <c r="AI36">
        <f>(AJ36 - AK36 - DY36*1E3/(8.314*(EA36+273.15)) * AM36/DX36 * AL36) * DX36/(100*DL36) * (1000 - DU36)/1000</f>
        <v>0</v>
      </c>
      <c r="AJ36">
        <v>428.694371607717</v>
      </c>
      <c r="AK36">
        <v>437.825678787879</v>
      </c>
      <c r="AL36">
        <v>-0.000826071105641456</v>
      </c>
      <c r="AM36">
        <v>64.2593478590459</v>
      </c>
      <c r="AN36">
        <f>(AP36 - AO36 + DY36*1E3/(8.314*(EA36+273.15)) * AR36/DX36 * AQ36) * DX36/(100*DL36) * 1000/(1000 - AP36)</f>
        <v>0</v>
      </c>
      <c r="AO36">
        <v>20.2750022715852</v>
      </c>
      <c r="AP36">
        <v>45.9720612121212</v>
      </c>
      <c r="AQ36">
        <v>0.00527163654074858</v>
      </c>
      <c r="AR36">
        <v>106.297995219871</v>
      </c>
      <c r="AS36">
        <v>0</v>
      </c>
      <c r="AT36">
        <v>0</v>
      </c>
      <c r="AU36">
        <f>IF(AS36*$H$13&gt;=AW36,1.0,(AW36/(AW36-AS36*$H$13)))</f>
        <v>0</v>
      </c>
      <c r="AV36">
        <f>(AU36-1)*100</f>
        <v>0</v>
      </c>
      <c r="AW36">
        <f>MAX(0,($B$13+$C$13*EF36)/(1+$D$13*EF36)*DY36/(EA36+273)*$E$13)</f>
        <v>0</v>
      </c>
      <c r="AX36" t="s">
        <v>523</v>
      </c>
      <c r="AY36">
        <v>5062.95</v>
      </c>
      <c r="AZ36">
        <v>940.268</v>
      </c>
      <c r="BA36">
        <v>1227.26</v>
      </c>
      <c r="BB36">
        <f>1-AZ36/BA36</f>
        <v>0</v>
      </c>
      <c r="BC36">
        <v>-7.45265964798859</v>
      </c>
      <c r="BD36" t="s">
        <v>482</v>
      </c>
      <c r="BE36" t="s">
        <v>482</v>
      </c>
      <c r="BF36">
        <v>0</v>
      </c>
      <c r="BG36">
        <v>0</v>
      </c>
      <c r="BH36">
        <f>1-BF36/BG36</f>
        <v>0</v>
      </c>
      <c r="BI36">
        <v>0.5</v>
      </c>
      <c r="BJ36">
        <f>DI36</f>
        <v>0</v>
      </c>
      <c r="BK36">
        <f>L36</f>
        <v>0</v>
      </c>
      <c r="BL36">
        <f>BH36*BI36*BJ36</f>
        <v>0</v>
      </c>
      <c r="BM36">
        <f>(BK36-BC36)/BJ36</f>
        <v>0</v>
      </c>
      <c r="BN36">
        <f>(BA36-BG36)/BG36</f>
        <v>0</v>
      </c>
      <c r="BO36">
        <f>AZ36/(BB36+AZ36/BG36)</f>
        <v>0</v>
      </c>
      <c r="BP36" t="s">
        <v>482</v>
      </c>
      <c r="BQ36">
        <v>0</v>
      </c>
      <c r="BR36">
        <f>IF(BQ36&lt;&gt;0, BQ36, BO36)</f>
        <v>0</v>
      </c>
      <c r="BS36">
        <f>1-BR36/BG36</f>
        <v>0</v>
      </c>
      <c r="BT36">
        <f>(BG36-BF36)/(BG36-BR36)</f>
        <v>0</v>
      </c>
      <c r="BU36">
        <f>(BA36-BG36)/(BA36-BR36)</f>
        <v>0</v>
      </c>
      <c r="BV36">
        <f>(BG36-BF36)/(BG36-AZ36)</f>
        <v>0</v>
      </c>
      <c r="BW36">
        <f>(BA36-BG36)/(BA36-AZ36)</f>
        <v>0</v>
      </c>
      <c r="BX36">
        <f>(BT36*BR36/BF36)</f>
        <v>0</v>
      </c>
      <c r="BY36">
        <f>(1-BX36)</f>
        <v>0</v>
      </c>
      <c r="BZ36">
        <v>831</v>
      </c>
      <c r="CA36">
        <v>290</v>
      </c>
      <c r="CB36">
        <v>1227.26</v>
      </c>
      <c r="CC36">
        <v>285</v>
      </c>
      <c r="CD36">
        <v>5062.95</v>
      </c>
      <c r="CE36">
        <v>1231.03</v>
      </c>
      <c r="CF36">
        <v>-3.77</v>
      </c>
      <c r="CG36">
        <v>300</v>
      </c>
      <c r="CH36">
        <v>24</v>
      </c>
      <c r="CI36">
        <v>1213.6837937184</v>
      </c>
      <c r="CJ36">
        <v>2.30332670701037</v>
      </c>
      <c r="CK36">
        <v>8.78446090788152</v>
      </c>
      <c r="CL36">
        <v>1.00995280315111</v>
      </c>
      <c r="CM36">
        <v>0.729868794855741</v>
      </c>
      <c r="CN36">
        <v>-0.00419696129032258</v>
      </c>
      <c r="CO36">
        <v>290</v>
      </c>
      <c r="CP36">
        <v>1240.78</v>
      </c>
      <c r="CQ36">
        <v>755</v>
      </c>
      <c r="CR36">
        <v>5059.6</v>
      </c>
      <c r="CS36">
        <v>1231.05</v>
      </c>
      <c r="CT36">
        <v>9.73</v>
      </c>
      <c r="DH36">
        <f>$B$11*EG36+$C$11*EH36+$F$11*ES36*(1-EV36)</f>
        <v>0</v>
      </c>
      <c r="DI36">
        <f>DH36*DJ36</f>
        <v>0</v>
      </c>
      <c r="DJ36">
        <f>($B$11*$D$9+$C$11*$D$9+$F$11*((FF36+EX36)/MAX(FF36+EX36+FG36, 0.1)*$I$9+FG36/MAX(FF36+EX36+FG36, 0.1)*$J$9))/($B$11+$C$11+$F$11)</f>
        <v>0</v>
      </c>
      <c r="DK36">
        <f>($B$11*$K$9+$C$11*$K$9+$F$11*((FF36+EX36)/MAX(FF36+EX36+FG36, 0.1)*$P$9+FG36/MAX(FF36+EX36+FG36, 0.1)*$Q$9))/($B$11+$C$11+$F$11)</f>
        <v>0</v>
      </c>
      <c r="DL36">
        <v>6</v>
      </c>
      <c r="DM36">
        <v>0.5</v>
      </c>
      <c r="DN36" t="s">
        <v>440</v>
      </c>
      <c r="DO36">
        <v>2</v>
      </c>
      <c r="DP36" t="b">
        <v>1</v>
      </c>
      <c r="DQ36">
        <v>1762104198.6</v>
      </c>
      <c r="DR36">
        <v>417.746</v>
      </c>
      <c r="DS36">
        <v>420.0041875</v>
      </c>
      <c r="DT36">
        <v>45.934525</v>
      </c>
      <c r="DU36">
        <v>20.27425</v>
      </c>
      <c r="DV36">
        <v>409.44025</v>
      </c>
      <c r="DW36">
        <v>45.60514375</v>
      </c>
      <c r="DX36">
        <v>500.027125</v>
      </c>
      <c r="DY36">
        <v>90.9027875</v>
      </c>
      <c r="DZ36">
        <v>0.045785475</v>
      </c>
      <c r="EA36">
        <v>54.53750625</v>
      </c>
      <c r="EB36">
        <v>47.4925</v>
      </c>
      <c r="EC36">
        <v>999.9</v>
      </c>
      <c r="ED36">
        <v>0</v>
      </c>
      <c r="EE36">
        <v>0</v>
      </c>
      <c r="EF36">
        <v>10006.324375</v>
      </c>
      <c r="EG36">
        <v>0</v>
      </c>
      <c r="EH36">
        <v>1042.2645</v>
      </c>
      <c r="EI36">
        <v>-2.257986875</v>
      </c>
      <c r="EJ36">
        <v>437.8588125</v>
      </c>
      <c r="EK36">
        <v>428.695375</v>
      </c>
      <c r="EL36">
        <v>25.66025625</v>
      </c>
      <c r="EM36">
        <v>420.0041875</v>
      </c>
      <c r="EN36">
        <v>20.27425</v>
      </c>
      <c r="EO36">
        <v>4.175575</v>
      </c>
      <c r="EP36">
        <v>1.842985</v>
      </c>
      <c r="EQ36">
        <v>29.6501125</v>
      </c>
      <c r="ER36">
        <v>16.15620625</v>
      </c>
      <c r="ES36">
        <v>0.00500016</v>
      </c>
      <c r="ET36">
        <v>0</v>
      </c>
      <c r="EU36">
        <v>0</v>
      </c>
      <c r="EV36">
        <v>0</v>
      </c>
      <c r="EW36">
        <v>941.15</v>
      </c>
      <c r="EX36">
        <v>0.00500016</v>
      </c>
      <c r="EY36">
        <v>193.95</v>
      </c>
      <c r="EZ36">
        <v>2.54375</v>
      </c>
      <c r="FA36">
        <v>53.74975</v>
      </c>
      <c r="FB36">
        <v>57.23425</v>
      </c>
      <c r="FC36">
        <v>55.406</v>
      </c>
      <c r="FD36">
        <v>57.495875</v>
      </c>
      <c r="FE36">
        <v>57.7224375</v>
      </c>
      <c r="FF36">
        <v>0</v>
      </c>
      <c r="FG36">
        <v>0</v>
      </c>
      <c r="FH36">
        <v>0</v>
      </c>
      <c r="FI36">
        <v>98.3999998569489</v>
      </c>
      <c r="FJ36">
        <v>0</v>
      </c>
      <c r="FK36">
        <v>940.268</v>
      </c>
      <c r="FL36">
        <v>11.8230769897811</v>
      </c>
      <c r="FM36">
        <v>129.007693142792</v>
      </c>
      <c r="FN36">
        <v>194.976</v>
      </c>
      <c r="FO36">
        <v>15</v>
      </c>
      <c r="FP36">
        <v>0</v>
      </c>
      <c r="FQ36" t="s">
        <v>441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-2.2370095</v>
      </c>
      <c r="GD36">
        <v>-0.422275939849623</v>
      </c>
      <c r="GE36">
        <v>0.0532981813456144</v>
      </c>
      <c r="GF36">
        <v>1</v>
      </c>
      <c r="GG36">
        <v>938.667647058824</v>
      </c>
      <c r="GH36">
        <v>17.4774635921469</v>
      </c>
      <c r="GI36">
        <v>6.19419655276261</v>
      </c>
      <c r="GJ36">
        <v>-1</v>
      </c>
      <c r="GK36">
        <v>25.644325</v>
      </c>
      <c r="GL36">
        <v>0.30915338345865</v>
      </c>
      <c r="GM36">
        <v>0.0299115174305817</v>
      </c>
      <c r="GN36">
        <v>0</v>
      </c>
      <c r="GO36">
        <v>1</v>
      </c>
      <c r="GP36">
        <v>2</v>
      </c>
      <c r="GQ36" t="s">
        <v>458</v>
      </c>
      <c r="GR36">
        <v>3.12321</v>
      </c>
      <c r="GS36">
        <v>2.67118</v>
      </c>
      <c r="GT36">
        <v>0.0849539</v>
      </c>
      <c r="GU36">
        <v>0.0864085</v>
      </c>
      <c r="GV36">
        <v>0.154589</v>
      </c>
      <c r="GW36">
        <v>0.0873296</v>
      </c>
      <c r="GX36">
        <v>22495.3</v>
      </c>
      <c r="GY36">
        <v>21373.3</v>
      </c>
      <c r="GZ36">
        <v>22055.9</v>
      </c>
      <c r="HA36">
        <v>22858.7</v>
      </c>
      <c r="HB36">
        <v>31997.8</v>
      </c>
      <c r="HC36">
        <v>34619</v>
      </c>
      <c r="HD36">
        <v>39975.4</v>
      </c>
      <c r="HE36">
        <v>40889.6</v>
      </c>
      <c r="HF36">
        <v>1.74553</v>
      </c>
      <c r="HG36">
        <v>2.072</v>
      </c>
      <c r="HH36">
        <v>-0.0902116</v>
      </c>
      <c r="HI36">
        <v>0</v>
      </c>
      <c r="HJ36">
        <v>48.9274</v>
      </c>
      <c r="HK36">
        <v>999.9</v>
      </c>
      <c r="HL36">
        <v>50.812</v>
      </c>
      <c r="HM36">
        <v>27.543</v>
      </c>
      <c r="HN36">
        <v>20.6518</v>
      </c>
      <c r="HO36">
        <v>57.8365</v>
      </c>
      <c r="HP36">
        <v>22.7244</v>
      </c>
      <c r="HQ36">
        <v>2</v>
      </c>
      <c r="HR36">
        <v>1.5891</v>
      </c>
      <c r="HS36">
        <v>-6.66667</v>
      </c>
      <c r="HT36">
        <v>20.1022</v>
      </c>
      <c r="HU36">
        <v>5.22852</v>
      </c>
      <c r="HV36">
        <v>12.004</v>
      </c>
      <c r="HW36">
        <v>4.9534</v>
      </c>
      <c r="HX36">
        <v>3.30393</v>
      </c>
      <c r="HY36">
        <v>9999</v>
      </c>
      <c r="HZ36">
        <v>999.9</v>
      </c>
      <c r="IA36">
        <v>9999</v>
      </c>
      <c r="IB36">
        <v>9999</v>
      </c>
      <c r="IC36">
        <v>1.86846</v>
      </c>
      <c r="ID36">
        <v>1.86417</v>
      </c>
      <c r="IE36">
        <v>1.8718</v>
      </c>
      <c r="IF36">
        <v>1.86264</v>
      </c>
      <c r="IG36">
        <v>1.86203</v>
      </c>
      <c r="IH36">
        <v>1.86853</v>
      </c>
      <c r="II36">
        <v>1.85866</v>
      </c>
      <c r="IJ36">
        <v>1.86508</v>
      </c>
      <c r="IK36">
        <v>5</v>
      </c>
      <c r="IL36">
        <v>0</v>
      </c>
      <c r="IM36">
        <v>0</v>
      </c>
      <c r="IN36">
        <v>0</v>
      </c>
      <c r="IO36" t="s">
        <v>443</v>
      </c>
      <c r="IP36" t="s">
        <v>444</v>
      </c>
      <c r="IQ36" t="s">
        <v>445</v>
      </c>
      <c r="IR36" t="s">
        <v>445</v>
      </c>
      <c r="IS36" t="s">
        <v>445</v>
      </c>
      <c r="IT36" t="s">
        <v>445</v>
      </c>
      <c r="IU36">
        <v>0</v>
      </c>
      <c r="IV36">
        <v>100</v>
      </c>
      <c r="IW36">
        <v>100</v>
      </c>
      <c r="IX36">
        <v>8.305</v>
      </c>
      <c r="IY36">
        <v>0.3294</v>
      </c>
      <c r="IZ36">
        <v>5.63042802259986</v>
      </c>
      <c r="JA36">
        <v>0.00813484245791346</v>
      </c>
      <c r="JB36">
        <v>-4.34547228418155e-06</v>
      </c>
      <c r="JC36">
        <v>1.0644471544636e-09</v>
      </c>
      <c r="JD36">
        <v>0.329354282981013</v>
      </c>
      <c r="JE36">
        <v>0</v>
      </c>
      <c r="JF36">
        <v>0</v>
      </c>
      <c r="JG36">
        <v>0</v>
      </c>
      <c r="JH36">
        <v>-3</v>
      </c>
      <c r="JI36">
        <v>2169</v>
      </c>
      <c r="JJ36">
        <v>1</v>
      </c>
      <c r="JK36">
        <v>22</v>
      </c>
      <c r="JL36">
        <v>29368403.5</v>
      </c>
      <c r="JM36">
        <v>29368403.5</v>
      </c>
      <c r="JN36">
        <v>1.3147</v>
      </c>
      <c r="JO36">
        <v>2.35474</v>
      </c>
      <c r="JP36">
        <v>2.09839</v>
      </c>
      <c r="JQ36">
        <v>2.65015</v>
      </c>
      <c r="JR36">
        <v>2.24365</v>
      </c>
      <c r="JS36">
        <v>2.40845</v>
      </c>
      <c r="JT36">
        <v>34.8066</v>
      </c>
      <c r="JU36">
        <v>24.0963</v>
      </c>
      <c r="JV36">
        <v>18</v>
      </c>
      <c r="JW36">
        <v>568.076</v>
      </c>
      <c r="JX36">
        <v>796.839</v>
      </c>
      <c r="JY36">
        <v>65.3463</v>
      </c>
      <c r="JZ36">
        <v>46.7362</v>
      </c>
      <c r="KA36">
        <v>30</v>
      </c>
      <c r="KB36">
        <v>45.4461</v>
      </c>
      <c r="KC36">
        <v>45.5342</v>
      </c>
      <c r="KD36">
        <v>26.3685</v>
      </c>
      <c r="KE36">
        <v>0</v>
      </c>
      <c r="KF36">
        <v>100</v>
      </c>
      <c r="KG36">
        <v>67.8856</v>
      </c>
      <c r="KH36">
        <v>420</v>
      </c>
      <c r="KI36">
        <v>23.2649</v>
      </c>
      <c r="KJ36">
        <v>89.4257</v>
      </c>
      <c r="KK36">
        <v>95.1905</v>
      </c>
    </row>
    <row r="37" spans="1:297">
      <c r="A37">
        <v>21</v>
      </c>
      <c r="B37">
        <v>1762107108.1</v>
      </c>
      <c r="C37">
        <v>5677</v>
      </c>
      <c r="D37" t="s">
        <v>524</v>
      </c>
      <c r="E37" t="s">
        <v>525</v>
      </c>
      <c r="F37">
        <v>5</v>
      </c>
      <c r="G37" t="s">
        <v>526</v>
      </c>
      <c r="H37" t="s">
        <v>436</v>
      </c>
      <c r="I37">
        <v>1762107100.1</v>
      </c>
      <c r="J37">
        <f>(K37)/1000</f>
        <v>0</v>
      </c>
      <c r="K37">
        <f>IF(DP37, AN37, AH37)</f>
        <v>0</v>
      </c>
      <c r="L37">
        <f>IF(DP37, AI37, AG37)</f>
        <v>0</v>
      </c>
      <c r="M37">
        <f>DR37 - IF(AU37&gt;1, L37*DL37*100.0/(AW37), 0)</f>
        <v>0</v>
      </c>
      <c r="N37">
        <f>((T37-J37/2)*M37-L37)/(T37+J37/2)</f>
        <v>0</v>
      </c>
      <c r="O37">
        <f>N37*(DY37+DZ37)/1000.0</f>
        <v>0</v>
      </c>
      <c r="P37">
        <f>(DR37 - IF(AU37&gt;1, L37*DL37*100.0/(AW37), 0))*(DY37+DZ37)/1000.0</f>
        <v>0</v>
      </c>
      <c r="Q37">
        <f>2.0/((1/S37-1/R37)+SIGN(S37)*SQRT((1/S37-1/R37)*(1/S37-1/R37) + 4*DM37/((DM37+1)*(DM37+1))*(2*1/S37*1/R37-1/R37*1/R37)))</f>
        <v>0</v>
      </c>
      <c r="R37">
        <f>IF(LEFT(DN37,1)&lt;&gt;"0",IF(LEFT(DN37,1)="1",3.0,DO37),$D$5+$E$5*(EF37*DY37/($K$5*1000))+$F$5*(EF37*DY37/($K$5*1000))*MAX(MIN(DL37,$J$5),$I$5)*MAX(MIN(DL37,$J$5),$I$5)+$G$5*MAX(MIN(DL37,$J$5),$I$5)*(EF37*DY37/($K$5*1000))+$H$5*(EF37*DY37/($K$5*1000))*(EF37*DY37/($K$5*1000)))</f>
        <v>0</v>
      </c>
      <c r="S37">
        <f>J37*(1000-(1000*0.61365*exp(17.502*W37/(240.97+W37))/(DY37+DZ37)+DT37)/2)/(1000*0.61365*exp(17.502*W37/(240.97+W37))/(DY37+DZ37)-DT37)</f>
        <v>0</v>
      </c>
      <c r="T37">
        <f>1/((DM37+1)/(Q37/1.6)+1/(R37/1.37)) + DM37/((DM37+1)/(Q37/1.6) + DM37/(R37/1.37))</f>
        <v>0</v>
      </c>
      <c r="U37">
        <f>(DH37*DK37)</f>
        <v>0</v>
      </c>
      <c r="V37">
        <f>(EA37+(U37+2*0.95*5.67E-8*(((EA37+$B$7)+273)^4-(EA37+273)^4)-44100*J37)/(1.84*29.3*R37+8*0.95*5.67E-8*(EA37+273)^3))</f>
        <v>0</v>
      </c>
      <c r="W37">
        <f>($C$7*EB37+$D$7*EC37+$E$7*V37)</f>
        <v>0</v>
      </c>
      <c r="X37">
        <f>0.61365*exp(17.502*W37/(240.97+W37))</f>
        <v>0</v>
      </c>
      <c r="Y37">
        <f>(Z37/AA37*100)</f>
        <v>0</v>
      </c>
      <c r="Z37">
        <f>DT37*(DY37+DZ37)/1000</f>
        <v>0</v>
      </c>
      <c r="AA37">
        <f>0.61365*exp(17.502*EA37/(240.97+EA37))</f>
        <v>0</v>
      </c>
      <c r="AB37">
        <f>(X37-DT37*(DY37+DZ37)/1000)</f>
        <v>0</v>
      </c>
      <c r="AC37">
        <f>(-J37*44100)</f>
        <v>0</v>
      </c>
      <c r="AD37">
        <f>2*29.3*R37*0.92*(EA37-W37)</f>
        <v>0</v>
      </c>
      <c r="AE37">
        <f>2*0.95*5.67E-8*(((EA37+$B$7)+273)^4-(W37+273)^4)</f>
        <v>0</v>
      </c>
      <c r="AF37">
        <f>U37+AE37+AC37+AD37</f>
        <v>0</v>
      </c>
      <c r="AG37">
        <f>DX37*AU37*(DS37-DR37*(1000-AU37*DU37)/(1000-AU37*DT37))/(100*DL37)</f>
        <v>0</v>
      </c>
      <c r="AH37">
        <f>1000*DX37*AU37*(DT37-DU37)/(100*DL37*(1000-AU37*DT37))</f>
        <v>0</v>
      </c>
      <c r="AI37">
        <f>(AJ37 - AK37 - DY37*1E3/(8.314*(EA37+273.15)) * AM37/DX37 * AL37) * DX37/(100*DL37) * (1000 - DU37)/1000</f>
        <v>0</v>
      </c>
      <c r="AJ37">
        <v>428.717225940953</v>
      </c>
      <c r="AK37">
        <v>432.821787878788</v>
      </c>
      <c r="AL37">
        <v>-0.00206702234969416</v>
      </c>
      <c r="AM37">
        <v>64.0651673644868</v>
      </c>
      <c r="AN37">
        <f>(AP37 - AO37 + DY37*1E3/(8.314*(EA37+273.15)) * AR37/DX37 * AQ37) * DX37/(100*DL37) * 1000/(1000 - AP37)</f>
        <v>0</v>
      </c>
      <c r="AO37">
        <v>20.2836182399441</v>
      </c>
      <c r="AP37">
        <v>24.72502</v>
      </c>
      <c r="AQ37">
        <v>-6.21928794186624e-05</v>
      </c>
      <c r="AR37">
        <v>103.142150156785</v>
      </c>
      <c r="AS37">
        <v>0</v>
      </c>
      <c r="AT37">
        <v>0</v>
      </c>
      <c r="AU37">
        <f>IF(AS37*$H$13&gt;=AW37,1.0,(AW37/(AW37-AS37*$H$13)))</f>
        <v>0</v>
      </c>
      <c r="AV37">
        <f>(AU37-1)*100</f>
        <v>0</v>
      </c>
      <c r="AW37">
        <f>MAX(0,($B$13+$C$13*EF37)/(1+$D$13*EF37)*DY37/(EA37+273)*$E$13)</f>
        <v>0</v>
      </c>
      <c r="AX37" t="s">
        <v>523</v>
      </c>
      <c r="AY37">
        <v>5062.95</v>
      </c>
      <c r="AZ37">
        <v>940.268</v>
      </c>
      <c r="BA37">
        <v>1227.26</v>
      </c>
      <c r="BB37">
        <f>1-AZ37/BA37</f>
        <v>0</v>
      </c>
      <c r="BC37">
        <v>-7.45265964798859</v>
      </c>
      <c r="BD37" t="s">
        <v>527</v>
      </c>
      <c r="BE37">
        <v>5130.32</v>
      </c>
      <c r="BF37">
        <v>1120.6488</v>
      </c>
      <c r="BG37">
        <v>1153.58527700145</v>
      </c>
      <c r="BH37">
        <f>1-BF37/BG37</f>
        <v>0</v>
      </c>
      <c r="BI37">
        <v>0.5</v>
      </c>
      <c r="BJ37">
        <f>DI37</f>
        <v>0</v>
      </c>
      <c r="BK37">
        <f>L37</f>
        <v>0</v>
      </c>
      <c r="BL37">
        <f>BH37*BI37*BJ37</f>
        <v>0</v>
      </c>
      <c r="BM37">
        <f>(BK37-BC37)/BJ37</f>
        <v>0</v>
      </c>
      <c r="BN37">
        <f>(BA37-BG37)/BG37</f>
        <v>0</v>
      </c>
      <c r="BO37">
        <f>AZ37/(BB37+AZ37/BG37)</f>
        <v>0</v>
      </c>
      <c r="BP37" t="s">
        <v>528</v>
      </c>
      <c r="BQ37">
        <v>931.67</v>
      </c>
      <c r="BR37">
        <f>IF(BQ37&lt;&gt;0, BQ37, BO37)</f>
        <v>0</v>
      </c>
      <c r="BS37">
        <f>1-BR37/BG37</f>
        <v>0</v>
      </c>
      <c r="BT37">
        <f>(BG37-BF37)/(BG37-BR37)</f>
        <v>0</v>
      </c>
      <c r="BU37">
        <f>(BA37-BG37)/(BA37-BR37)</f>
        <v>0</v>
      </c>
      <c r="BV37">
        <f>(BG37-BF37)/(BG37-AZ37)</f>
        <v>0</v>
      </c>
      <c r="BW37">
        <f>(BA37-BG37)/(BA37-AZ37)</f>
        <v>0</v>
      </c>
      <c r="BX37">
        <f>(BT37*BR37/BF37)</f>
        <v>0</v>
      </c>
      <c r="BY37">
        <f>(1-BX37)</f>
        <v>0</v>
      </c>
      <c r="BZ37">
        <v>832</v>
      </c>
      <c r="CA37">
        <v>290</v>
      </c>
      <c r="CB37">
        <v>1136.29</v>
      </c>
      <c r="CC37">
        <v>115</v>
      </c>
      <c r="CD37">
        <v>5130.32</v>
      </c>
      <c r="CE37">
        <v>1135.25</v>
      </c>
      <c r="CF37">
        <v>1.04</v>
      </c>
      <c r="CG37">
        <v>300</v>
      </c>
      <c r="CH37">
        <v>23.7</v>
      </c>
      <c r="CI37">
        <v>1153.58527700145</v>
      </c>
      <c r="CJ37">
        <v>2.01357319883678</v>
      </c>
      <c r="CK37">
        <v>-9.40830463484048</v>
      </c>
      <c r="CL37">
        <v>0.951423052784594</v>
      </c>
      <c r="CM37">
        <v>0.777399200874483</v>
      </c>
      <c r="CN37">
        <v>-0.00256891879866519</v>
      </c>
      <c r="CO37">
        <v>290</v>
      </c>
      <c r="CP37">
        <v>1134.46</v>
      </c>
      <c r="CQ37">
        <v>675</v>
      </c>
      <c r="CR37">
        <v>5126.99</v>
      </c>
      <c r="CS37">
        <v>1135.23</v>
      </c>
      <c r="CT37">
        <v>-0.77</v>
      </c>
      <c r="DH37">
        <f>$B$11*EG37+$C$11*EH37+$F$11*ES37*(1-EV37)</f>
        <v>0</v>
      </c>
      <c r="DI37">
        <f>DH37*DJ37</f>
        <v>0</v>
      </c>
      <c r="DJ37">
        <f>($B$11*$D$9+$C$11*$D$9+$F$11*((FF37+EX37)/MAX(FF37+EX37+FG37, 0.1)*$I$9+FG37/MAX(FF37+EX37+FG37, 0.1)*$J$9))/($B$11+$C$11+$F$11)</f>
        <v>0</v>
      </c>
      <c r="DK37">
        <f>($B$11*$K$9+$C$11*$K$9+$F$11*((FF37+EX37)/MAX(FF37+EX37+FG37, 0.1)*$P$9+FG37/MAX(FF37+EX37+FG37, 0.1)*$Q$9))/($B$11+$C$11+$F$11)</f>
        <v>0</v>
      </c>
      <c r="DL37">
        <v>6</v>
      </c>
      <c r="DM37">
        <v>0.5</v>
      </c>
      <c r="DN37" t="s">
        <v>440</v>
      </c>
      <c r="DO37">
        <v>2</v>
      </c>
      <c r="DP37" t="b">
        <v>1</v>
      </c>
      <c r="DQ37">
        <v>1762107100.1</v>
      </c>
      <c r="DR37">
        <v>422.155666666667</v>
      </c>
      <c r="DS37">
        <v>420.015466666667</v>
      </c>
      <c r="DT37">
        <v>24.72986</v>
      </c>
      <c r="DU37">
        <v>20.2829733333333</v>
      </c>
      <c r="DV37">
        <v>413.827533333333</v>
      </c>
      <c r="DW37">
        <v>24.4005133333333</v>
      </c>
      <c r="DX37">
        <v>499.942466666667</v>
      </c>
      <c r="DY37">
        <v>90.8568533333333</v>
      </c>
      <c r="DZ37">
        <v>0.0345805533333333</v>
      </c>
      <c r="EA37">
        <v>47.99548</v>
      </c>
      <c r="EB37">
        <v>47.69816</v>
      </c>
      <c r="EC37">
        <v>999.9</v>
      </c>
      <c r="ED37">
        <v>0</v>
      </c>
      <c r="EE37">
        <v>0</v>
      </c>
      <c r="EF37">
        <v>9999.252</v>
      </c>
      <c r="EG37">
        <v>0</v>
      </c>
      <c r="EH37">
        <v>1119.31866666667</v>
      </c>
      <c r="EI37">
        <v>2.14020133333333</v>
      </c>
      <c r="EJ37">
        <v>432.860266666667</v>
      </c>
      <c r="EK37">
        <v>428.710933333333</v>
      </c>
      <c r="EL37">
        <v>4.44688333333333</v>
      </c>
      <c r="EM37">
        <v>420.015466666667</v>
      </c>
      <c r="EN37">
        <v>20.2829733333333</v>
      </c>
      <c r="EO37">
        <v>2.246876</v>
      </c>
      <c r="EP37">
        <v>1.84284733333333</v>
      </c>
      <c r="EQ37">
        <v>19.30052</v>
      </c>
      <c r="ER37">
        <v>16.1550533333333</v>
      </c>
      <c r="ES37">
        <v>2000.05333333333</v>
      </c>
      <c r="ET37">
        <v>0.979995</v>
      </c>
      <c r="EU37">
        <v>0.0200050466666667</v>
      </c>
      <c r="EV37">
        <v>0</v>
      </c>
      <c r="EW37">
        <v>1120.80066666667</v>
      </c>
      <c r="EX37">
        <v>5.00016</v>
      </c>
      <c r="EY37">
        <v>22795.18</v>
      </c>
      <c r="EZ37">
        <v>18234.6666666667</v>
      </c>
      <c r="FA37">
        <v>46.9832</v>
      </c>
      <c r="FB37">
        <v>48.3498</v>
      </c>
      <c r="FC37">
        <v>47.1208</v>
      </c>
      <c r="FD37">
        <v>48.2664</v>
      </c>
      <c r="FE37">
        <v>50.4163333333333</v>
      </c>
      <c r="FF37">
        <v>1955.14333333333</v>
      </c>
      <c r="FG37">
        <v>39.91</v>
      </c>
      <c r="FH37">
        <v>0</v>
      </c>
      <c r="FI37">
        <v>2898.90000009537</v>
      </c>
      <c r="FJ37">
        <v>0</v>
      </c>
      <c r="FK37">
        <v>1120.6488</v>
      </c>
      <c r="FL37">
        <v>-16.0607692048505</v>
      </c>
      <c r="FM37">
        <v>-373.369230066986</v>
      </c>
      <c r="FN37">
        <v>22790.716</v>
      </c>
      <c r="FO37">
        <v>15</v>
      </c>
      <c r="FP37">
        <v>0</v>
      </c>
      <c r="FQ37" t="s">
        <v>441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2.16665</v>
      </c>
      <c r="GD37">
        <v>-0.518580779220776</v>
      </c>
      <c r="GE37">
        <v>0.0644829485028333</v>
      </c>
      <c r="GF37">
        <v>0</v>
      </c>
      <c r="GG37">
        <v>1121.64441176471</v>
      </c>
      <c r="GH37">
        <v>-17.8143620947079</v>
      </c>
      <c r="GI37">
        <v>1.76373632679315</v>
      </c>
      <c r="GJ37">
        <v>-1</v>
      </c>
      <c r="GK37">
        <v>4.44761333333333</v>
      </c>
      <c r="GL37">
        <v>-0.0246818181818154</v>
      </c>
      <c r="GM37">
        <v>0.00340448210638543</v>
      </c>
      <c r="GN37">
        <v>1</v>
      </c>
      <c r="GO37">
        <v>1</v>
      </c>
      <c r="GP37">
        <v>2</v>
      </c>
      <c r="GQ37" t="s">
        <v>458</v>
      </c>
      <c r="GR37">
        <v>3.12421</v>
      </c>
      <c r="GS37">
        <v>2.65936</v>
      </c>
      <c r="GT37">
        <v>0.0869968</v>
      </c>
      <c r="GU37">
        <v>0.0879074</v>
      </c>
      <c r="GV37">
        <v>0.101897</v>
      </c>
      <c r="GW37">
        <v>0.0887655</v>
      </c>
      <c r="GX37">
        <v>22975</v>
      </c>
      <c r="GY37">
        <v>21813.6</v>
      </c>
      <c r="GZ37">
        <v>22545.3</v>
      </c>
      <c r="HA37">
        <v>23332.3</v>
      </c>
      <c r="HB37">
        <v>34610</v>
      </c>
      <c r="HC37">
        <v>35232.1</v>
      </c>
      <c r="HD37">
        <v>40758.8</v>
      </c>
      <c r="HE37">
        <v>41668.3</v>
      </c>
      <c r="HF37">
        <v>1.79643</v>
      </c>
      <c r="HG37">
        <v>2.19572</v>
      </c>
      <c r="HH37">
        <v>0.418164</v>
      </c>
      <c r="HI37">
        <v>0</v>
      </c>
      <c r="HJ37">
        <v>41.0217</v>
      </c>
      <c r="HK37">
        <v>999.9</v>
      </c>
      <c r="HL37">
        <v>49.274</v>
      </c>
      <c r="HM37">
        <v>28.127</v>
      </c>
      <c r="HN37">
        <v>20.7307</v>
      </c>
      <c r="HO37">
        <v>57.8693</v>
      </c>
      <c r="HP37">
        <v>23.8742</v>
      </c>
      <c r="HQ37">
        <v>2</v>
      </c>
      <c r="HR37">
        <v>0.832912</v>
      </c>
      <c r="HS37">
        <v>-6.66667</v>
      </c>
      <c r="HT37">
        <v>20.0994</v>
      </c>
      <c r="HU37">
        <v>5.23421</v>
      </c>
      <c r="HV37">
        <v>11.998</v>
      </c>
      <c r="HW37">
        <v>4.9555</v>
      </c>
      <c r="HX37">
        <v>3.304</v>
      </c>
      <c r="HY37">
        <v>9999</v>
      </c>
      <c r="HZ37">
        <v>999.9</v>
      </c>
      <c r="IA37">
        <v>9999</v>
      </c>
      <c r="IB37">
        <v>9999</v>
      </c>
      <c r="IC37">
        <v>1.86844</v>
      </c>
      <c r="ID37">
        <v>1.86417</v>
      </c>
      <c r="IE37">
        <v>1.8718</v>
      </c>
      <c r="IF37">
        <v>1.86263</v>
      </c>
      <c r="IG37">
        <v>1.86203</v>
      </c>
      <c r="IH37">
        <v>1.86854</v>
      </c>
      <c r="II37">
        <v>1.85867</v>
      </c>
      <c r="IJ37">
        <v>1.86507</v>
      </c>
      <c r="IK37">
        <v>5</v>
      </c>
      <c r="IL37">
        <v>0</v>
      </c>
      <c r="IM37">
        <v>0</v>
      </c>
      <c r="IN37">
        <v>0</v>
      </c>
      <c r="IO37" t="s">
        <v>443</v>
      </c>
      <c r="IP37" t="s">
        <v>444</v>
      </c>
      <c r="IQ37" t="s">
        <v>445</v>
      </c>
      <c r="IR37" t="s">
        <v>445</v>
      </c>
      <c r="IS37" t="s">
        <v>445</v>
      </c>
      <c r="IT37" t="s">
        <v>445</v>
      </c>
      <c r="IU37">
        <v>0</v>
      </c>
      <c r="IV37">
        <v>100</v>
      </c>
      <c r="IW37">
        <v>100</v>
      </c>
      <c r="IX37">
        <v>8.328</v>
      </c>
      <c r="IY37">
        <v>0.3293</v>
      </c>
      <c r="IZ37">
        <v>5.63042802259986</v>
      </c>
      <c r="JA37">
        <v>0.00813484245791346</v>
      </c>
      <c r="JB37">
        <v>-4.34547228418155e-06</v>
      </c>
      <c r="JC37">
        <v>1.0644471544636e-09</v>
      </c>
      <c r="JD37">
        <v>0.329354282981013</v>
      </c>
      <c r="JE37">
        <v>0</v>
      </c>
      <c r="JF37">
        <v>0</v>
      </c>
      <c r="JG37">
        <v>0</v>
      </c>
      <c r="JH37">
        <v>-3</v>
      </c>
      <c r="JI37">
        <v>2169</v>
      </c>
      <c r="JJ37">
        <v>1</v>
      </c>
      <c r="JK37">
        <v>22</v>
      </c>
      <c r="JL37">
        <v>29368451.8</v>
      </c>
      <c r="JM37">
        <v>29368451.8</v>
      </c>
      <c r="JN37">
        <v>1.31714</v>
      </c>
      <c r="JO37">
        <v>2.36206</v>
      </c>
      <c r="JP37">
        <v>2.09839</v>
      </c>
      <c r="JQ37">
        <v>2.64771</v>
      </c>
      <c r="JR37">
        <v>2.24365</v>
      </c>
      <c r="JS37">
        <v>2.32788</v>
      </c>
      <c r="JT37">
        <v>35.0825</v>
      </c>
      <c r="JU37">
        <v>24.2013</v>
      </c>
      <c r="JV37">
        <v>18</v>
      </c>
      <c r="JW37">
        <v>553.826</v>
      </c>
      <c r="JX37">
        <v>841.041</v>
      </c>
      <c r="JY37">
        <v>56.6078</v>
      </c>
      <c r="JZ37">
        <v>38.5295</v>
      </c>
      <c r="KA37">
        <v>29.9942</v>
      </c>
      <c r="KB37">
        <v>38.1893</v>
      </c>
      <c r="KC37">
        <v>38.323</v>
      </c>
      <c r="KD37">
        <v>26.3981</v>
      </c>
      <c r="KE37">
        <v>0</v>
      </c>
      <c r="KF37">
        <v>100</v>
      </c>
      <c r="KG37">
        <v>58.4757</v>
      </c>
      <c r="KH37">
        <v>420</v>
      </c>
      <c r="KI37">
        <v>23.2649</v>
      </c>
      <c r="KJ37">
        <v>91.2604</v>
      </c>
      <c r="KK37">
        <v>97.0605</v>
      </c>
    </row>
    <row r="38" spans="1:297">
      <c r="A38">
        <v>22</v>
      </c>
      <c r="B38">
        <v>1762107179.1</v>
      </c>
      <c r="C38">
        <v>5748</v>
      </c>
      <c r="D38" t="s">
        <v>529</v>
      </c>
      <c r="E38" t="s">
        <v>530</v>
      </c>
      <c r="F38">
        <v>5</v>
      </c>
      <c r="G38" t="s">
        <v>526</v>
      </c>
      <c r="H38" t="s">
        <v>436</v>
      </c>
      <c r="I38">
        <v>1762107170.6</v>
      </c>
      <c r="J38">
        <f>(K38)/1000</f>
        <v>0</v>
      </c>
      <c r="K38">
        <f>IF(DP38, AN38, AH38)</f>
        <v>0</v>
      </c>
      <c r="L38">
        <f>IF(DP38, AI38, AG38)</f>
        <v>0</v>
      </c>
      <c r="M38">
        <f>DR38 - IF(AU38&gt;1, L38*DL38*100.0/(AW38), 0)</f>
        <v>0</v>
      </c>
      <c r="N38">
        <f>((T38-J38/2)*M38-L38)/(T38+J38/2)</f>
        <v>0</v>
      </c>
      <c r="O38">
        <f>N38*(DY38+DZ38)/1000.0</f>
        <v>0</v>
      </c>
      <c r="P38">
        <f>(DR38 - IF(AU38&gt;1, L38*DL38*100.0/(AW38), 0))*(DY38+DZ38)/1000.0</f>
        <v>0</v>
      </c>
      <c r="Q38">
        <f>2.0/((1/S38-1/R38)+SIGN(S38)*SQRT((1/S38-1/R38)*(1/S38-1/R38) + 4*DM38/((DM38+1)*(DM38+1))*(2*1/S38*1/R38-1/R38*1/R38)))</f>
        <v>0</v>
      </c>
      <c r="R38">
        <f>IF(LEFT(DN38,1)&lt;&gt;"0",IF(LEFT(DN38,1)="1",3.0,DO38),$D$5+$E$5*(EF38*DY38/($K$5*1000))+$F$5*(EF38*DY38/($K$5*1000))*MAX(MIN(DL38,$J$5),$I$5)*MAX(MIN(DL38,$J$5),$I$5)+$G$5*MAX(MIN(DL38,$J$5),$I$5)*(EF38*DY38/($K$5*1000))+$H$5*(EF38*DY38/($K$5*1000))*(EF38*DY38/($K$5*1000)))</f>
        <v>0</v>
      </c>
      <c r="S38">
        <f>J38*(1000-(1000*0.61365*exp(17.502*W38/(240.97+W38))/(DY38+DZ38)+DT38)/2)/(1000*0.61365*exp(17.502*W38/(240.97+W38))/(DY38+DZ38)-DT38)</f>
        <v>0</v>
      </c>
      <c r="T38">
        <f>1/((DM38+1)/(Q38/1.6)+1/(R38/1.37)) + DM38/((DM38+1)/(Q38/1.6) + DM38/(R38/1.37))</f>
        <v>0</v>
      </c>
      <c r="U38">
        <f>(DH38*DK38)</f>
        <v>0</v>
      </c>
      <c r="V38">
        <f>(EA38+(U38+2*0.95*5.67E-8*(((EA38+$B$7)+273)^4-(EA38+273)^4)-44100*J38)/(1.84*29.3*R38+8*0.95*5.67E-8*(EA38+273)^3))</f>
        <v>0</v>
      </c>
      <c r="W38">
        <f>($C$7*EB38+$D$7*EC38+$E$7*V38)</f>
        <v>0</v>
      </c>
      <c r="X38">
        <f>0.61365*exp(17.502*W38/(240.97+W38))</f>
        <v>0</v>
      </c>
      <c r="Y38">
        <f>(Z38/AA38*100)</f>
        <v>0</v>
      </c>
      <c r="Z38">
        <f>DT38*(DY38+DZ38)/1000</f>
        <v>0</v>
      </c>
      <c r="AA38">
        <f>0.61365*exp(17.502*EA38/(240.97+EA38))</f>
        <v>0</v>
      </c>
      <c r="AB38">
        <f>(X38-DT38*(DY38+DZ38)/1000)</f>
        <v>0</v>
      </c>
      <c r="AC38">
        <f>(-J38*44100)</f>
        <v>0</v>
      </c>
      <c r="AD38">
        <f>2*29.3*R38*0.92*(EA38-W38)</f>
        <v>0</v>
      </c>
      <c r="AE38">
        <f>2*0.95*5.67E-8*(((EA38+$B$7)+273)^4-(W38+273)^4)</f>
        <v>0</v>
      </c>
      <c r="AF38">
        <f>U38+AE38+AC38+AD38</f>
        <v>0</v>
      </c>
      <c r="AG38">
        <f>DX38*AU38*(DS38-DR38*(1000-AU38*DU38)/(1000-AU38*DT38))/(100*DL38)</f>
        <v>0</v>
      </c>
      <c r="AH38">
        <f>1000*DX38*AU38*(DT38-DU38)/(100*DL38*(1000-AU38*DT38))</f>
        <v>0</v>
      </c>
      <c r="AI38">
        <f>(AJ38 - AK38 - DY38*1E3/(8.314*(EA38+273.15)) * AM38/DX38 * AL38) * DX38/(100*DL38) * (1000 - DU38)/1000</f>
        <v>0</v>
      </c>
      <c r="AJ38">
        <v>428.709574753878</v>
      </c>
      <c r="AK38">
        <v>432.701927272727</v>
      </c>
      <c r="AL38">
        <v>0.00113541421760028</v>
      </c>
      <c r="AM38">
        <v>64.0651673644868</v>
      </c>
      <c r="AN38">
        <f>(AP38 - AO38 + DY38*1E3/(8.314*(EA38+273.15)) * AR38/DX38 * AQ38) * DX38/(100*DL38) * 1000/(1000 - AP38)</f>
        <v>0</v>
      </c>
      <c r="AO38">
        <v>20.28876132136</v>
      </c>
      <c r="AP38">
        <v>24.542043030303</v>
      </c>
      <c r="AQ38">
        <v>-5.69804050096033e-05</v>
      </c>
      <c r="AR38">
        <v>103.142150156785</v>
      </c>
      <c r="AS38">
        <v>0</v>
      </c>
      <c r="AT38">
        <v>0</v>
      </c>
      <c r="AU38">
        <f>IF(AS38*$H$13&gt;=AW38,1.0,(AW38/(AW38-AS38*$H$13)))</f>
        <v>0</v>
      </c>
      <c r="AV38">
        <f>(AU38-1)*100</f>
        <v>0</v>
      </c>
      <c r="AW38">
        <f>MAX(0,($B$13+$C$13*EF38)/(1+$D$13*EF38)*DY38/(EA38+273)*$E$13)</f>
        <v>0</v>
      </c>
      <c r="AX38" t="s">
        <v>523</v>
      </c>
      <c r="AY38">
        <v>5062.95</v>
      </c>
      <c r="AZ38">
        <v>940.268</v>
      </c>
      <c r="BA38">
        <v>1227.26</v>
      </c>
      <c r="BB38">
        <f>1-AZ38/BA38</f>
        <v>0</v>
      </c>
      <c r="BC38">
        <v>-7.45265964798859</v>
      </c>
      <c r="BD38" t="s">
        <v>531</v>
      </c>
      <c r="BE38">
        <v>5133.25</v>
      </c>
      <c r="BF38">
        <v>1103.02461538462</v>
      </c>
      <c r="BG38">
        <v>1141.96975825366</v>
      </c>
      <c r="BH38">
        <f>1-BF38/BG38</f>
        <v>0</v>
      </c>
      <c r="BI38">
        <v>0.5</v>
      </c>
      <c r="BJ38">
        <f>DI38</f>
        <v>0</v>
      </c>
      <c r="BK38">
        <f>L38</f>
        <v>0</v>
      </c>
      <c r="BL38">
        <f>BH38*BI38*BJ38</f>
        <v>0</v>
      </c>
      <c r="BM38">
        <f>(BK38-BC38)/BJ38</f>
        <v>0</v>
      </c>
      <c r="BN38">
        <f>(BA38-BG38)/BG38</f>
        <v>0</v>
      </c>
      <c r="BO38">
        <f>AZ38/(BB38+AZ38/BG38)</f>
        <v>0</v>
      </c>
      <c r="BP38" t="s">
        <v>532</v>
      </c>
      <c r="BQ38">
        <v>909.93</v>
      </c>
      <c r="BR38">
        <f>IF(BQ38&lt;&gt;0, BQ38, BO38)</f>
        <v>0</v>
      </c>
      <c r="BS38">
        <f>1-BR38/BG38</f>
        <v>0</v>
      </c>
      <c r="BT38">
        <f>(BG38-BF38)/(BG38-BR38)</f>
        <v>0</v>
      </c>
      <c r="BU38">
        <f>(BA38-BG38)/(BA38-BR38)</f>
        <v>0</v>
      </c>
      <c r="BV38">
        <f>(BG38-BF38)/(BG38-AZ38)</f>
        <v>0</v>
      </c>
      <c r="BW38">
        <f>(BA38-BG38)/(BA38-AZ38)</f>
        <v>0</v>
      </c>
      <c r="BX38">
        <f>(BT38*BR38/BF38)</f>
        <v>0</v>
      </c>
      <c r="BY38">
        <f>(1-BX38)</f>
        <v>0</v>
      </c>
      <c r="BZ38">
        <v>834</v>
      </c>
      <c r="CA38">
        <v>290</v>
      </c>
      <c r="CB38">
        <v>1121.64</v>
      </c>
      <c r="CC38">
        <v>85</v>
      </c>
      <c r="CD38">
        <v>5133.25</v>
      </c>
      <c r="CE38">
        <v>1120.39</v>
      </c>
      <c r="CF38">
        <v>1.25</v>
      </c>
      <c r="CG38">
        <v>300</v>
      </c>
      <c r="CH38">
        <v>23.8</v>
      </c>
      <c r="CI38">
        <v>1141.96975825366</v>
      </c>
      <c r="CJ38">
        <v>2.27562171384341</v>
      </c>
      <c r="CK38">
        <v>-11.0751199233157</v>
      </c>
      <c r="CL38">
        <v>1.0694134915373</v>
      </c>
      <c r="CM38">
        <v>0.792979091546905</v>
      </c>
      <c r="CN38">
        <v>-0.00273910166852057</v>
      </c>
      <c r="CO38">
        <v>290</v>
      </c>
      <c r="CP38">
        <v>1119.49</v>
      </c>
      <c r="CQ38">
        <v>705</v>
      </c>
      <c r="CR38">
        <v>5129.08</v>
      </c>
      <c r="CS38">
        <v>1120.38</v>
      </c>
      <c r="CT38">
        <v>-0.89</v>
      </c>
      <c r="DH38">
        <f>$B$11*EG38+$C$11*EH38+$F$11*ES38*(1-EV38)</f>
        <v>0</v>
      </c>
      <c r="DI38">
        <f>DH38*DJ38</f>
        <v>0</v>
      </c>
      <c r="DJ38">
        <f>($B$11*$D$9+$C$11*$D$9+$F$11*((FF38+EX38)/MAX(FF38+EX38+FG38, 0.1)*$I$9+FG38/MAX(FF38+EX38+FG38, 0.1)*$J$9))/($B$11+$C$11+$F$11)</f>
        <v>0</v>
      </c>
      <c r="DK38">
        <f>($B$11*$K$9+$C$11*$K$9+$F$11*((FF38+EX38)/MAX(FF38+EX38+FG38, 0.1)*$P$9+FG38/MAX(FF38+EX38+FG38, 0.1)*$Q$9))/($B$11+$C$11+$F$11)</f>
        <v>0</v>
      </c>
      <c r="DL38">
        <v>6</v>
      </c>
      <c r="DM38">
        <v>0.5</v>
      </c>
      <c r="DN38" t="s">
        <v>440</v>
      </c>
      <c r="DO38">
        <v>2</v>
      </c>
      <c r="DP38" t="b">
        <v>1</v>
      </c>
      <c r="DQ38">
        <v>1762107170.6</v>
      </c>
      <c r="DR38">
        <v>422.0598125</v>
      </c>
      <c r="DS38">
        <v>420.00675</v>
      </c>
      <c r="DT38">
        <v>24.55165625</v>
      </c>
      <c r="DU38">
        <v>20.28951875</v>
      </c>
      <c r="DV38">
        <v>413.7321875</v>
      </c>
      <c r="DW38">
        <v>24.2223</v>
      </c>
      <c r="DX38">
        <v>500.04025</v>
      </c>
      <c r="DY38">
        <v>90.846575</v>
      </c>
      <c r="DZ38">
        <v>0.03273215</v>
      </c>
      <c r="EA38">
        <v>47.69565625</v>
      </c>
      <c r="EB38">
        <v>47.188075</v>
      </c>
      <c r="EC38">
        <v>999.9</v>
      </c>
      <c r="ED38">
        <v>0</v>
      </c>
      <c r="EE38">
        <v>0</v>
      </c>
      <c r="EF38">
        <v>10021.6375</v>
      </c>
      <c r="EG38">
        <v>0</v>
      </c>
      <c r="EH38">
        <v>1121.175</v>
      </c>
      <c r="EI38">
        <v>2.0532025</v>
      </c>
      <c r="EJ38">
        <v>432.682875</v>
      </c>
      <c r="EK38">
        <v>428.704875</v>
      </c>
      <c r="EL38">
        <v>4.26214</v>
      </c>
      <c r="EM38">
        <v>420.00675</v>
      </c>
      <c r="EN38">
        <v>20.28951875</v>
      </c>
      <c r="EO38">
        <v>2.23043375</v>
      </c>
      <c r="EP38">
        <v>1.8432325</v>
      </c>
      <c r="EQ38">
        <v>19.18258125</v>
      </c>
      <c r="ER38">
        <v>16.15831875</v>
      </c>
      <c r="ES38">
        <v>1800.00875</v>
      </c>
      <c r="ET38">
        <v>0.97799975</v>
      </c>
      <c r="EU38">
        <v>0.02200004375</v>
      </c>
      <c r="EV38">
        <v>0</v>
      </c>
      <c r="EW38">
        <v>1103.291875</v>
      </c>
      <c r="EX38">
        <v>5.00016</v>
      </c>
      <c r="EY38">
        <v>20171.15625</v>
      </c>
      <c r="EZ38">
        <v>16395.5</v>
      </c>
      <c r="FA38">
        <v>46.601375</v>
      </c>
      <c r="FB38">
        <v>47.8826875</v>
      </c>
      <c r="FC38">
        <v>46.82775</v>
      </c>
      <c r="FD38">
        <v>47.659875</v>
      </c>
      <c r="FE38">
        <v>50.0738125</v>
      </c>
      <c r="FF38">
        <v>1755.51875</v>
      </c>
      <c r="FG38">
        <v>39.49</v>
      </c>
      <c r="FH38">
        <v>0</v>
      </c>
      <c r="FI38">
        <v>68</v>
      </c>
      <c r="FJ38">
        <v>0</v>
      </c>
      <c r="FK38">
        <v>1103.02461538462</v>
      </c>
      <c r="FL38">
        <v>-13.7025641181069</v>
      </c>
      <c r="FM38">
        <v>-263.490598415085</v>
      </c>
      <c r="FN38">
        <v>20165.7346153846</v>
      </c>
      <c r="FO38">
        <v>15</v>
      </c>
      <c r="FP38">
        <v>0</v>
      </c>
      <c r="FQ38" t="s">
        <v>441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2.05871476190476</v>
      </c>
      <c r="GD38">
        <v>-0.142499220779216</v>
      </c>
      <c r="GE38">
        <v>0.0314411019464963</v>
      </c>
      <c r="GF38">
        <v>1</v>
      </c>
      <c r="GG38">
        <v>1104.21911764706</v>
      </c>
      <c r="GH38">
        <v>-14.9688311701719</v>
      </c>
      <c r="GI38">
        <v>1.4887585978357</v>
      </c>
      <c r="GJ38">
        <v>-1</v>
      </c>
      <c r="GK38">
        <v>4.26695571428571</v>
      </c>
      <c r="GL38">
        <v>-0.0841114285714256</v>
      </c>
      <c r="GM38">
        <v>0.00856179696949991</v>
      </c>
      <c r="GN38">
        <v>1</v>
      </c>
      <c r="GO38">
        <v>2</v>
      </c>
      <c r="GP38">
        <v>2</v>
      </c>
      <c r="GQ38" t="s">
        <v>442</v>
      </c>
      <c r="GR38">
        <v>3.1242</v>
      </c>
      <c r="GS38">
        <v>2.65804</v>
      </c>
      <c r="GT38">
        <v>0.0871455</v>
      </c>
      <c r="GU38">
        <v>0.0880582</v>
      </c>
      <c r="GV38">
        <v>0.101517</v>
      </c>
      <c r="GW38">
        <v>0.0889321</v>
      </c>
      <c r="GX38">
        <v>23034.7</v>
      </c>
      <c r="GY38">
        <v>21862.4</v>
      </c>
      <c r="GZ38">
        <v>22603.7</v>
      </c>
      <c r="HA38">
        <v>23384.2</v>
      </c>
      <c r="HB38">
        <v>34703.1</v>
      </c>
      <c r="HC38">
        <v>35298.8</v>
      </c>
      <c r="HD38">
        <v>40852.1</v>
      </c>
      <c r="HE38">
        <v>41753.5</v>
      </c>
      <c r="HF38">
        <v>1.8063</v>
      </c>
      <c r="HG38">
        <v>2.21108</v>
      </c>
      <c r="HH38">
        <v>0.428297</v>
      </c>
      <c r="HI38">
        <v>0</v>
      </c>
      <c r="HJ38">
        <v>40.342</v>
      </c>
      <c r="HK38">
        <v>999.9</v>
      </c>
      <c r="HL38">
        <v>49.274</v>
      </c>
      <c r="HM38">
        <v>28.117</v>
      </c>
      <c r="HN38">
        <v>20.7238</v>
      </c>
      <c r="HO38">
        <v>57.8493</v>
      </c>
      <c r="HP38">
        <v>23.9343</v>
      </c>
      <c r="HQ38">
        <v>2</v>
      </c>
      <c r="HR38">
        <v>0.749167</v>
      </c>
      <c r="HS38">
        <v>-6.66667</v>
      </c>
      <c r="HT38">
        <v>20.1026</v>
      </c>
      <c r="HU38">
        <v>5.23496</v>
      </c>
      <c r="HV38">
        <v>11.998</v>
      </c>
      <c r="HW38">
        <v>4.95565</v>
      </c>
      <c r="HX38">
        <v>3.304</v>
      </c>
      <c r="HY38">
        <v>9999</v>
      </c>
      <c r="HZ38">
        <v>999.9</v>
      </c>
      <c r="IA38">
        <v>9999</v>
      </c>
      <c r="IB38">
        <v>9999</v>
      </c>
      <c r="IC38">
        <v>1.86845</v>
      </c>
      <c r="ID38">
        <v>1.86417</v>
      </c>
      <c r="IE38">
        <v>1.8718</v>
      </c>
      <c r="IF38">
        <v>1.86264</v>
      </c>
      <c r="IG38">
        <v>1.86203</v>
      </c>
      <c r="IH38">
        <v>1.86849</v>
      </c>
      <c r="II38">
        <v>1.85866</v>
      </c>
      <c r="IJ38">
        <v>1.86508</v>
      </c>
      <c r="IK38">
        <v>5</v>
      </c>
      <c r="IL38">
        <v>0</v>
      </c>
      <c r="IM38">
        <v>0</v>
      </c>
      <c r="IN38">
        <v>0</v>
      </c>
      <c r="IO38" t="s">
        <v>443</v>
      </c>
      <c r="IP38" t="s">
        <v>444</v>
      </c>
      <c r="IQ38" t="s">
        <v>445</v>
      </c>
      <c r="IR38" t="s">
        <v>445</v>
      </c>
      <c r="IS38" t="s">
        <v>445</v>
      </c>
      <c r="IT38" t="s">
        <v>445</v>
      </c>
      <c r="IU38">
        <v>0</v>
      </c>
      <c r="IV38">
        <v>100</v>
      </c>
      <c r="IW38">
        <v>100</v>
      </c>
      <c r="IX38">
        <v>8.327</v>
      </c>
      <c r="IY38">
        <v>0.3293</v>
      </c>
      <c r="IZ38">
        <v>5.63042802259986</v>
      </c>
      <c r="JA38">
        <v>0.00813484245791346</v>
      </c>
      <c r="JB38">
        <v>-4.34547228418155e-06</v>
      </c>
      <c r="JC38">
        <v>1.0644471544636e-09</v>
      </c>
      <c r="JD38">
        <v>0.329354282981013</v>
      </c>
      <c r="JE38">
        <v>0</v>
      </c>
      <c r="JF38">
        <v>0</v>
      </c>
      <c r="JG38">
        <v>0</v>
      </c>
      <c r="JH38">
        <v>-3</v>
      </c>
      <c r="JI38">
        <v>2169</v>
      </c>
      <c r="JJ38">
        <v>1</v>
      </c>
      <c r="JK38">
        <v>22</v>
      </c>
      <c r="JL38">
        <v>29368453</v>
      </c>
      <c r="JM38">
        <v>29368453</v>
      </c>
      <c r="JN38">
        <v>1.31714</v>
      </c>
      <c r="JO38">
        <v>2.35718</v>
      </c>
      <c r="JP38">
        <v>2.09839</v>
      </c>
      <c r="JQ38">
        <v>2.64771</v>
      </c>
      <c r="JR38">
        <v>2.24365</v>
      </c>
      <c r="JS38">
        <v>2.30225</v>
      </c>
      <c r="JT38">
        <v>35.1055</v>
      </c>
      <c r="JU38">
        <v>24.1926</v>
      </c>
      <c r="JV38">
        <v>18</v>
      </c>
      <c r="JW38">
        <v>554.741</v>
      </c>
      <c r="JX38">
        <v>846.624</v>
      </c>
      <c r="JY38">
        <v>56.3404</v>
      </c>
      <c r="JZ38">
        <v>37.5676</v>
      </c>
      <c r="KA38">
        <v>29.995</v>
      </c>
      <c r="KB38">
        <v>37.3767</v>
      </c>
      <c r="KC38">
        <v>37.5047</v>
      </c>
      <c r="KD38">
        <v>26.3929</v>
      </c>
      <c r="KE38">
        <v>0</v>
      </c>
      <c r="KF38">
        <v>100</v>
      </c>
      <c r="KG38">
        <v>63.1923</v>
      </c>
      <c r="KH38">
        <v>420</v>
      </c>
      <c r="KI38">
        <v>23.2649</v>
      </c>
      <c r="KJ38">
        <v>91.4791</v>
      </c>
      <c r="KK38">
        <v>97.2651</v>
      </c>
    </row>
    <row r="39" spans="1:297">
      <c r="A39">
        <v>23</v>
      </c>
      <c r="B39">
        <v>1762107281.1</v>
      </c>
      <c r="C39">
        <v>5850</v>
      </c>
      <c r="D39" t="s">
        <v>533</v>
      </c>
      <c r="E39" t="s">
        <v>534</v>
      </c>
      <c r="F39">
        <v>5</v>
      </c>
      <c r="G39" t="s">
        <v>526</v>
      </c>
      <c r="H39" t="s">
        <v>436</v>
      </c>
      <c r="I39">
        <v>1762107272.6</v>
      </c>
      <c r="J39">
        <f>(K39)/1000</f>
        <v>0</v>
      </c>
      <c r="K39">
        <f>IF(DP39, AN39, AH39)</f>
        <v>0</v>
      </c>
      <c r="L39">
        <f>IF(DP39, AI39, AG39)</f>
        <v>0</v>
      </c>
      <c r="M39">
        <f>DR39 - IF(AU39&gt;1, L39*DL39*100.0/(AW39), 0)</f>
        <v>0</v>
      </c>
      <c r="N39">
        <f>((T39-J39/2)*M39-L39)/(T39+J39/2)</f>
        <v>0</v>
      </c>
      <c r="O39">
        <f>N39*(DY39+DZ39)/1000.0</f>
        <v>0</v>
      </c>
      <c r="P39">
        <f>(DR39 - IF(AU39&gt;1, L39*DL39*100.0/(AW39), 0))*(DY39+DZ39)/1000.0</f>
        <v>0</v>
      </c>
      <c r="Q39">
        <f>2.0/((1/S39-1/R39)+SIGN(S39)*SQRT((1/S39-1/R39)*(1/S39-1/R39) + 4*DM39/((DM39+1)*(DM39+1))*(2*1/S39*1/R39-1/R39*1/R39)))</f>
        <v>0</v>
      </c>
      <c r="R39">
        <f>IF(LEFT(DN39,1)&lt;&gt;"0",IF(LEFT(DN39,1)="1",3.0,DO39),$D$5+$E$5*(EF39*DY39/($K$5*1000))+$F$5*(EF39*DY39/($K$5*1000))*MAX(MIN(DL39,$J$5),$I$5)*MAX(MIN(DL39,$J$5),$I$5)+$G$5*MAX(MIN(DL39,$J$5),$I$5)*(EF39*DY39/($K$5*1000))+$H$5*(EF39*DY39/($K$5*1000))*(EF39*DY39/($K$5*1000)))</f>
        <v>0</v>
      </c>
      <c r="S39">
        <f>J39*(1000-(1000*0.61365*exp(17.502*W39/(240.97+W39))/(DY39+DZ39)+DT39)/2)/(1000*0.61365*exp(17.502*W39/(240.97+W39))/(DY39+DZ39)-DT39)</f>
        <v>0</v>
      </c>
      <c r="T39">
        <f>1/((DM39+1)/(Q39/1.6)+1/(R39/1.37)) + DM39/((DM39+1)/(Q39/1.6) + DM39/(R39/1.37))</f>
        <v>0</v>
      </c>
      <c r="U39">
        <f>(DH39*DK39)</f>
        <v>0</v>
      </c>
      <c r="V39">
        <f>(EA39+(U39+2*0.95*5.67E-8*(((EA39+$B$7)+273)^4-(EA39+273)^4)-44100*J39)/(1.84*29.3*R39+8*0.95*5.67E-8*(EA39+273)^3))</f>
        <v>0</v>
      </c>
      <c r="W39">
        <f>($C$7*EB39+$D$7*EC39+$E$7*V39)</f>
        <v>0</v>
      </c>
      <c r="X39">
        <f>0.61365*exp(17.502*W39/(240.97+W39))</f>
        <v>0</v>
      </c>
      <c r="Y39">
        <f>(Z39/AA39*100)</f>
        <v>0</v>
      </c>
      <c r="Z39">
        <f>DT39*(DY39+DZ39)/1000</f>
        <v>0</v>
      </c>
      <c r="AA39">
        <f>0.61365*exp(17.502*EA39/(240.97+EA39))</f>
        <v>0</v>
      </c>
      <c r="AB39">
        <f>(X39-DT39*(DY39+DZ39)/1000)</f>
        <v>0</v>
      </c>
      <c r="AC39">
        <f>(-J39*44100)</f>
        <v>0</v>
      </c>
      <c r="AD39">
        <f>2*29.3*R39*0.92*(EA39-W39)</f>
        <v>0</v>
      </c>
      <c r="AE39">
        <f>2*0.95*5.67E-8*(((EA39+$B$7)+273)^4-(W39+273)^4)</f>
        <v>0</v>
      </c>
      <c r="AF39">
        <f>U39+AE39+AC39+AD39</f>
        <v>0</v>
      </c>
      <c r="AG39">
        <f>DX39*AU39*(DS39-DR39*(1000-AU39*DU39)/(1000-AU39*DT39))/(100*DL39)</f>
        <v>0</v>
      </c>
      <c r="AH39">
        <f>1000*DX39*AU39*(DT39-DU39)/(100*DL39*(1000-AU39*DT39))</f>
        <v>0</v>
      </c>
      <c r="AI39">
        <f>(AJ39 - AK39 - DY39*1E3/(8.314*(EA39+273.15)) * AM39/DX39 * AL39) * DX39/(100*DL39) * (1000 - DU39)/1000</f>
        <v>0</v>
      </c>
      <c r="AJ39">
        <v>428.710516191776</v>
      </c>
      <c r="AK39">
        <v>432.620878787879</v>
      </c>
      <c r="AL39">
        <v>0.00502129532210544</v>
      </c>
      <c r="AM39">
        <v>64.0651673644868</v>
      </c>
      <c r="AN39">
        <f>(AP39 - AO39 + DY39*1E3/(8.314*(EA39+273.15)) * AR39/DX39 * AQ39) * DX39/(100*DL39) * 1000/(1000 - AP39)</f>
        <v>0</v>
      </c>
      <c r="AO39">
        <v>20.2697855659281</v>
      </c>
      <c r="AP39">
        <v>24.1721090909091</v>
      </c>
      <c r="AQ39">
        <v>-0.000143912885606131</v>
      </c>
      <c r="AR39">
        <v>103.142150156785</v>
      </c>
      <c r="AS39">
        <v>0</v>
      </c>
      <c r="AT39">
        <v>0</v>
      </c>
      <c r="AU39">
        <f>IF(AS39*$H$13&gt;=AW39,1.0,(AW39/(AW39-AS39*$H$13)))</f>
        <v>0</v>
      </c>
      <c r="AV39">
        <f>(AU39-1)*100</f>
        <v>0</v>
      </c>
      <c r="AW39">
        <f>MAX(0,($B$13+$C$13*EF39)/(1+$D$13*EF39)*DY39/(EA39+273)*$E$13)</f>
        <v>0</v>
      </c>
      <c r="AX39" t="s">
        <v>523</v>
      </c>
      <c r="AY39">
        <v>5062.95</v>
      </c>
      <c r="AZ39">
        <v>940.268</v>
      </c>
      <c r="BA39">
        <v>1227.26</v>
      </c>
      <c r="BB39">
        <f>1-AZ39/BA39</f>
        <v>0</v>
      </c>
      <c r="BC39">
        <v>-7.45265964798859</v>
      </c>
      <c r="BD39" t="s">
        <v>535</v>
      </c>
      <c r="BE39">
        <v>5137.5</v>
      </c>
      <c r="BF39">
        <v>1085.3048</v>
      </c>
      <c r="BG39">
        <v>1126.07777879938</v>
      </c>
      <c r="BH39">
        <f>1-BF39/BG39</f>
        <v>0</v>
      </c>
      <c r="BI39">
        <v>0.5</v>
      </c>
      <c r="BJ39">
        <f>DI39</f>
        <v>0</v>
      </c>
      <c r="BK39">
        <f>L39</f>
        <v>0</v>
      </c>
      <c r="BL39">
        <f>BH39*BI39*BJ39</f>
        <v>0</v>
      </c>
      <c r="BM39">
        <f>(BK39-BC39)/BJ39</f>
        <v>0</v>
      </c>
      <c r="BN39">
        <f>(BA39-BG39)/BG39</f>
        <v>0</v>
      </c>
      <c r="BO39">
        <f>AZ39/(BB39+AZ39/BG39)</f>
        <v>0</v>
      </c>
      <c r="BP39" t="s">
        <v>536</v>
      </c>
      <c r="BQ39">
        <v>903.67</v>
      </c>
      <c r="BR39">
        <f>IF(BQ39&lt;&gt;0, BQ39, BO39)</f>
        <v>0</v>
      </c>
      <c r="BS39">
        <f>1-BR39/BG39</f>
        <v>0</v>
      </c>
      <c r="BT39">
        <f>(BG39-BF39)/(BG39-BR39)</f>
        <v>0</v>
      </c>
      <c r="BU39">
        <f>(BA39-BG39)/(BA39-BR39)</f>
        <v>0</v>
      </c>
      <c r="BV39">
        <f>(BG39-BF39)/(BG39-AZ39)</f>
        <v>0</v>
      </c>
      <c r="BW39">
        <f>(BA39-BG39)/(BA39-AZ39)</f>
        <v>0</v>
      </c>
      <c r="BX39">
        <f>(BT39*BR39/BF39)</f>
        <v>0</v>
      </c>
      <c r="BY39">
        <f>(1-BX39)</f>
        <v>0</v>
      </c>
      <c r="BZ39">
        <v>836</v>
      </c>
      <c r="CA39">
        <v>290</v>
      </c>
      <c r="CB39">
        <v>1111.4</v>
      </c>
      <c r="CC39">
        <v>125</v>
      </c>
      <c r="CD39">
        <v>5137.5</v>
      </c>
      <c r="CE39">
        <v>1109.43</v>
      </c>
      <c r="CF39">
        <v>1.97</v>
      </c>
      <c r="CG39">
        <v>300</v>
      </c>
      <c r="CH39">
        <v>23.8</v>
      </c>
      <c r="CI39">
        <v>1126.07777879938</v>
      </c>
      <c r="CJ39">
        <v>1.9209890905254</v>
      </c>
      <c r="CK39">
        <v>-8.55435767808052</v>
      </c>
      <c r="CL39">
        <v>0.895572215161441</v>
      </c>
      <c r="CM39">
        <v>0.765174633925708</v>
      </c>
      <c r="CN39">
        <v>-0.00299522002224694</v>
      </c>
      <c r="CO39">
        <v>290</v>
      </c>
      <c r="CP39">
        <v>1108.85</v>
      </c>
      <c r="CQ39">
        <v>695</v>
      </c>
      <c r="CR39">
        <v>5133.94</v>
      </c>
      <c r="CS39">
        <v>1109.42</v>
      </c>
      <c r="CT39">
        <v>-0.57</v>
      </c>
      <c r="DH39">
        <f>$B$11*EG39+$C$11*EH39+$F$11*ES39*(1-EV39)</f>
        <v>0</v>
      </c>
      <c r="DI39">
        <f>DH39*DJ39</f>
        <v>0</v>
      </c>
      <c r="DJ39">
        <f>($B$11*$D$9+$C$11*$D$9+$F$11*((FF39+EX39)/MAX(FF39+EX39+FG39, 0.1)*$I$9+FG39/MAX(FF39+EX39+FG39, 0.1)*$J$9))/($B$11+$C$11+$F$11)</f>
        <v>0</v>
      </c>
      <c r="DK39">
        <f>($B$11*$K$9+$C$11*$K$9+$F$11*((FF39+EX39)/MAX(FF39+EX39+FG39, 0.1)*$P$9+FG39/MAX(FF39+EX39+FG39, 0.1)*$Q$9))/($B$11+$C$11+$F$11)</f>
        <v>0</v>
      </c>
      <c r="DL39">
        <v>6</v>
      </c>
      <c r="DM39">
        <v>0.5</v>
      </c>
      <c r="DN39" t="s">
        <v>440</v>
      </c>
      <c r="DO39">
        <v>2</v>
      </c>
      <c r="DP39" t="b">
        <v>1</v>
      </c>
      <c r="DQ39">
        <v>1762107272.6</v>
      </c>
      <c r="DR39">
        <v>422.1089375</v>
      </c>
      <c r="DS39">
        <v>419.998625</v>
      </c>
      <c r="DT39">
        <v>24.1899625</v>
      </c>
      <c r="DU39">
        <v>20.27119375</v>
      </c>
      <c r="DV39">
        <v>413.781</v>
      </c>
      <c r="DW39">
        <v>23.86061875</v>
      </c>
      <c r="DX39">
        <v>499.925</v>
      </c>
      <c r="DY39">
        <v>90.8296125</v>
      </c>
      <c r="DZ39">
        <v>0.0307664875</v>
      </c>
      <c r="EA39">
        <v>47.183875</v>
      </c>
      <c r="EB39">
        <v>46.4442375</v>
      </c>
      <c r="EC39">
        <v>999.9</v>
      </c>
      <c r="ED39">
        <v>0</v>
      </c>
      <c r="EE39">
        <v>0</v>
      </c>
      <c r="EF39">
        <v>9977.81125</v>
      </c>
      <c r="EG39">
        <v>0</v>
      </c>
      <c r="EH39">
        <v>1123.4925</v>
      </c>
      <c r="EI39">
        <v>2.110373125</v>
      </c>
      <c r="EJ39">
        <v>432.5728125</v>
      </c>
      <c r="EK39">
        <v>428.6885625</v>
      </c>
      <c r="EL39">
        <v>3.918783125</v>
      </c>
      <c r="EM39">
        <v>419.998625</v>
      </c>
      <c r="EN39">
        <v>20.27119375</v>
      </c>
      <c r="EO39">
        <v>2.197165</v>
      </c>
      <c r="EP39">
        <v>1.84122375</v>
      </c>
      <c r="EQ39">
        <v>18.94166875</v>
      </c>
      <c r="ER39">
        <v>16.14123125</v>
      </c>
      <c r="ES39">
        <v>1500.045625</v>
      </c>
      <c r="ET39">
        <v>0.973</v>
      </c>
      <c r="EU39">
        <v>0.02700028125</v>
      </c>
      <c r="EV39">
        <v>0</v>
      </c>
      <c r="EW39">
        <v>1085.37125</v>
      </c>
      <c r="EX39">
        <v>5.00016</v>
      </c>
      <c r="EY39">
        <v>16503.3</v>
      </c>
      <c r="EZ39">
        <v>13633.225</v>
      </c>
      <c r="FA39">
        <v>45.83175</v>
      </c>
      <c r="FB39">
        <v>47.2654375</v>
      </c>
      <c r="FC39">
        <v>46.281</v>
      </c>
      <c r="FD39">
        <v>46.9333125</v>
      </c>
      <c r="FE39">
        <v>49.402125</v>
      </c>
      <c r="FF39">
        <v>1454.67625</v>
      </c>
      <c r="FG39">
        <v>40.37</v>
      </c>
      <c r="FH39">
        <v>0</v>
      </c>
      <c r="FI39">
        <v>98.5999999046326</v>
      </c>
      <c r="FJ39">
        <v>0</v>
      </c>
      <c r="FK39">
        <v>1085.3048</v>
      </c>
      <c r="FL39">
        <v>-5.36769231309618</v>
      </c>
      <c r="FM39">
        <v>-108.384615596062</v>
      </c>
      <c r="FN39">
        <v>16500.472</v>
      </c>
      <c r="FO39">
        <v>15</v>
      </c>
      <c r="FP39">
        <v>0</v>
      </c>
      <c r="FQ39" t="s">
        <v>441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2.1166205</v>
      </c>
      <c r="GD39">
        <v>-0.103005563909776</v>
      </c>
      <c r="GE39">
        <v>0.0301343801122571</v>
      </c>
      <c r="GF39">
        <v>1</v>
      </c>
      <c r="GG39">
        <v>1085.66058823529</v>
      </c>
      <c r="GH39">
        <v>-5.26539342158371</v>
      </c>
      <c r="GI39">
        <v>0.553156403669363</v>
      </c>
      <c r="GJ39">
        <v>-1</v>
      </c>
      <c r="GK39">
        <v>3.922211</v>
      </c>
      <c r="GL39">
        <v>-0.108526015037589</v>
      </c>
      <c r="GM39">
        <v>0.0105728448867842</v>
      </c>
      <c r="GN39">
        <v>0</v>
      </c>
      <c r="GO39">
        <v>1</v>
      </c>
      <c r="GP39">
        <v>2</v>
      </c>
      <c r="GQ39" t="s">
        <v>458</v>
      </c>
      <c r="GR39">
        <v>3.12419</v>
      </c>
      <c r="GS39">
        <v>2.6566</v>
      </c>
      <c r="GT39">
        <v>0.087401</v>
      </c>
      <c r="GU39">
        <v>0.0882998</v>
      </c>
      <c r="GV39">
        <v>0.100662</v>
      </c>
      <c r="GW39">
        <v>0.0891006</v>
      </c>
      <c r="GX39">
        <v>23110</v>
      </c>
      <c r="GY39">
        <v>21922.2</v>
      </c>
      <c r="GZ39">
        <v>22678.9</v>
      </c>
      <c r="HA39">
        <v>23448.8</v>
      </c>
      <c r="HB39">
        <v>34835.1</v>
      </c>
      <c r="HC39">
        <v>35382.6</v>
      </c>
      <c r="HD39">
        <v>40969.6</v>
      </c>
      <c r="HE39">
        <v>41858.6</v>
      </c>
      <c r="HF39">
        <v>1.81852</v>
      </c>
      <c r="HG39">
        <v>2.23078</v>
      </c>
      <c r="HH39">
        <v>0.424251</v>
      </c>
      <c r="HI39">
        <v>0</v>
      </c>
      <c r="HJ39">
        <v>39.6589</v>
      </c>
      <c r="HK39">
        <v>999.9</v>
      </c>
      <c r="HL39">
        <v>49.225</v>
      </c>
      <c r="HM39">
        <v>28.117</v>
      </c>
      <c r="HN39">
        <v>20.707</v>
      </c>
      <c r="HO39">
        <v>54.5793</v>
      </c>
      <c r="HP39">
        <v>24.1066</v>
      </c>
      <c r="HQ39">
        <v>2</v>
      </c>
      <c r="HR39">
        <v>0.647668</v>
      </c>
      <c r="HS39">
        <v>-6.66667</v>
      </c>
      <c r="HT39">
        <v>20.1065</v>
      </c>
      <c r="HU39">
        <v>5.23077</v>
      </c>
      <c r="HV39">
        <v>11.998</v>
      </c>
      <c r="HW39">
        <v>4.95575</v>
      </c>
      <c r="HX39">
        <v>3.304</v>
      </c>
      <c r="HY39">
        <v>9999</v>
      </c>
      <c r="HZ39">
        <v>999.9</v>
      </c>
      <c r="IA39">
        <v>9999</v>
      </c>
      <c r="IB39">
        <v>9999</v>
      </c>
      <c r="IC39">
        <v>1.86849</v>
      </c>
      <c r="ID39">
        <v>1.86417</v>
      </c>
      <c r="IE39">
        <v>1.8718</v>
      </c>
      <c r="IF39">
        <v>1.86264</v>
      </c>
      <c r="IG39">
        <v>1.86203</v>
      </c>
      <c r="IH39">
        <v>1.86854</v>
      </c>
      <c r="II39">
        <v>1.85867</v>
      </c>
      <c r="IJ39">
        <v>1.86508</v>
      </c>
      <c r="IK39">
        <v>5</v>
      </c>
      <c r="IL39">
        <v>0</v>
      </c>
      <c r="IM39">
        <v>0</v>
      </c>
      <c r="IN39">
        <v>0</v>
      </c>
      <c r="IO39" t="s">
        <v>443</v>
      </c>
      <c r="IP39" t="s">
        <v>444</v>
      </c>
      <c r="IQ39" t="s">
        <v>445</v>
      </c>
      <c r="IR39" t="s">
        <v>445</v>
      </c>
      <c r="IS39" t="s">
        <v>445</v>
      </c>
      <c r="IT39" t="s">
        <v>445</v>
      </c>
      <c r="IU39">
        <v>0</v>
      </c>
      <c r="IV39">
        <v>100</v>
      </c>
      <c r="IW39">
        <v>100</v>
      </c>
      <c r="IX39">
        <v>8.328</v>
      </c>
      <c r="IY39">
        <v>0.3294</v>
      </c>
      <c r="IZ39">
        <v>5.63042802259986</v>
      </c>
      <c r="JA39">
        <v>0.00813484245791346</v>
      </c>
      <c r="JB39">
        <v>-4.34547228418155e-06</v>
      </c>
      <c r="JC39">
        <v>1.0644471544636e-09</v>
      </c>
      <c r="JD39">
        <v>0.329354282981013</v>
      </c>
      <c r="JE39">
        <v>0</v>
      </c>
      <c r="JF39">
        <v>0</v>
      </c>
      <c r="JG39">
        <v>0</v>
      </c>
      <c r="JH39">
        <v>-3</v>
      </c>
      <c r="JI39">
        <v>2169</v>
      </c>
      <c r="JJ39">
        <v>1</v>
      </c>
      <c r="JK39">
        <v>22</v>
      </c>
      <c r="JL39">
        <v>29368454.7</v>
      </c>
      <c r="JM39">
        <v>29368454.7</v>
      </c>
      <c r="JN39">
        <v>1.31592</v>
      </c>
      <c r="JO39">
        <v>2.36206</v>
      </c>
      <c r="JP39">
        <v>2.09839</v>
      </c>
      <c r="JQ39">
        <v>2.64771</v>
      </c>
      <c r="JR39">
        <v>2.24365</v>
      </c>
      <c r="JS39">
        <v>2.33643</v>
      </c>
      <c r="JT39">
        <v>35.1055</v>
      </c>
      <c r="JU39">
        <v>24.2101</v>
      </c>
      <c r="JV39">
        <v>18</v>
      </c>
      <c r="JW39">
        <v>554.728</v>
      </c>
      <c r="JX39">
        <v>852.222</v>
      </c>
      <c r="JY39">
        <v>55.9016</v>
      </c>
      <c r="JZ39">
        <v>36.2899</v>
      </c>
      <c r="KA39">
        <v>29.9957</v>
      </c>
      <c r="KB39">
        <v>36.2393</v>
      </c>
      <c r="KC39">
        <v>36.3566</v>
      </c>
      <c r="KD39">
        <v>26.3813</v>
      </c>
      <c r="KE39">
        <v>0</v>
      </c>
      <c r="KF39">
        <v>100</v>
      </c>
      <c r="KG39">
        <v>73.9327</v>
      </c>
      <c r="KH39">
        <v>420</v>
      </c>
      <c r="KI39">
        <v>23.2649</v>
      </c>
      <c r="KJ39">
        <v>91.7568</v>
      </c>
      <c r="KK39">
        <v>97.5186</v>
      </c>
    </row>
    <row r="40" spans="1:297">
      <c r="A40">
        <v>24</v>
      </c>
      <c r="B40">
        <v>1762107383.1</v>
      </c>
      <c r="C40">
        <v>5952</v>
      </c>
      <c r="D40" t="s">
        <v>537</v>
      </c>
      <c r="E40" t="s">
        <v>538</v>
      </c>
      <c r="F40">
        <v>5</v>
      </c>
      <c r="G40" t="s">
        <v>526</v>
      </c>
      <c r="H40" t="s">
        <v>436</v>
      </c>
      <c r="I40">
        <v>1762107374.6</v>
      </c>
      <c r="J40">
        <f>(K40)/1000</f>
        <v>0</v>
      </c>
      <c r="K40">
        <f>IF(DP40, AN40, AH40)</f>
        <v>0</v>
      </c>
      <c r="L40">
        <f>IF(DP40, AI40, AG40)</f>
        <v>0</v>
      </c>
      <c r="M40">
        <f>DR40 - IF(AU40&gt;1, L40*DL40*100.0/(AW40), 0)</f>
        <v>0</v>
      </c>
      <c r="N40">
        <f>((T40-J40/2)*M40-L40)/(T40+J40/2)</f>
        <v>0</v>
      </c>
      <c r="O40">
        <f>N40*(DY40+DZ40)/1000.0</f>
        <v>0</v>
      </c>
      <c r="P40">
        <f>(DR40 - IF(AU40&gt;1, L40*DL40*100.0/(AW40), 0))*(DY40+DZ40)/1000.0</f>
        <v>0</v>
      </c>
      <c r="Q40">
        <f>2.0/((1/S40-1/R40)+SIGN(S40)*SQRT((1/S40-1/R40)*(1/S40-1/R40) + 4*DM40/((DM40+1)*(DM40+1))*(2*1/S40*1/R40-1/R40*1/R40)))</f>
        <v>0</v>
      </c>
      <c r="R40">
        <f>IF(LEFT(DN40,1)&lt;&gt;"0",IF(LEFT(DN40,1)="1",3.0,DO40),$D$5+$E$5*(EF40*DY40/($K$5*1000))+$F$5*(EF40*DY40/($K$5*1000))*MAX(MIN(DL40,$J$5),$I$5)*MAX(MIN(DL40,$J$5),$I$5)+$G$5*MAX(MIN(DL40,$J$5),$I$5)*(EF40*DY40/($K$5*1000))+$H$5*(EF40*DY40/($K$5*1000))*(EF40*DY40/($K$5*1000)))</f>
        <v>0</v>
      </c>
      <c r="S40">
        <f>J40*(1000-(1000*0.61365*exp(17.502*W40/(240.97+W40))/(DY40+DZ40)+DT40)/2)/(1000*0.61365*exp(17.502*W40/(240.97+W40))/(DY40+DZ40)-DT40)</f>
        <v>0</v>
      </c>
      <c r="T40">
        <f>1/((DM40+1)/(Q40/1.6)+1/(R40/1.37)) + DM40/((DM40+1)/(Q40/1.6) + DM40/(R40/1.37))</f>
        <v>0</v>
      </c>
      <c r="U40">
        <f>(DH40*DK40)</f>
        <v>0</v>
      </c>
      <c r="V40">
        <f>(EA40+(U40+2*0.95*5.67E-8*(((EA40+$B$7)+273)^4-(EA40+273)^4)-44100*J40)/(1.84*29.3*R40+8*0.95*5.67E-8*(EA40+273)^3))</f>
        <v>0</v>
      </c>
      <c r="W40">
        <f>($C$7*EB40+$D$7*EC40+$E$7*V40)</f>
        <v>0</v>
      </c>
      <c r="X40">
        <f>0.61365*exp(17.502*W40/(240.97+W40))</f>
        <v>0</v>
      </c>
      <c r="Y40">
        <f>(Z40/AA40*100)</f>
        <v>0</v>
      </c>
      <c r="Z40">
        <f>DT40*(DY40+DZ40)/1000</f>
        <v>0</v>
      </c>
      <c r="AA40">
        <f>0.61365*exp(17.502*EA40/(240.97+EA40))</f>
        <v>0</v>
      </c>
      <c r="AB40">
        <f>(X40-DT40*(DY40+DZ40)/1000)</f>
        <v>0</v>
      </c>
      <c r="AC40">
        <f>(-J40*44100)</f>
        <v>0</v>
      </c>
      <c r="AD40">
        <f>2*29.3*R40*0.92*(EA40-W40)</f>
        <v>0</v>
      </c>
      <c r="AE40">
        <f>2*0.95*5.67E-8*(((EA40+$B$7)+273)^4-(W40+273)^4)</f>
        <v>0</v>
      </c>
      <c r="AF40">
        <f>U40+AE40+AC40+AD40</f>
        <v>0</v>
      </c>
      <c r="AG40">
        <f>DX40*AU40*(DS40-DR40*(1000-AU40*DU40)/(1000-AU40*DT40))/(100*DL40)</f>
        <v>0</v>
      </c>
      <c r="AH40">
        <f>1000*DX40*AU40*(DT40-DU40)/(100*DL40*(1000-AU40*DT40))</f>
        <v>0</v>
      </c>
      <c r="AI40">
        <f>(AJ40 - AK40 - DY40*1E3/(8.314*(EA40+273.15)) * AM40/DX40 * AL40) * DX40/(100*DL40) * (1000 - DU40)/1000</f>
        <v>0</v>
      </c>
      <c r="AJ40">
        <v>428.712692726076</v>
      </c>
      <c r="AK40">
        <v>432.386115151515</v>
      </c>
      <c r="AL40">
        <v>-0.00182692597287861</v>
      </c>
      <c r="AM40">
        <v>64.0651673644868</v>
      </c>
      <c r="AN40">
        <f>(AP40 - AO40 + DY40*1E3/(8.314*(EA40+273.15)) * AR40/DX40 * AQ40) * DX40/(100*DL40) * 1000/(1000 - AP40)</f>
        <v>0</v>
      </c>
      <c r="AO40">
        <v>20.2576879869041</v>
      </c>
      <c r="AP40">
        <v>23.7983860606061</v>
      </c>
      <c r="AQ40">
        <v>-5.78910028022516e-05</v>
      </c>
      <c r="AR40">
        <v>103.142150156785</v>
      </c>
      <c r="AS40">
        <v>0</v>
      </c>
      <c r="AT40">
        <v>0</v>
      </c>
      <c r="AU40">
        <f>IF(AS40*$H$13&gt;=AW40,1.0,(AW40/(AW40-AS40*$H$13)))</f>
        <v>0</v>
      </c>
      <c r="AV40">
        <f>(AU40-1)*100</f>
        <v>0</v>
      </c>
      <c r="AW40">
        <f>MAX(0,($B$13+$C$13*EF40)/(1+$D$13*EF40)*DY40/(EA40+273)*$E$13)</f>
        <v>0</v>
      </c>
      <c r="AX40" t="s">
        <v>523</v>
      </c>
      <c r="AY40">
        <v>5062.95</v>
      </c>
      <c r="AZ40">
        <v>940.268</v>
      </c>
      <c r="BA40">
        <v>1227.26</v>
      </c>
      <c r="BB40">
        <f>1-AZ40/BA40</f>
        <v>0</v>
      </c>
      <c r="BC40">
        <v>-7.45265964798859</v>
      </c>
      <c r="BD40" t="s">
        <v>539</v>
      </c>
      <c r="BE40">
        <v>5140.23</v>
      </c>
      <c r="BF40">
        <v>1074.61807692308</v>
      </c>
      <c r="BG40">
        <v>1125.71412677468</v>
      </c>
      <c r="BH40">
        <f>1-BF40/BG40</f>
        <v>0</v>
      </c>
      <c r="BI40">
        <v>0.5</v>
      </c>
      <c r="BJ40">
        <f>DI40</f>
        <v>0</v>
      </c>
      <c r="BK40">
        <f>L40</f>
        <v>0</v>
      </c>
      <c r="BL40">
        <f>BH40*BI40*BJ40</f>
        <v>0</v>
      </c>
      <c r="BM40">
        <f>(BK40-BC40)/BJ40</f>
        <v>0</v>
      </c>
      <c r="BN40">
        <f>(BA40-BG40)/BG40</f>
        <v>0</v>
      </c>
      <c r="BO40">
        <f>AZ40/(BB40+AZ40/BG40)</f>
        <v>0</v>
      </c>
      <c r="BP40" t="s">
        <v>540</v>
      </c>
      <c r="BQ40">
        <v>886.73</v>
      </c>
      <c r="BR40">
        <f>IF(BQ40&lt;&gt;0, BQ40, BO40)</f>
        <v>0</v>
      </c>
      <c r="BS40">
        <f>1-BR40/BG40</f>
        <v>0</v>
      </c>
      <c r="BT40">
        <f>(BG40-BF40)/(BG40-BR40)</f>
        <v>0</v>
      </c>
      <c r="BU40">
        <f>(BA40-BG40)/(BA40-BR40)</f>
        <v>0</v>
      </c>
      <c r="BV40">
        <f>(BG40-BF40)/(BG40-AZ40)</f>
        <v>0</v>
      </c>
      <c r="BW40">
        <f>(BA40-BG40)/(BA40-AZ40)</f>
        <v>0</v>
      </c>
      <c r="BX40">
        <f>(BT40*BR40/BF40)</f>
        <v>0</v>
      </c>
      <c r="BY40">
        <f>(1-BX40)</f>
        <v>0</v>
      </c>
      <c r="BZ40">
        <v>838</v>
      </c>
      <c r="CA40">
        <v>290</v>
      </c>
      <c r="CB40">
        <v>1110.06</v>
      </c>
      <c r="CC40">
        <v>175</v>
      </c>
      <c r="CD40">
        <v>5140.23</v>
      </c>
      <c r="CE40">
        <v>1108.95</v>
      </c>
      <c r="CF40">
        <v>1.11</v>
      </c>
      <c r="CG40">
        <v>300</v>
      </c>
      <c r="CH40">
        <v>23.8</v>
      </c>
      <c r="CI40">
        <v>1125.71412677468</v>
      </c>
      <c r="CJ40">
        <v>1.70144894862824</v>
      </c>
      <c r="CK40">
        <v>-8.61556775400659</v>
      </c>
      <c r="CL40">
        <v>0.786591366153541</v>
      </c>
      <c r="CM40">
        <v>0.810771321755312</v>
      </c>
      <c r="CN40">
        <v>-0.00325012658509455</v>
      </c>
      <c r="CO40">
        <v>290</v>
      </c>
      <c r="CP40">
        <v>1108.13</v>
      </c>
      <c r="CQ40">
        <v>645</v>
      </c>
      <c r="CR40">
        <v>5137.71</v>
      </c>
      <c r="CS40">
        <v>1108.94</v>
      </c>
      <c r="CT40">
        <v>-0.81</v>
      </c>
      <c r="DH40">
        <f>$B$11*EG40+$C$11*EH40+$F$11*ES40*(1-EV40)</f>
        <v>0</v>
      </c>
      <c r="DI40">
        <f>DH40*DJ40</f>
        <v>0</v>
      </c>
      <c r="DJ40">
        <f>($B$11*$D$9+$C$11*$D$9+$F$11*((FF40+EX40)/MAX(FF40+EX40+FG40, 0.1)*$I$9+FG40/MAX(FF40+EX40+FG40, 0.1)*$J$9))/($B$11+$C$11+$F$11)</f>
        <v>0</v>
      </c>
      <c r="DK40">
        <f>($B$11*$K$9+$C$11*$K$9+$F$11*((FF40+EX40)/MAX(FF40+EX40+FG40, 0.1)*$P$9+FG40/MAX(FF40+EX40+FG40, 0.1)*$Q$9))/($B$11+$C$11+$F$11)</f>
        <v>0</v>
      </c>
      <c r="DL40">
        <v>6</v>
      </c>
      <c r="DM40">
        <v>0.5</v>
      </c>
      <c r="DN40" t="s">
        <v>440</v>
      </c>
      <c r="DO40">
        <v>2</v>
      </c>
      <c r="DP40" t="b">
        <v>1</v>
      </c>
      <c r="DQ40">
        <v>1762107374.6</v>
      </c>
      <c r="DR40">
        <v>422.1300625</v>
      </c>
      <c r="DS40">
        <v>420.0226875</v>
      </c>
      <c r="DT40">
        <v>23.8106125</v>
      </c>
      <c r="DU40">
        <v>20.2582125</v>
      </c>
      <c r="DV40">
        <v>413.802125</v>
      </c>
      <c r="DW40">
        <v>23.48124375</v>
      </c>
      <c r="DX40">
        <v>500.030125</v>
      </c>
      <c r="DY40">
        <v>90.8283</v>
      </c>
      <c r="DZ40">
        <v>0.02941159375</v>
      </c>
      <c r="EA40">
        <v>46.62595</v>
      </c>
      <c r="EB40">
        <v>45.71754375</v>
      </c>
      <c r="EC40">
        <v>999.9</v>
      </c>
      <c r="ED40">
        <v>0</v>
      </c>
      <c r="EE40">
        <v>0</v>
      </c>
      <c r="EF40">
        <v>10002.92125</v>
      </c>
      <c r="EG40">
        <v>0</v>
      </c>
      <c r="EH40">
        <v>1125.401875</v>
      </c>
      <c r="EI40">
        <v>2.10734375</v>
      </c>
      <c r="EJ40">
        <v>432.4265</v>
      </c>
      <c r="EK40">
        <v>428.7075625</v>
      </c>
      <c r="EL40">
        <v>3.55238</v>
      </c>
      <c r="EM40">
        <v>420.0226875</v>
      </c>
      <c r="EN40">
        <v>20.2582125</v>
      </c>
      <c r="EO40">
        <v>2.1626775</v>
      </c>
      <c r="EP40">
        <v>1.840020625</v>
      </c>
      <c r="EQ40">
        <v>18.68846875</v>
      </c>
      <c r="ER40">
        <v>16.1309875</v>
      </c>
      <c r="ES40">
        <v>1200.015625</v>
      </c>
      <c r="ET40">
        <v>0.9670055</v>
      </c>
      <c r="EU40">
        <v>0.032994625</v>
      </c>
      <c r="EV40">
        <v>0</v>
      </c>
      <c r="EW40">
        <v>1074.661875</v>
      </c>
      <c r="EX40">
        <v>5.00016</v>
      </c>
      <c r="EY40">
        <v>13044.4</v>
      </c>
      <c r="EZ40">
        <v>10875.76875</v>
      </c>
      <c r="FA40">
        <v>44.9294375</v>
      </c>
      <c r="FB40">
        <v>46.6286875</v>
      </c>
      <c r="FC40">
        <v>45.60525</v>
      </c>
      <c r="FD40">
        <v>46.277125</v>
      </c>
      <c r="FE40">
        <v>48.6013125</v>
      </c>
      <c r="FF40">
        <v>1155.585625</v>
      </c>
      <c r="FG40">
        <v>39.43</v>
      </c>
      <c r="FH40">
        <v>0</v>
      </c>
      <c r="FI40">
        <v>98.3999998569489</v>
      </c>
      <c r="FJ40">
        <v>0</v>
      </c>
      <c r="FK40">
        <v>1074.61807692308</v>
      </c>
      <c r="FL40">
        <v>-1.10735043530791</v>
      </c>
      <c r="FM40">
        <v>-29.0153847173506</v>
      </c>
      <c r="FN40">
        <v>13043.8192307692</v>
      </c>
      <c r="FO40">
        <v>15</v>
      </c>
      <c r="FP40">
        <v>0</v>
      </c>
      <c r="FQ40" t="s">
        <v>441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2.10811952380952</v>
      </c>
      <c r="GD40">
        <v>-0.00458649350648967</v>
      </c>
      <c r="GE40">
        <v>0.0257358379874466</v>
      </c>
      <c r="GF40">
        <v>1</v>
      </c>
      <c r="GG40">
        <v>1074.71294117647</v>
      </c>
      <c r="GH40">
        <v>-1.78640184129139</v>
      </c>
      <c r="GI40">
        <v>0.258144161864076</v>
      </c>
      <c r="GJ40">
        <v>-1</v>
      </c>
      <c r="GK40">
        <v>3.55974571428571</v>
      </c>
      <c r="GL40">
        <v>-0.124883376623379</v>
      </c>
      <c r="GM40">
        <v>0.0127033102440451</v>
      </c>
      <c r="GN40">
        <v>0</v>
      </c>
      <c r="GO40">
        <v>1</v>
      </c>
      <c r="GP40">
        <v>2</v>
      </c>
      <c r="GQ40" t="s">
        <v>458</v>
      </c>
      <c r="GR40">
        <v>3.12429</v>
      </c>
      <c r="GS40">
        <v>2.65449</v>
      </c>
      <c r="GT40">
        <v>0.0876179</v>
      </c>
      <c r="GU40">
        <v>0.0885288</v>
      </c>
      <c r="GV40">
        <v>0.0997581</v>
      </c>
      <c r="GW40">
        <v>0.0892817</v>
      </c>
      <c r="GX40">
        <v>23171.8</v>
      </c>
      <c r="GY40">
        <v>21971.7</v>
      </c>
      <c r="GZ40">
        <v>22740.6</v>
      </c>
      <c r="HA40">
        <v>23502.8</v>
      </c>
      <c r="HB40">
        <v>34952.3</v>
      </c>
      <c r="HC40">
        <v>35450.1</v>
      </c>
      <c r="HD40">
        <v>41066.9</v>
      </c>
      <c r="HE40">
        <v>41945.5</v>
      </c>
      <c r="HF40">
        <v>1.83032</v>
      </c>
      <c r="HG40">
        <v>2.2479</v>
      </c>
      <c r="HH40">
        <v>0.40859</v>
      </c>
      <c r="HI40">
        <v>0</v>
      </c>
      <c r="HJ40">
        <v>39.1644</v>
      </c>
      <c r="HK40">
        <v>999.9</v>
      </c>
      <c r="HL40">
        <v>49.176</v>
      </c>
      <c r="HM40">
        <v>28.117</v>
      </c>
      <c r="HN40">
        <v>20.6848</v>
      </c>
      <c r="HO40">
        <v>54.6393</v>
      </c>
      <c r="HP40">
        <v>24.1466</v>
      </c>
      <c r="HQ40">
        <v>2</v>
      </c>
      <c r="HR40">
        <v>0.556428</v>
      </c>
      <c r="HS40">
        <v>-6.66667</v>
      </c>
      <c r="HT40">
        <v>20.1098</v>
      </c>
      <c r="HU40">
        <v>5.23466</v>
      </c>
      <c r="HV40">
        <v>11.998</v>
      </c>
      <c r="HW40">
        <v>4.9558</v>
      </c>
      <c r="HX40">
        <v>3.304</v>
      </c>
      <c r="HY40">
        <v>9999</v>
      </c>
      <c r="HZ40">
        <v>999.9</v>
      </c>
      <c r="IA40">
        <v>9999</v>
      </c>
      <c r="IB40">
        <v>9999</v>
      </c>
      <c r="IC40">
        <v>1.86849</v>
      </c>
      <c r="ID40">
        <v>1.86417</v>
      </c>
      <c r="IE40">
        <v>1.8718</v>
      </c>
      <c r="IF40">
        <v>1.86264</v>
      </c>
      <c r="IG40">
        <v>1.86204</v>
      </c>
      <c r="IH40">
        <v>1.86857</v>
      </c>
      <c r="II40">
        <v>1.85867</v>
      </c>
      <c r="IJ40">
        <v>1.86508</v>
      </c>
      <c r="IK40">
        <v>5</v>
      </c>
      <c r="IL40">
        <v>0</v>
      </c>
      <c r="IM40">
        <v>0</v>
      </c>
      <c r="IN40">
        <v>0</v>
      </c>
      <c r="IO40" t="s">
        <v>443</v>
      </c>
      <c r="IP40" t="s">
        <v>444</v>
      </c>
      <c r="IQ40" t="s">
        <v>445</v>
      </c>
      <c r="IR40" t="s">
        <v>445</v>
      </c>
      <c r="IS40" t="s">
        <v>445</v>
      </c>
      <c r="IT40" t="s">
        <v>445</v>
      </c>
      <c r="IU40">
        <v>0</v>
      </c>
      <c r="IV40">
        <v>100</v>
      </c>
      <c r="IW40">
        <v>100</v>
      </c>
      <c r="IX40">
        <v>8.328</v>
      </c>
      <c r="IY40">
        <v>0.3294</v>
      </c>
      <c r="IZ40">
        <v>5.63042802259986</v>
      </c>
      <c r="JA40">
        <v>0.00813484245791346</v>
      </c>
      <c r="JB40">
        <v>-4.34547228418155e-06</v>
      </c>
      <c r="JC40">
        <v>1.0644471544636e-09</v>
      </c>
      <c r="JD40">
        <v>0.329354282981013</v>
      </c>
      <c r="JE40">
        <v>0</v>
      </c>
      <c r="JF40">
        <v>0</v>
      </c>
      <c r="JG40">
        <v>0</v>
      </c>
      <c r="JH40">
        <v>-3</v>
      </c>
      <c r="JI40">
        <v>2169</v>
      </c>
      <c r="JJ40">
        <v>1</v>
      </c>
      <c r="JK40">
        <v>22</v>
      </c>
      <c r="JL40">
        <v>29368456.4</v>
      </c>
      <c r="JM40">
        <v>29368456.4</v>
      </c>
      <c r="JN40">
        <v>1.31592</v>
      </c>
      <c r="JO40">
        <v>2.35718</v>
      </c>
      <c r="JP40">
        <v>2.09839</v>
      </c>
      <c r="JQ40">
        <v>2.64648</v>
      </c>
      <c r="JR40">
        <v>2.24365</v>
      </c>
      <c r="JS40">
        <v>2.32544</v>
      </c>
      <c r="JT40">
        <v>35.1055</v>
      </c>
      <c r="JU40">
        <v>24.2101</v>
      </c>
      <c r="JV40">
        <v>18</v>
      </c>
      <c r="JW40">
        <v>554.933</v>
      </c>
      <c r="JX40">
        <v>856.021</v>
      </c>
      <c r="JY40">
        <v>55.4677</v>
      </c>
      <c r="JZ40">
        <v>35.1934</v>
      </c>
      <c r="KA40">
        <v>29.9961</v>
      </c>
      <c r="KB40">
        <v>35.1963</v>
      </c>
      <c r="KC40">
        <v>35.3024</v>
      </c>
      <c r="KD40">
        <v>26.3686</v>
      </c>
      <c r="KE40">
        <v>0</v>
      </c>
      <c r="KF40">
        <v>100</v>
      </c>
      <c r="KG40">
        <v>82.5894</v>
      </c>
      <c r="KH40">
        <v>420</v>
      </c>
      <c r="KI40">
        <v>23.2649</v>
      </c>
      <c r="KJ40">
        <v>91.9861</v>
      </c>
      <c r="KK40">
        <v>97.7289</v>
      </c>
    </row>
    <row r="41" spans="1:297">
      <c r="A41">
        <v>25</v>
      </c>
      <c r="B41">
        <v>1762107485.1</v>
      </c>
      <c r="C41">
        <v>6054</v>
      </c>
      <c r="D41" t="s">
        <v>541</v>
      </c>
      <c r="E41" t="s">
        <v>542</v>
      </c>
      <c r="F41">
        <v>5</v>
      </c>
      <c r="G41" t="s">
        <v>526</v>
      </c>
      <c r="H41" t="s">
        <v>436</v>
      </c>
      <c r="I41">
        <v>1762107476.6</v>
      </c>
      <c r="J41">
        <f>(K41)/1000</f>
        <v>0</v>
      </c>
      <c r="K41">
        <f>IF(DP41, AN41, AH41)</f>
        <v>0</v>
      </c>
      <c r="L41">
        <f>IF(DP41, AI41, AG41)</f>
        <v>0</v>
      </c>
      <c r="M41">
        <f>DR41 - IF(AU41&gt;1, L41*DL41*100.0/(AW41), 0)</f>
        <v>0</v>
      </c>
      <c r="N41">
        <f>((T41-J41/2)*M41-L41)/(T41+J41/2)</f>
        <v>0</v>
      </c>
      <c r="O41">
        <f>N41*(DY41+DZ41)/1000.0</f>
        <v>0</v>
      </c>
      <c r="P41">
        <f>(DR41 - IF(AU41&gt;1, L41*DL41*100.0/(AW41), 0))*(DY41+DZ41)/1000.0</f>
        <v>0</v>
      </c>
      <c r="Q41">
        <f>2.0/((1/S41-1/R41)+SIGN(S41)*SQRT((1/S41-1/R41)*(1/S41-1/R41) + 4*DM41/((DM41+1)*(DM41+1))*(2*1/S41*1/R41-1/R41*1/R41)))</f>
        <v>0</v>
      </c>
      <c r="R41">
        <f>IF(LEFT(DN41,1)&lt;&gt;"0",IF(LEFT(DN41,1)="1",3.0,DO41),$D$5+$E$5*(EF41*DY41/($K$5*1000))+$F$5*(EF41*DY41/($K$5*1000))*MAX(MIN(DL41,$J$5),$I$5)*MAX(MIN(DL41,$J$5),$I$5)+$G$5*MAX(MIN(DL41,$J$5),$I$5)*(EF41*DY41/($K$5*1000))+$H$5*(EF41*DY41/($K$5*1000))*(EF41*DY41/($K$5*1000)))</f>
        <v>0</v>
      </c>
      <c r="S41">
        <f>J41*(1000-(1000*0.61365*exp(17.502*W41/(240.97+W41))/(DY41+DZ41)+DT41)/2)/(1000*0.61365*exp(17.502*W41/(240.97+W41))/(DY41+DZ41)-DT41)</f>
        <v>0</v>
      </c>
      <c r="T41">
        <f>1/((DM41+1)/(Q41/1.6)+1/(R41/1.37)) + DM41/((DM41+1)/(Q41/1.6) + DM41/(R41/1.37))</f>
        <v>0</v>
      </c>
      <c r="U41">
        <f>(DH41*DK41)</f>
        <v>0</v>
      </c>
      <c r="V41">
        <f>(EA41+(U41+2*0.95*5.67E-8*(((EA41+$B$7)+273)^4-(EA41+273)^4)-44100*J41)/(1.84*29.3*R41+8*0.95*5.67E-8*(EA41+273)^3))</f>
        <v>0</v>
      </c>
      <c r="W41">
        <f>($C$7*EB41+$D$7*EC41+$E$7*V41)</f>
        <v>0</v>
      </c>
      <c r="X41">
        <f>0.61365*exp(17.502*W41/(240.97+W41))</f>
        <v>0</v>
      </c>
      <c r="Y41">
        <f>(Z41/AA41*100)</f>
        <v>0</v>
      </c>
      <c r="Z41">
        <f>DT41*(DY41+DZ41)/1000</f>
        <v>0</v>
      </c>
      <c r="AA41">
        <f>0.61365*exp(17.502*EA41/(240.97+EA41))</f>
        <v>0</v>
      </c>
      <c r="AB41">
        <f>(X41-DT41*(DY41+DZ41)/1000)</f>
        <v>0</v>
      </c>
      <c r="AC41">
        <f>(-J41*44100)</f>
        <v>0</v>
      </c>
      <c r="AD41">
        <f>2*29.3*R41*0.92*(EA41-W41)</f>
        <v>0</v>
      </c>
      <c r="AE41">
        <f>2*0.95*5.67E-8*(((EA41+$B$7)+273)^4-(W41+273)^4)</f>
        <v>0</v>
      </c>
      <c r="AF41">
        <f>U41+AE41+AC41+AD41</f>
        <v>0</v>
      </c>
      <c r="AG41">
        <f>DX41*AU41*(DS41-DR41*(1000-AU41*DU41)/(1000-AU41*DT41))/(100*DL41)</f>
        <v>0</v>
      </c>
      <c r="AH41">
        <f>1000*DX41*AU41*(DT41-DU41)/(100*DL41*(1000-AU41*DT41))</f>
        <v>0</v>
      </c>
      <c r="AI41">
        <f>(AJ41 - AK41 - DY41*1E3/(8.314*(EA41+273.15)) * AM41/DX41 * AL41) * DX41/(100*DL41) * (1000 - DU41)/1000</f>
        <v>0</v>
      </c>
      <c r="AJ41">
        <v>428.665612479618</v>
      </c>
      <c r="AK41">
        <v>432.429127272727</v>
      </c>
      <c r="AL41">
        <v>0.0133250752543041</v>
      </c>
      <c r="AM41">
        <v>64.0651673644868</v>
      </c>
      <c r="AN41">
        <f>(AP41 - AO41 + DY41*1E3/(8.314*(EA41+273.15)) * AR41/DX41 * AQ41) * DX41/(100*DL41) * 1000/(1000 - AP41)</f>
        <v>0</v>
      </c>
      <c r="AO41">
        <v>20.2841918334358</v>
      </c>
      <c r="AP41">
        <v>23.4795496969697</v>
      </c>
      <c r="AQ41">
        <v>-0.000114933270697114</v>
      </c>
      <c r="AR41">
        <v>103.142150156785</v>
      </c>
      <c r="AS41">
        <v>0</v>
      </c>
      <c r="AT41">
        <v>0</v>
      </c>
      <c r="AU41">
        <f>IF(AS41*$H$13&gt;=AW41,1.0,(AW41/(AW41-AS41*$H$13)))</f>
        <v>0</v>
      </c>
      <c r="AV41">
        <f>(AU41-1)*100</f>
        <v>0</v>
      </c>
      <c r="AW41">
        <f>MAX(0,($B$13+$C$13*EF41)/(1+$D$13*EF41)*DY41/(EA41+273)*$E$13)</f>
        <v>0</v>
      </c>
      <c r="AX41" t="s">
        <v>523</v>
      </c>
      <c r="AY41">
        <v>5062.95</v>
      </c>
      <c r="AZ41">
        <v>940.268</v>
      </c>
      <c r="BA41">
        <v>1227.26</v>
      </c>
      <c r="BB41">
        <f>1-AZ41/BA41</f>
        <v>0</v>
      </c>
      <c r="BC41">
        <v>-7.45265964798859</v>
      </c>
      <c r="BD41" t="s">
        <v>543</v>
      </c>
      <c r="BE41">
        <v>5143.26</v>
      </c>
      <c r="BF41">
        <v>1063.1768</v>
      </c>
      <c r="BG41">
        <v>1129.821502213</v>
      </c>
      <c r="BH41">
        <f>1-BF41/BG41</f>
        <v>0</v>
      </c>
      <c r="BI41">
        <v>0.5</v>
      </c>
      <c r="BJ41">
        <f>DI41</f>
        <v>0</v>
      </c>
      <c r="BK41">
        <f>L41</f>
        <v>0</v>
      </c>
      <c r="BL41">
        <f>BH41*BI41*BJ41</f>
        <v>0</v>
      </c>
      <c r="BM41">
        <f>(BK41-BC41)/BJ41</f>
        <v>0</v>
      </c>
      <c r="BN41">
        <f>(BA41-BG41)/BG41</f>
        <v>0</v>
      </c>
      <c r="BO41">
        <f>AZ41/(BB41+AZ41/BG41)</f>
        <v>0</v>
      </c>
      <c r="BP41" t="s">
        <v>544</v>
      </c>
      <c r="BQ41">
        <v>890.2</v>
      </c>
      <c r="BR41">
        <f>IF(BQ41&lt;&gt;0, BQ41, BO41)</f>
        <v>0</v>
      </c>
      <c r="BS41">
        <f>1-BR41/BG41</f>
        <v>0</v>
      </c>
      <c r="BT41">
        <f>(BG41-BF41)/(BG41-BR41)</f>
        <v>0</v>
      </c>
      <c r="BU41">
        <f>(BA41-BG41)/(BA41-BR41)</f>
        <v>0</v>
      </c>
      <c r="BV41">
        <f>(BG41-BF41)/(BG41-AZ41)</f>
        <v>0</v>
      </c>
      <c r="BW41">
        <f>(BA41-BG41)/(BA41-AZ41)</f>
        <v>0</v>
      </c>
      <c r="BX41">
        <f>(BT41*BR41/BF41)</f>
        <v>0</v>
      </c>
      <c r="BY41">
        <f>(1-BX41)</f>
        <v>0</v>
      </c>
      <c r="BZ41">
        <v>840</v>
      </c>
      <c r="CA41">
        <v>290</v>
      </c>
      <c r="CB41">
        <v>1115.22</v>
      </c>
      <c r="CC41">
        <v>155</v>
      </c>
      <c r="CD41">
        <v>5143.26</v>
      </c>
      <c r="CE41">
        <v>1113.9</v>
      </c>
      <c r="CF41">
        <v>1.32</v>
      </c>
      <c r="CG41">
        <v>300</v>
      </c>
      <c r="CH41">
        <v>23.9</v>
      </c>
      <c r="CI41">
        <v>1129.821502213</v>
      </c>
      <c r="CJ41">
        <v>1.79366411449021</v>
      </c>
      <c r="CK41">
        <v>-8.1896615863214</v>
      </c>
      <c r="CL41">
        <v>0.822004786554251</v>
      </c>
      <c r="CM41">
        <v>0.779981533826163</v>
      </c>
      <c r="CN41">
        <v>-0.00350558553948832</v>
      </c>
      <c r="CO41">
        <v>290</v>
      </c>
      <c r="CP41">
        <v>1113.55</v>
      </c>
      <c r="CQ41">
        <v>655</v>
      </c>
      <c r="CR41">
        <v>5140.28</v>
      </c>
      <c r="CS41">
        <v>1113.89</v>
      </c>
      <c r="CT41">
        <v>-0.34</v>
      </c>
      <c r="DH41">
        <f>$B$11*EG41+$C$11*EH41+$F$11*ES41*(1-EV41)</f>
        <v>0</v>
      </c>
      <c r="DI41">
        <f>DH41*DJ41</f>
        <v>0</v>
      </c>
      <c r="DJ41">
        <f>($B$11*$D$9+$C$11*$D$9+$F$11*((FF41+EX41)/MAX(FF41+EX41+FG41, 0.1)*$I$9+FG41/MAX(FF41+EX41+FG41, 0.1)*$J$9))/($B$11+$C$11+$F$11)</f>
        <v>0</v>
      </c>
      <c r="DK41">
        <f>($B$11*$K$9+$C$11*$K$9+$F$11*((FF41+EX41)/MAX(FF41+EX41+FG41, 0.1)*$P$9+FG41/MAX(FF41+EX41+FG41, 0.1)*$Q$9))/($B$11+$C$11+$F$11)</f>
        <v>0</v>
      </c>
      <c r="DL41">
        <v>6</v>
      </c>
      <c r="DM41">
        <v>0.5</v>
      </c>
      <c r="DN41" t="s">
        <v>440</v>
      </c>
      <c r="DO41">
        <v>2</v>
      </c>
      <c r="DP41" t="b">
        <v>1</v>
      </c>
      <c r="DQ41">
        <v>1762107476.6</v>
      </c>
      <c r="DR41">
        <v>422.2714375</v>
      </c>
      <c r="DS41">
        <v>419.9854375</v>
      </c>
      <c r="DT41">
        <v>23.49334375</v>
      </c>
      <c r="DU41">
        <v>20.2834</v>
      </c>
      <c r="DV41">
        <v>413.9426875</v>
      </c>
      <c r="DW41">
        <v>23.1639875</v>
      </c>
      <c r="DX41">
        <v>499.9603125</v>
      </c>
      <c r="DY41">
        <v>90.822675</v>
      </c>
      <c r="DZ41">
        <v>0.028428025</v>
      </c>
      <c r="EA41">
        <v>46.06621875</v>
      </c>
      <c r="EB41">
        <v>44.991125</v>
      </c>
      <c r="EC41">
        <v>999.9</v>
      </c>
      <c r="ED41">
        <v>0</v>
      </c>
      <c r="EE41">
        <v>0</v>
      </c>
      <c r="EF41">
        <v>9992.61375</v>
      </c>
      <c r="EG41">
        <v>0</v>
      </c>
      <c r="EH41">
        <v>1126.99</v>
      </c>
      <c r="EI41">
        <v>2.28606125</v>
      </c>
      <c r="EJ41">
        <v>432.4306875</v>
      </c>
      <c r="EK41">
        <v>428.680625</v>
      </c>
      <c r="EL41">
        <v>3.209954375</v>
      </c>
      <c r="EM41">
        <v>419.9854375</v>
      </c>
      <c r="EN41">
        <v>20.2834</v>
      </c>
      <c r="EO41">
        <v>2.1337275</v>
      </c>
      <c r="EP41">
        <v>1.842190625</v>
      </c>
      <c r="EQ41">
        <v>18.4732125</v>
      </c>
      <c r="ER41">
        <v>16.14945625</v>
      </c>
      <c r="ES41">
        <v>900.007625</v>
      </c>
      <c r="ET41">
        <v>0.9559875625</v>
      </c>
      <c r="EU41">
        <v>0.0440125375</v>
      </c>
      <c r="EV41">
        <v>0</v>
      </c>
      <c r="EW41">
        <v>1063.160625</v>
      </c>
      <c r="EX41">
        <v>5.00016</v>
      </c>
      <c r="EY41">
        <v>9670.56</v>
      </c>
      <c r="EZ41">
        <v>8115.81875</v>
      </c>
      <c r="FA41">
        <v>44.1715</v>
      </c>
      <c r="FB41">
        <v>46.2459375</v>
      </c>
      <c r="FC41">
        <v>45.152125</v>
      </c>
      <c r="FD41">
        <v>45.9996875</v>
      </c>
      <c r="FE41">
        <v>47.937</v>
      </c>
      <c r="FF41">
        <v>855.615625</v>
      </c>
      <c r="FG41">
        <v>39.388125</v>
      </c>
      <c r="FH41">
        <v>0</v>
      </c>
      <c r="FI41">
        <v>98.4000000953674</v>
      </c>
      <c r="FJ41">
        <v>0</v>
      </c>
      <c r="FK41">
        <v>1063.1768</v>
      </c>
      <c r="FL41">
        <v>0.792307699949789</v>
      </c>
      <c r="FM41">
        <v>9.11461530343532</v>
      </c>
      <c r="FN41">
        <v>9670.6</v>
      </c>
      <c r="FO41">
        <v>15</v>
      </c>
      <c r="FP41">
        <v>0</v>
      </c>
      <c r="FQ41" t="s">
        <v>441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2.2564980952381</v>
      </c>
      <c r="GD41">
        <v>0.219693506493506</v>
      </c>
      <c r="GE41">
        <v>0.0738660768597981</v>
      </c>
      <c r="GF41">
        <v>1</v>
      </c>
      <c r="GG41">
        <v>1063.11411764706</v>
      </c>
      <c r="GH41">
        <v>0.571428567754095</v>
      </c>
      <c r="GI41">
        <v>0.215612910874184</v>
      </c>
      <c r="GJ41">
        <v>-1</v>
      </c>
      <c r="GK41">
        <v>3.21766190476191</v>
      </c>
      <c r="GL41">
        <v>-0.124317662337659</v>
      </c>
      <c r="GM41">
        <v>0.0126389423227796</v>
      </c>
      <c r="GN41">
        <v>0</v>
      </c>
      <c r="GO41">
        <v>1</v>
      </c>
      <c r="GP41">
        <v>2</v>
      </c>
      <c r="GQ41" t="s">
        <v>458</v>
      </c>
      <c r="GR41">
        <v>3.12439</v>
      </c>
      <c r="GS41">
        <v>2.65386</v>
      </c>
      <c r="GT41">
        <v>0.0878322</v>
      </c>
      <c r="GU41">
        <v>0.0887281</v>
      </c>
      <c r="GV41">
        <v>0.0989992</v>
      </c>
      <c r="GW41">
        <v>0.089565</v>
      </c>
      <c r="GX41">
        <v>23221.8</v>
      </c>
      <c r="GY41">
        <v>22010.6</v>
      </c>
      <c r="GZ41">
        <v>22791.3</v>
      </c>
      <c r="HA41">
        <v>23545.5</v>
      </c>
      <c r="HB41">
        <v>35048.6</v>
      </c>
      <c r="HC41">
        <v>35498.4</v>
      </c>
      <c r="HD41">
        <v>41146</v>
      </c>
      <c r="HE41">
        <v>42014.4</v>
      </c>
      <c r="HF41">
        <v>1.83935</v>
      </c>
      <c r="HG41">
        <v>2.26253</v>
      </c>
      <c r="HH41">
        <v>0.388816</v>
      </c>
      <c r="HI41">
        <v>0</v>
      </c>
      <c r="HJ41">
        <v>38.7505</v>
      </c>
      <c r="HK41">
        <v>999.9</v>
      </c>
      <c r="HL41">
        <v>49.225</v>
      </c>
      <c r="HM41">
        <v>28.117</v>
      </c>
      <c r="HN41">
        <v>20.7077</v>
      </c>
      <c r="HO41">
        <v>54.8793</v>
      </c>
      <c r="HP41">
        <v>24.4311</v>
      </c>
      <c r="HQ41">
        <v>2</v>
      </c>
      <c r="HR41">
        <v>0.478849</v>
      </c>
      <c r="HS41">
        <v>-6.66667</v>
      </c>
      <c r="HT41">
        <v>20.1137</v>
      </c>
      <c r="HU41">
        <v>5.23526</v>
      </c>
      <c r="HV41">
        <v>11.998</v>
      </c>
      <c r="HW41">
        <v>4.95575</v>
      </c>
      <c r="HX41">
        <v>3.304</v>
      </c>
      <c r="HY41">
        <v>9999</v>
      </c>
      <c r="HZ41">
        <v>999.9</v>
      </c>
      <c r="IA41">
        <v>9999</v>
      </c>
      <c r="IB41">
        <v>9999</v>
      </c>
      <c r="IC41">
        <v>1.86845</v>
      </c>
      <c r="ID41">
        <v>1.86417</v>
      </c>
      <c r="IE41">
        <v>1.8718</v>
      </c>
      <c r="IF41">
        <v>1.86264</v>
      </c>
      <c r="IG41">
        <v>1.86203</v>
      </c>
      <c r="IH41">
        <v>1.86857</v>
      </c>
      <c r="II41">
        <v>1.85867</v>
      </c>
      <c r="IJ41">
        <v>1.86508</v>
      </c>
      <c r="IK41">
        <v>5</v>
      </c>
      <c r="IL41">
        <v>0</v>
      </c>
      <c r="IM41">
        <v>0</v>
      </c>
      <c r="IN41">
        <v>0</v>
      </c>
      <c r="IO41" t="s">
        <v>443</v>
      </c>
      <c r="IP41" t="s">
        <v>444</v>
      </c>
      <c r="IQ41" t="s">
        <v>445</v>
      </c>
      <c r="IR41" t="s">
        <v>445</v>
      </c>
      <c r="IS41" t="s">
        <v>445</v>
      </c>
      <c r="IT41" t="s">
        <v>445</v>
      </c>
      <c r="IU41">
        <v>0</v>
      </c>
      <c r="IV41">
        <v>100</v>
      </c>
      <c r="IW41">
        <v>100</v>
      </c>
      <c r="IX41">
        <v>8.329</v>
      </c>
      <c r="IY41">
        <v>0.3294</v>
      </c>
      <c r="IZ41">
        <v>5.63042802259986</v>
      </c>
      <c r="JA41">
        <v>0.00813484245791346</v>
      </c>
      <c r="JB41">
        <v>-4.34547228418155e-06</v>
      </c>
      <c r="JC41">
        <v>1.0644471544636e-09</v>
      </c>
      <c r="JD41">
        <v>0.329354282981013</v>
      </c>
      <c r="JE41">
        <v>0</v>
      </c>
      <c r="JF41">
        <v>0</v>
      </c>
      <c r="JG41">
        <v>0</v>
      </c>
      <c r="JH41">
        <v>-3</v>
      </c>
      <c r="JI41">
        <v>2169</v>
      </c>
      <c r="JJ41">
        <v>1</v>
      </c>
      <c r="JK41">
        <v>22</v>
      </c>
      <c r="JL41">
        <v>29368458.1</v>
      </c>
      <c r="JM41">
        <v>29368458.1</v>
      </c>
      <c r="JN41">
        <v>1.31592</v>
      </c>
      <c r="JO41">
        <v>2.3645</v>
      </c>
      <c r="JP41">
        <v>2.09839</v>
      </c>
      <c r="JQ41">
        <v>2.64648</v>
      </c>
      <c r="JR41">
        <v>2.24365</v>
      </c>
      <c r="JS41">
        <v>2.27661</v>
      </c>
      <c r="JT41">
        <v>35.1055</v>
      </c>
      <c r="JU41">
        <v>24.2101</v>
      </c>
      <c r="JV41">
        <v>18</v>
      </c>
      <c r="JW41">
        <v>553.963</v>
      </c>
      <c r="JX41">
        <v>858.546</v>
      </c>
      <c r="JY41">
        <v>55.0699</v>
      </c>
      <c r="JZ41">
        <v>34.2752</v>
      </c>
      <c r="KA41">
        <v>29.9968</v>
      </c>
      <c r="KB41">
        <v>34.2696</v>
      </c>
      <c r="KC41">
        <v>34.3685</v>
      </c>
      <c r="KD41">
        <v>26.3672</v>
      </c>
      <c r="KE41">
        <v>0</v>
      </c>
      <c r="KF41">
        <v>100</v>
      </c>
      <c r="KG41">
        <v>91.2677</v>
      </c>
      <c r="KH41">
        <v>420</v>
      </c>
      <c r="KI41">
        <v>23.2649</v>
      </c>
      <c r="KJ41">
        <v>92.1733</v>
      </c>
      <c r="KK41">
        <v>97.8957</v>
      </c>
    </row>
    <row r="42" spans="1:297">
      <c r="A42">
        <v>26</v>
      </c>
      <c r="B42">
        <v>1762107586.1</v>
      </c>
      <c r="C42">
        <v>6155</v>
      </c>
      <c r="D42" t="s">
        <v>545</v>
      </c>
      <c r="E42" t="s">
        <v>546</v>
      </c>
      <c r="F42">
        <v>5</v>
      </c>
      <c r="G42" t="s">
        <v>526</v>
      </c>
      <c r="H42" t="s">
        <v>436</v>
      </c>
      <c r="I42">
        <v>1762107577.6</v>
      </c>
      <c r="J42">
        <f>(K42)/1000</f>
        <v>0</v>
      </c>
      <c r="K42">
        <f>IF(DP42, AN42, AH42)</f>
        <v>0</v>
      </c>
      <c r="L42">
        <f>IF(DP42, AI42, AG42)</f>
        <v>0</v>
      </c>
      <c r="M42">
        <f>DR42 - IF(AU42&gt;1, L42*DL42*100.0/(AW42), 0)</f>
        <v>0</v>
      </c>
      <c r="N42">
        <f>((T42-J42/2)*M42-L42)/(T42+J42/2)</f>
        <v>0</v>
      </c>
      <c r="O42">
        <f>N42*(DY42+DZ42)/1000.0</f>
        <v>0</v>
      </c>
      <c r="P42">
        <f>(DR42 - IF(AU42&gt;1, L42*DL42*100.0/(AW42), 0))*(DY42+DZ42)/1000.0</f>
        <v>0</v>
      </c>
      <c r="Q42">
        <f>2.0/((1/S42-1/R42)+SIGN(S42)*SQRT((1/S42-1/R42)*(1/S42-1/R42) + 4*DM42/((DM42+1)*(DM42+1))*(2*1/S42*1/R42-1/R42*1/R42)))</f>
        <v>0</v>
      </c>
      <c r="R42">
        <f>IF(LEFT(DN42,1)&lt;&gt;"0",IF(LEFT(DN42,1)="1",3.0,DO42),$D$5+$E$5*(EF42*DY42/($K$5*1000))+$F$5*(EF42*DY42/($K$5*1000))*MAX(MIN(DL42,$J$5),$I$5)*MAX(MIN(DL42,$J$5),$I$5)+$G$5*MAX(MIN(DL42,$J$5),$I$5)*(EF42*DY42/($K$5*1000))+$H$5*(EF42*DY42/($K$5*1000))*(EF42*DY42/($K$5*1000)))</f>
        <v>0</v>
      </c>
      <c r="S42">
        <f>J42*(1000-(1000*0.61365*exp(17.502*W42/(240.97+W42))/(DY42+DZ42)+DT42)/2)/(1000*0.61365*exp(17.502*W42/(240.97+W42))/(DY42+DZ42)-DT42)</f>
        <v>0</v>
      </c>
      <c r="T42">
        <f>1/((DM42+1)/(Q42/1.6)+1/(R42/1.37)) + DM42/((DM42+1)/(Q42/1.6) + DM42/(R42/1.37))</f>
        <v>0</v>
      </c>
      <c r="U42">
        <f>(DH42*DK42)</f>
        <v>0</v>
      </c>
      <c r="V42">
        <f>(EA42+(U42+2*0.95*5.67E-8*(((EA42+$B$7)+273)^4-(EA42+273)^4)-44100*J42)/(1.84*29.3*R42+8*0.95*5.67E-8*(EA42+273)^3))</f>
        <v>0</v>
      </c>
      <c r="W42">
        <f>($C$7*EB42+$D$7*EC42+$E$7*V42)</f>
        <v>0</v>
      </c>
      <c r="X42">
        <f>0.61365*exp(17.502*W42/(240.97+W42))</f>
        <v>0</v>
      </c>
      <c r="Y42">
        <f>(Z42/AA42*100)</f>
        <v>0</v>
      </c>
      <c r="Z42">
        <f>DT42*(DY42+DZ42)/1000</f>
        <v>0</v>
      </c>
      <c r="AA42">
        <f>0.61365*exp(17.502*EA42/(240.97+EA42))</f>
        <v>0</v>
      </c>
      <c r="AB42">
        <f>(X42-DT42*(DY42+DZ42)/1000)</f>
        <v>0</v>
      </c>
      <c r="AC42">
        <f>(-J42*44100)</f>
        <v>0</v>
      </c>
      <c r="AD42">
        <f>2*29.3*R42*0.92*(EA42-W42)</f>
        <v>0</v>
      </c>
      <c r="AE42">
        <f>2*0.95*5.67E-8*(((EA42+$B$7)+273)^4-(W42+273)^4)</f>
        <v>0</v>
      </c>
      <c r="AF42">
        <f>U42+AE42+AC42+AD42</f>
        <v>0</v>
      </c>
      <c r="AG42">
        <f>DX42*AU42*(DS42-DR42*(1000-AU42*DU42)/(1000-AU42*DT42))/(100*DL42)</f>
        <v>0</v>
      </c>
      <c r="AH42">
        <f>1000*DX42*AU42*(DT42-DU42)/(100*DL42*(1000-AU42*DT42))</f>
        <v>0</v>
      </c>
      <c r="AI42">
        <f>(AJ42 - AK42 - DY42*1E3/(8.314*(EA42+273.15)) * AM42/DX42 * AL42) * DX42/(100*DL42) * (1000 - DU42)/1000</f>
        <v>0</v>
      </c>
      <c r="AJ42">
        <v>428.742690721443</v>
      </c>
      <c r="AK42">
        <v>432.145187878788</v>
      </c>
      <c r="AL42">
        <v>-0.00704340776468002</v>
      </c>
      <c r="AM42">
        <v>64.0651673644868</v>
      </c>
      <c r="AN42">
        <f>(AP42 - AO42 + DY42*1E3/(8.314*(EA42+273.15)) * AR42/DX42 * AQ42) * DX42/(100*DL42) * 1000/(1000 - AP42)</f>
        <v>0</v>
      </c>
      <c r="AO42">
        <v>20.3337294711138</v>
      </c>
      <c r="AP42">
        <v>23.2116006060606</v>
      </c>
      <c r="AQ42">
        <v>-5.50634667286979e-05</v>
      </c>
      <c r="AR42">
        <v>103.142150156785</v>
      </c>
      <c r="AS42">
        <v>0</v>
      </c>
      <c r="AT42">
        <v>0</v>
      </c>
      <c r="AU42">
        <f>IF(AS42*$H$13&gt;=AW42,1.0,(AW42/(AW42-AS42*$H$13)))</f>
        <v>0</v>
      </c>
      <c r="AV42">
        <f>(AU42-1)*100</f>
        <v>0</v>
      </c>
      <c r="AW42">
        <f>MAX(0,($B$13+$C$13*EF42)/(1+$D$13*EF42)*DY42/(EA42+273)*$E$13)</f>
        <v>0</v>
      </c>
      <c r="AX42" t="s">
        <v>523</v>
      </c>
      <c r="AY42">
        <v>5062.95</v>
      </c>
      <c r="AZ42">
        <v>940.268</v>
      </c>
      <c r="BA42">
        <v>1227.26</v>
      </c>
      <c r="BB42">
        <f>1-AZ42/BA42</f>
        <v>0</v>
      </c>
      <c r="BC42">
        <v>-7.45265964798859</v>
      </c>
      <c r="BD42" t="s">
        <v>547</v>
      </c>
      <c r="BE42">
        <v>5144.08</v>
      </c>
      <c r="BF42">
        <v>1040.26384615385</v>
      </c>
      <c r="BG42">
        <v>1140.39779994734</v>
      </c>
      <c r="BH42">
        <f>1-BF42/BG42</f>
        <v>0</v>
      </c>
      <c r="BI42">
        <v>0.5</v>
      </c>
      <c r="BJ42">
        <f>DI42</f>
        <v>0</v>
      </c>
      <c r="BK42">
        <f>L42</f>
        <v>0</v>
      </c>
      <c r="BL42">
        <f>BH42*BI42*BJ42</f>
        <v>0</v>
      </c>
      <c r="BM42">
        <f>(BK42-BC42)/BJ42</f>
        <v>0</v>
      </c>
      <c r="BN42">
        <f>(BA42-BG42)/BG42</f>
        <v>0</v>
      </c>
      <c r="BO42">
        <f>AZ42/(BB42+AZ42/BG42)</f>
        <v>0</v>
      </c>
      <c r="BP42" t="s">
        <v>548</v>
      </c>
      <c r="BQ42">
        <v>881.4</v>
      </c>
      <c r="BR42">
        <f>IF(BQ42&lt;&gt;0, BQ42, BO42)</f>
        <v>0</v>
      </c>
      <c r="BS42">
        <f>1-BR42/BG42</f>
        <v>0</v>
      </c>
      <c r="BT42">
        <f>(BG42-BF42)/(BG42-BR42)</f>
        <v>0</v>
      </c>
      <c r="BU42">
        <f>(BA42-BG42)/(BA42-BR42)</f>
        <v>0</v>
      </c>
      <c r="BV42">
        <f>(BG42-BF42)/(BG42-AZ42)</f>
        <v>0</v>
      </c>
      <c r="BW42">
        <f>(BA42-BG42)/(BA42-AZ42)</f>
        <v>0</v>
      </c>
      <c r="BX42">
        <f>(BT42*BR42/BF42)</f>
        <v>0</v>
      </c>
      <c r="BY42">
        <f>(1-BX42)</f>
        <v>0</v>
      </c>
      <c r="BZ42">
        <v>842</v>
      </c>
      <c r="CA42">
        <v>290</v>
      </c>
      <c r="CB42">
        <v>1123.45</v>
      </c>
      <c r="CC42">
        <v>235</v>
      </c>
      <c r="CD42">
        <v>5144.08</v>
      </c>
      <c r="CE42">
        <v>1122.74</v>
      </c>
      <c r="CF42">
        <v>0.71</v>
      </c>
      <c r="CG42">
        <v>300</v>
      </c>
      <c r="CH42">
        <v>23.9</v>
      </c>
      <c r="CI42">
        <v>1140.39779994734</v>
      </c>
      <c r="CJ42">
        <v>1.49222469669355</v>
      </c>
      <c r="CK42">
        <v>-9.08260668510599</v>
      </c>
      <c r="CL42">
        <v>0.677699061662824</v>
      </c>
      <c r="CM42">
        <v>0.865136233167721</v>
      </c>
      <c r="CN42">
        <v>-0.00376004204671858</v>
      </c>
      <c r="CO42">
        <v>290</v>
      </c>
      <c r="CP42">
        <v>1122.13</v>
      </c>
      <c r="CQ42">
        <v>665</v>
      </c>
      <c r="CR42">
        <v>5142.01</v>
      </c>
      <c r="CS42">
        <v>1122.73</v>
      </c>
      <c r="CT42">
        <v>-0.6</v>
      </c>
      <c r="DH42">
        <f>$B$11*EG42+$C$11*EH42+$F$11*ES42*(1-EV42)</f>
        <v>0</v>
      </c>
      <c r="DI42">
        <f>DH42*DJ42</f>
        <v>0</v>
      </c>
      <c r="DJ42">
        <f>($B$11*$D$9+$C$11*$D$9+$F$11*((FF42+EX42)/MAX(FF42+EX42+FG42, 0.1)*$I$9+FG42/MAX(FF42+EX42+FG42, 0.1)*$J$9))/($B$11+$C$11+$F$11)</f>
        <v>0</v>
      </c>
      <c r="DK42">
        <f>($B$11*$K$9+$C$11*$K$9+$F$11*((FF42+EX42)/MAX(FF42+EX42+FG42, 0.1)*$P$9+FG42/MAX(FF42+EX42+FG42, 0.1)*$Q$9))/($B$11+$C$11+$F$11)</f>
        <v>0</v>
      </c>
      <c r="DL42">
        <v>6</v>
      </c>
      <c r="DM42">
        <v>0.5</v>
      </c>
      <c r="DN42" t="s">
        <v>440</v>
      </c>
      <c r="DO42">
        <v>2</v>
      </c>
      <c r="DP42" t="b">
        <v>1</v>
      </c>
      <c r="DQ42">
        <v>1762107577.6</v>
      </c>
      <c r="DR42">
        <v>422.1935625</v>
      </c>
      <c r="DS42">
        <v>420.0121875</v>
      </c>
      <c r="DT42">
        <v>23.22023125</v>
      </c>
      <c r="DU42">
        <v>20.3310125</v>
      </c>
      <c r="DV42">
        <v>413.86525</v>
      </c>
      <c r="DW42">
        <v>22.89090625</v>
      </c>
      <c r="DX42">
        <v>499.95725</v>
      </c>
      <c r="DY42">
        <v>90.80688125</v>
      </c>
      <c r="DZ42">
        <v>0.02728454375</v>
      </c>
      <c r="EA42">
        <v>45.57161875</v>
      </c>
      <c r="EB42">
        <v>44.30436875</v>
      </c>
      <c r="EC42">
        <v>999.9</v>
      </c>
      <c r="ED42">
        <v>0</v>
      </c>
      <c r="EE42">
        <v>0</v>
      </c>
      <c r="EF42">
        <v>10006.683125</v>
      </c>
      <c r="EG42">
        <v>0</v>
      </c>
      <c r="EH42">
        <v>1128.283125</v>
      </c>
      <c r="EI42">
        <v>2.18136</v>
      </c>
      <c r="EJ42">
        <v>432.2300625</v>
      </c>
      <c r="EK42">
        <v>428.728625</v>
      </c>
      <c r="EL42">
        <v>2.889223125</v>
      </c>
      <c r="EM42">
        <v>420.0121875</v>
      </c>
      <c r="EN42">
        <v>20.3310125</v>
      </c>
      <c r="EO42">
        <v>2.108558125</v>
      </c>
      <c r="EP42">
        <v>1.84619625</v>
      </c>
      <c r="EQ42">
        <v>18.2839875</v>
      </c>
      <c r="ER42">
        <v>16.1835125</v>
      </c>
      <c r="ES42">
        <v>600.0241875</v>
      </c>
      <c r="ET42">
        <v>0.932996625</v>
      </c>
      <c r="EU42">
        <v>0.06700334375</v>
      </c>
      <c r="EV42">
        <v>0</v>
      </c>
      <c r="EW42">
        <v>1040.2675</v>
      </c>
      <c r="EX42">
        <v>5.00016</v>
      </c>
      <c r="EY42">
        <v>6329.27125</v>
      </c>
      <c r="EZ42">
        <v>5354.548125</v>
      </c>
      <c r="FA42">
        <v>44.125</v>
      </c>
      <c r="FB42">
        <v>46.5895625</v>
      </c>
      <c r="FC42">
        <v>45.3631875</v>
      </c>
      <c r="FD42">
        <v>46.503875</v>
      </c>
      <c r="FE42">
        <v>47.9881875</v>
      </c>
      <c r="FF42">
        <v>555.155625</v>
      </c>
      <c r="FG42">
        <v>39.870625</v>
      </c>
      <c r="FH42">
        <v>0</v>
      </c>
      <c r="FI42">
        <v>98</v>
      </c>
      <c r="FJ42">
        <v>0</v>
      </c>
      <c r="FK42">
        <v>1040.26384615385</v>
      </c>
      <c r="FL42">
        <v>1.97880341669679</v>
      </c>
      <c r="FM42">
        <v>8.05743587029113</v>
      </c>
      <c r="FN42">
        <v>6329.15461538461</v>
      </c>
      <c r="FO42">
        <v>15</v>
      </c>
      <c r="FP42">
        <v>0</v>
      </c>
      <c r="FQ42" t="s">
        <v>441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2.20864761904762</v>
      </c>
      <c r="GD42">
        <v>-0.55872623376623</v>
      </c>
      <c r="GE42">
        <v>0.0767091759523164</v>
      </c>
      <c r="GF42">
        <v>0</v>
      </c>
      <c r="GG42">
        <v>1040.18352941176</v>
      </c>
      <c r="GH42">
        <v>1.41359816198919</v>
      </c>
      <c r="GI42">
        <v>0.22885755077496</v>
      </c>
      <c r="GJ42">
        <v>-1</v>
      </c>
      <c r="GK42">
        <v>2.8940880952381</v>
      </c>
      <c r="GL42">
        <v>-0.112408051948047</v>
      </c>
      <c r="GM42">
        <v>0.0114611495388916</v>
      </c>
      <c r="GN42">
        <v>0</v>
      </c>
      <c r="GO42">
        <v>0</v>
      </c>
      <c r="GP42">
        <v>2</v>
      </c>
      <c r="GQ42" t="s">
        <v>488</v>
      </c>
      <c r="GR42">
        <v>3.12445</v>
      </c>
      <c r="GS42">
        <v>2.65307</v>
      </c>
      <c r="GT42">
        <v>0.0879741</v>
      </c>
      <c r="GU42">
        <v>0.0888959</v>
      </c>
      <c r="GV42">
        <v>0.0983507</v>
      </c>
      <c r="GW42">
        <v>0.0898698</v>
      </c>
      <c r="GX42">
        <v>23262.5</v>
      </c>
      <c r="GY42">
        <v>22041.5</v>
      </c>
      <c r="GZ42">
        <v>22831.7</v>
      </c>
      <c r="HA42">
        <v>23579.7</v>
      </c>
      <c r="HB42">
        <v>35127.8</v>
      </c>
      <c r="HC42">
        <v>35533.7</v>
      </c>
      <c r="HD42">
        <v>41209.9</v>
      </c>
      <c r="HE42">
        <v>42069.3</v>
      </c>
      <c r="HF42">
        <v>1.84655</v>
      </c>
      <c r="HG42">
        <v>2.27428</v>
      </c>
      <c r="HH42">
        <v>0.366975</v>
      </c>
      <c r="HI42">
        <v>0</v>
      </c>
      <c r="HJ42">
        <v>38.409</v>
      </c>
      <c r="HK42">
        <v>999.9</v>
      </c>
      <c r="HL42">
        <v>49.249</v>
      </c>
      <c r="HM42">
        <v>28.107</v>
      </c>
      <c r="HN42">
        <v>20.7098</v>
      </c>
      <c r="HO42">
        <v>54.7093</v>
      </c>
      <c r="HP42">
        <v>24.5473</v>
      </c>
      <c r="HQ42">
        <v>2</v>
      </c>
      <c r="HR42">
        <v>0.420595</v>
      </c>
      <c r="HS42">
        <v>-6.66667</v>
      </c>
      <c r="HT42">
        <v>20.1166</v>
      </c>
      <c r="HU42">
        <v>5.23466</v>
      </c>
      <c r="HV42">
        <v>11.998</v>
      </c>
      <c r="HW42">
        <v>4.95575</v>
      </c>
      <c r="HX42">
        <v>3.304</v>
      </c>
      <c r="HY42">
        <v>9999</v>
      </c>
      <c r="HZ42">
        <v>999.9</v>
      </c>
      <c r="IA42">
        <v>9999</v>
      </c>
      <c r="IB42">
        <v>9999</v>
      </c>
      <c r="IC42">
        <v>1.86845</v>
      </c>
      <c r="ID42">
        <v>1.86417</v>
      </c>
      <c r="IE42">
        <v>1.8718</v>
      </c>
      <c r="IF42">
        <v>1.86264</v>
      </c>
      <c r="IG42">
        <v>1.86203</v>
      </c>
      <c r="IH42">
        <v>1.86854</v>
      </c>
      <c r="II42">
        <v>1.85866</v>
      </c>
      <c r="IJ42">
        <v>1.86505</v>
      </c>
      <c r="IK42">
        <v>5</v>
      </c>
      <c r="IL42">
        <v>0</v>
      </c>
      <c r="IM42">
        <v>0</v>
      </c>
      <c r="IN42">
        <v>0</v>
      </c>
      <c r="IO42" t="s">
        <v>443</v>
      </c>
      <c r="IP42" t="s">
        <v>444</v>
      </c>
      <c r="IQ42" t="s">
        <v>445</v>
      </c>
      <c r="IR42" t="s">
        <v>445</v>
      </c>
      <c r="IS42" t="s">
        <v>445</v>
      </c>
      <c r="IT42" t="s">
        <v>445</v>
      </c>
      <c r="IU42">
        <v>0</v>
      </c>
      <c r="IV42">
        <v>100</v>
      </c>
      <c r="IW42">
        <v>100</v>
      </c>
      <c r="IX42">
        <v>8.328</v>
      </c>
      <c r="IY42">
        <v>0.3294</v>
      </c>
      <c r="IZ42">
        <v>5.63042802259986</v>
      </c>
      <c r="JA42">
        <v>0.00813484245791346</v>
      </c>
      <c r="JB42">
        <v>-4.34547228418155e-06</v>
      </c>
      <c r="JC42">
        <v>1.0644471544636e-09</v>
      </c>
      <c r="JD42">
        <v>0.329354282981013</v>
      </c>
      <c r="JE42">
        <v>0</v>
      </c>
      <c r="JF42">
        <v>0</v>
      </c>
      <c r="JG42">
        <v>0</v>
      </c>
      <c r="JH42">
        <v>-3</v>
      </c>
      <c r="JI42">
        <v>2169</v>
      </c>
      <c r="JJ42">
        <v>1</v>
      </c>
      <c r="JK42">
        <v>22</v>
      </c>
      <c r="JL42">
        <v>29368459.8</v>
      </c>
      <c r="JM42">
        <v>29368459.8</v>
      </c>
      <c r="JN42">
        <v>1.3147</v>
      </c>
      <c r="JO42">
        <v>2.36206</v>
      </c>
      <c r="JP42">
        <v>2.09839</v>
      </c>
      <c r="JQ42">
        <v>2.64771</v>
      </c>
      <c r="JR42">
        <v>2.24365</v>
      </c>
      <c r="JS42">
        <v>2.27417</v>
      </c>
      <c r="JT42">
        <v>35.1286</v>
      </c>
      <c r="JU42">
        <v>24.2188</v>
      </c>
      <c r="JV42">
        <v>18</v>
      </c>
      <c r="JW42">
        <v>552.612</v>
      </c>
      <c r="JX42">
        <v>859.612</v>
      </c>
      <c r="JY42">
        <v>54.7242</v>
      </c>
      <c r="JZ42">
        <v>33.5264</v>
      </c>
      <c r="KA42">
        <v>29.9977</v>
      </c>
      <c r="KB42">
        <v>33.4695</v>
      </c>
      <c r="KC42">
        <v>33.5631</v>
      </c>
      <c r="KD42">
        <v>26.3529</v>
      </c>
      <c r="KE42">
        <v>0</v>
      </c>
      <c r="KF42">
        <v>100</v>
      </c>
      <c r="KG42">
        <v>99.4479</v>
      </c>
      <c r="KH42">
        <v>420</v>
      </c>
      <c r="KI42">
        <v>23.2649</v>
      </c>
      <c r="KJ42">
        <v>92.3237</v>
      </c>
      <c r="KK42">
        <v>98.0286</v>
      </c>
    </row>
    <row r="43" spans="1:297">
      <c r="A43">
        <v>27</v>
      </c>
      <c r="B43">
        <v>1762107687.1</v>
      </c>
      <c r="C43">
        <v>6256</v>
      </c>
      <c r="D43" t="s">
        <v>549</v>
      </c>
      <c r="E43" t="s">
        <v>550</v>
      </c>
      <c r="F43">
        <v>5</v>
      </c>
      <c r="G43" t="s">
        <v>526</v>
      </c>
      <c r="H43" t="s">
        <v>436</v>
      </c>
      <c r="I43">
        <v>1762107678.6</v>
      </c>
      <c r="J43">
        <f>(K43)/1000</f>
        <v>0</v>
      </c>
      <c r="K43">
        <f>IF(DP43, AN43, AH43)</f>
        <v>0</v>
      </c>
      <c r="L43">
        <f>IF(DP43, AI43, AG43)</f>
        <v>0</v>
      </c>
      <c r="M43">
        <f>DR43 - IF(AU43&gt;1, L43*DL43*100.0/(AW43), 0)</f>
        <v>0</v>
      </c>
      <c r="N43">
        <f>((T43-J43/2)*M43-L43)/(T43+J43/2)</f>
        <v>0</v>
      </c>
      <c r="O43">
        <f>N43*(DY43+DZ43)/1000.0</f>
        <v>0</v>
      </c>
      <c r="P43">
        <f>(DR43 - IF(AU43&gt;1, L43*DL43*100.0/(AW43), 0))*(DY43+DZ43)/1000.0</f>
        <v>0</v>
      </c>
      <c r="Q43">
        <f>2.0/((1/S43-1/R43)+SIGN(S43)*SQRT((1/S43-1/R43)*(1/S43-1/R43) + 4*DM43/((DM43+1)*(DM43+1))*(2*1/S43*1/R43-1/R43*1/R43)))</f>
        <v>0</v>
      </c>
      <c r="R43">
        <f>IF(LEFT(DN43,1)&lt;&gt;"0",IF(LEFT(DN43,1)="1",3.0,DO43),$D$5+$E$5*(EF43*DY43/($K$5*1000))+$F$5*(EF43*DY43/($K$5*1000))*MAX(MIN(DL43,$J$5),$I$5)*MAX(MIN(DL43,$J$5),$I$5)+$G$5*MAX(MIN(DL43,$J$5),$I$5)*(EF43*DY43/($K$5*1000))+$H$5*(EF43*DY43/($K$5*1000))*(EF43*DY43/($K$5*1000)))</f>
        <v>0</v>
      </c>
      <c r="S43">
        <f>J43*(1000-(1000*0.61365*exp(17.502*W43/(240.97+W43))/(DY43+DZ43)+DT43)/2)/(1000*0.61365*exp(17.502*W43/(240.97+W43))/(DY43+DZ43)-DT43)</f>
        <v>0</v>
      </c>
      <c r="T43">
        <f>1/((DM43+1)/(Q43/1.6)+1/(R43/1.37)) + DM43/((DM43+1)/(Q43/1.6) + DM43/(R43/1.37))</f>
        <v>0</v>
      </c>
      <c r="U43">
        <f>(DH43*DK43)</f>
        <v>0</v>
      </c>
      <c r="V43">
        <f>(EA43+(U43+2*0.95*5.67E-8*(((EA43+$B$7)+273)^4-(EA43+273)^4)-44100*J43)/(1.84*29.3*R43+8*0.95*5.67E-8*(EA43+273)^3))</f>
        <v>0</v>
      </c>
      <c r="W43">
        <f>($C$7*EB43+$D$7*EC43+$E$7*V43)</f>
        <v>0</v>
      </c>
      <c r="X43">
        <f>0.61365*exp(17.502*W43/(240.97+W43))</f>
        <v>0</v>
      </c>
      <c r="Y43">
        <f>(Z43/AA43*100)</f>
        <v>0</v>
      </c>
      <c r="Z43">
        <f>DT43*(DY43+DZ43)/1000</f>
        <v>0</v>
      </c>
      <c r="AA43">
        <f>0.61365*exp(17.502*EA43/(240.97+EA43))</f>
        <v>0</v>
      </c>
      <c r="AB43">
        <f>(X43-DT43*(DY43+DZ43)/1000)</f>
        <v>0</v>
      </c>
      <c r="AC43">
        <f>(-J43*44100)</f>
        <v>0</v>
      </c>
      <c r="AD43">
        <f>2*29.3*R43*0.92*(EA43-W43)</f>
        <v>0</v>
      </c>
      <c r="AE43">
        <f>2*0.95*5.67E-8*(((EA43+$B$7)+273)^4-(W43+273)^4)</f>
        <v>0</v>
      </c>
      <c r="AF43">
        <f>U43+AE43+AC43+AD43</f>
        <v>0</v>
      </c>
      <c r="AG43">
        <f>DX43*AU43*(DS43-DR43*(1000-AU43*DU43)/(1000-AU43*DT43))/(100*DL43)</f>
        <v>0</v>
      </c>
      <c r="AH43">
        <f>1000*DX43*AU43*(DT43-DU43)/(100*DL43*(1000-AU43*DT43))</f>
        <v>0</v>
      </c>
      <c r="AI43">
        <f>(AJ43 - AK43 - DY43*1E3/(8.314*(EA43+273.15)) * AM43/DX43 * AL43) * DX43/(100*DL43) * (1000 - DU43)/1000</f>
        <v>0</v>
      </c>
      <c r="AJ43">
        <v>428.745395602807</v>
      </c>
      <c r="AK43">
        <v>432.5542</v>
      </c>
      <c r="AL43">
        <v>-0.00163552852811648</v>
      </c>
      <c r="AM43">
        <v>64.0651673644868</v>
      </c>
      <c r="AN43">
        <f>(AP43 - AO43 + DY43*1E3/(8.314*(EA43+273.15)) * AR43/DX43 * AQ43) * DX43/(100*DL43) * 1000/(1000 - AP43)</f>
        <v>0</v>
      </c>
      <c r="AO43">
        <v>20.3861746173171</v>
      </c>
      <c r="AP43">
        <v>22.9740484848485</v>
      </c>
      <c r="AQ43">
        <v>-5.22000355535697e-05</v>
      </c>
      <c r="AR43">
        <v>103.142150156785</v>
      </c>
      <c r="AS43">
        <v>0</v>
      </c>
      <c r="AT43">
        <v>0</v>
      </c>
      <c r="AU43">
        <f>IF(AS43*$H$13&gt;=AW43,1.0,(AW43/(AW43-AS43*$H$13)))</f>
        <v>0</v>
      </c>
      <c r="AV43">
        <f>(AU43-1)*100</f>
        <v>0</v>
      </c>
      <c r="AW43">
        <f>MAX(0,($B$13+$C$13*EF43)/(1+$D$13*EF43)*DY43/(EA43+273)*$E$13)</f>
        <v>0</v>
      </c>
      <c r="AX43" t="s">
        <v>523</v>
      </c>
      <c r="AY43">
        <v>5062.95</v>
      </c>
      <c r="AZ43">
        <v>940.268</v>
      </c>
      <c r="BA43">
        <v>1227.26</v>
      </c>
      <c r="BB43">
        <f>1-AZ43/BA43</f>
        <v>0</v>
      </c>
      <c r="BC43">
        <v>-7.45265964798859</v>
      </c>
      <c r="BD43" t="s">
        <v>551</v>
      </c>
      <c r="BE43">
        <v>5134.87</v>
      </c>
      <c r="BF43">
        <v>983.617769230769</v>
      </c>
      <c r="BG43">
        <v>1163.12276016303</v>
      </c>
      <c r="BH43">
        <f>1-BF43/BG43</f>
        <v>0</v>
      </c>
      <c r="BI43">
        <v>0.5</v>
      </c>
      <c r="BJ43">
        <f>DI43</f>
        <v>0</v>
      </c>
      <c r="BK43">
        <f>L43</f>
        <v>0</v>
      </c>
      <c r="BL43">
        <f>BH43*BI43*BJ43</f>
        <v>0</v>
      </c>
      <c r="BM43">
        <f>(BK43-BC43)/BJ43</f>
        <v>0</v>
      </c>
      <c r="BN43">
        <f>(BA43-BG43)/BG43</f>
        <v>0</v>
      </c>
      <c r="BO43">
        <f>AZ43/(BB43+AZ43/BG43)</f>
        <v>0</v>
      </c>
      <c r="BP43" t="s">
        <v>552</v>
      </c>
      <c r="BQ43">
        <v>876.87</v>
      </c>
      <c r="BR43">
        <f>IF(BQ43&lt;&gt;0, BQ43, BO43)</f>
        <v>0</v>
      </c>
      <c r="BS43">
        <f>1-BR43/BG43</f>
        <v>0</v>
      </c>
      <c r="BT43">
        <f>(BG43-BF43)/(BG43-BR43)</f>
        <v>0</v>
      </c>
      <c r="BU43">
        <f>(BA43-BG43)/(BA43-BR43)</f>
        <v>0</v>
      </c>
      <c r="BV43">
        <f>(BG43-BF43)/(BG43-AZ43)</f>
        <v>0</v>
      </c>
      <c r="BW43">
        <f>(BA43-BG43)/(BA43-AZ43)</f>
        <v>0</v>
      </c>
      <c r="BX43">
        <f>(BT43*BR43/BF43)</f>
        <v>0</v>
      </c>
      <c r="BY43">
        <f>(1-BX43)</f>
        <v>0</v>
      </c>
      <c r="BZ43">
        <v>844</v>
      </c>
      <c r="CA43">
        <v>290</v>
      </c>
      <c r="CB43">
        <v>1143.91</v>
      </c>
      <c r="CC43">
        <v>275</v>
      </c>
      <c r="CD43">
        <v>5134.87</v>
      </c>
      <c r="CE43">
        <v>1143.66</v>
      </c>
      <c r="CF43">
        <v>0.25</v>
      </c>
      <c r="CG43">
        <v>300</v>
      </c>
      <c r="CH43">
        <v>23.9</v>
      </c>
      <c r="CI43">
        <v>1163.12276016303</v>
      </c>
      <c r="CJ43">
        <v>1.28654295977212</v>
      </c>
      <c r="CK43">
        <v>-9.99598495161109</v>
      </c>
      <c r="CL43">
        <v>0.577719480370757</v>
      </c>
      <c r="CM43">
        <v>0.914471466237618</v>
      </c>
      <c r="CN43">
        <v>-0.0040064275862069</v>
      </c>
      <c r="CO43">
        <v>290</v>
      </c>
      <c r="CP43">
        <v>1142.15</v>
      </c>
      <c r="CQ43">
        <v>795</v>
      </c>
      <c r="CR43">
        <v>5132.39</v>
      </c>
      <c r="CS43">
        <v>1143.65</v>
      </c>
      <c r="CT43">
        <v>-1.5</v>
      </c>
      <c r="DH43">
        <f>$B$11*EG43+$C$11*EH43+$F$11*ES43*(1-EV43)</f>
        <v>0</v>
      </c>
      <c r="DI43">
        <f>DH43*DJ43</f>
        <v>0</v>
      </c>
      <c r="DJ43">
        <f>($B$11*$D$9+$C$11*$D$9+$F$11*((FF43+EX43)/MAX(FF43+EX43+FG43, 0.1)*$I$9+FG43/MAX(FF43+EX43+FG43, 0.1)*$J$9))/($B$11+$C$11+$F$11)</f>
        <v>0</v>
      </c>
      <c r="DK43">
        <f>($B$11*$K$9+$C$11*$K$9+$F$11*((FF43+EX43)/MAX(FF43+EX43+FG43, 0.1)*$P$9+FG43/MAX(FF43+EX43+FG43, 0.1)*$Q$9))/($B$11+$C$11+$F$11)</f>
        <v>0</v>
      </c>
      <c r="DL43">
        <v>6</v>
      </c>
      <c r="DM43">
        <v>0.5</v>
      </c>
      <c r="DN43" t="s">
        <v>440</v>
      </c>
      <c r="DO43">
        <v>2</v>
      </c>
      <c r="DP43" t="b">
        <v>1</v>
      </c>
      <c r="DQ43">
        <v>1762107678.6</v>
      </c>
      <c r="DR43">
        <v>422.62425</v>
      </c>
      <c r="DS43">
        <v>419.996375</v>
      </c>
      <c r="DT43">
        <v>22.98305625</v>
      </c>
      <c r="DU43">
        <v>20.3829</v>
      </c>
      <c r="DV43">
        <v>414.29375</v>
      </c>
      <c r="DW43">
        <v>22.65369375</v>
      </c>
      <c r="DX43">
        <v>499.9585625</v>
      </c>
      <c r="DY43">
        <v>90.811825</v>
      </c>
      <c r="DZ43">
        <v>0.02686471875</v>
      </c>
      <c r="EA43">
        <v>45.1273875</v>
      </c>
      <c r="EB43">
        <v>43.6433</v>
      </c>
      <c r="EC43">
        <v>999.9</v>
      </c>
      <c r="ED43">
        <v>0</v>
      </c>
      <c r="EE43">
        <v>0</v>
      </c>
      <c r="EF43">
        <v>9994.09625</v>
      </c>
      <c r="EG43">
        <v>0</v>
      </c>
      <c r="EH43">
        <v>1129.429375</v>
      </c>
      <c r="EI43">
        <v>2.62781875</v>
      </c>
      <c r="EJ43">
        <v>432.565875</v>
      </c>
      <c r="EK43">
        <v>428.735375</v>
      </c>
      <c r="EL43">
        <v>2.60014875</v>
      </c>
      <c r="EM43">
        <v>419.996375</v>
      </c>
      <c r="EN43">
        <v>20.3829</v>
      </c>
      <c r="EO43">
        <v>2.0871325</v>
      </c>
      <c r="EP43">
        <v>1.851008125</v>
      </c>
      <c r="EQ43">
        <v>18.12131875</v>
      </c>
      <c r="ER43">
        <v>16.22431875</v>
      </c>
      <c r="ES43">
        <v>300.007875</v>
      </c>
      <c r="ET43">
        <v>0.9000018125</v>
      </c>
      <c r="EU43">
        <v>0.0999982375</v>
      </c>
      <c r="EV43">
        <v>0</v>
      </c>
      <c r="EW43">
        <v>983.602875</v>
      </c>
      <c r="EX43">
        <v>5.00016</v>
      </c>
      <c r="EY43">
        <v>3031.080625</v>
      </c>
      <c r="EZ43">
        <v>2625.525625</v>
      </c>
      <c r="FA43">
        <v>43.808125</v>
      </c>
      <c r="FB43">
        <v>46.683125</v>
      </c>
      <c r="FC43">
        <v>45.312</v>
      </c>
      <c r="FD43">
        <v>46.625</v>
      </c>
      <c r="FE43">
        <v>47.792625</v>
      </c>
      <c r="FF43">
        <v>265.508125</v>
      </c>
      <c r="FG43">
        <v>29.496875</v>
      </c>
      <c r="FH43">
        <v>0</v>
      </c>
      <c r="FI43">
        <v>97.7999999523163</v>
      </c>
      <c r="FJ43">
        <v>0</v>
      </c>
      <c r="FK43">
        <v>983.617769230769</v>
      </c>
      <c r="FL43">
        <v>2.64075212758485</v>
      </c>
      <c r="FM43">
        <v>4.22188032068618</v>
      </c>
      <c r="FN43">
        <v>3031.43115384615</v>
      </c>
      <c r="FO43">
        <v>15</v>
      </c>
      <c r="FP43">
        <v>0</v>
      </c>
      <c r="FQ43" t="s">
        <v>441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2.64446047619048</v>
      </c>
      <c r="GD43">
        <v>-0.186116103896103</v>
      </c>
      <c r="GE43">
        <v>0.0358924312854781</v>
      </c>
      <c r="GF43">
        <v>1</v>
      </c>
      <c r="GG43">
        <v>983.432441176471</v>
      </c>
      <c r="GH43">
        <v>2.65034377381908</v>
      </c>
      <c r="GI43">
        <v>0.299062475390778</v>
      </c>
      <c r="GJ43">
        <v>-1</v>
      </c>
      <c r="GK43">
        <v>2.60731857142857</v>
      </c>
      <c r="GL43">
        <v>-0.120356103896104</v>
      </c>
      <c r="GM43">
        <v>0.012226582392754</v>
      </c>
      <c r="GN43">
        <v>0</v>
      </c>
      <c r="GO43">
        <v>1</v>
      </c>
      <c r="GP43">
        <v>2</v>
      </c>
      <c r="GQ43" t="s">
        <v>458</v>
      </c>
      <c r="GR43">
        <v>3.1245</v>
      </c>
      <c r="GS43">
        <v>2.65247</v>
      </c>
      <c r="GT43">
        <v>0.0881994</v>
      </c>
      <c r="GU43">
        <v>0.0890562</v>
      </c>
      <c r="GV43">
        <v>0.0977718</v>
      </c>
      <c r="GW43">
        <v>0.090194</v>
      </c>
      <c r="GX43">
        <v>23291.9</v>
      </c>
      <c r="GY43">
        <v>22065.7</v>
      </c>
      <c r="GZ43">
        <v>22863.8</v>
      </c>
      <c r="HA43">
        <v>23607</v>
      </c>
      <c r="HB43">
        <v>35192.4</v>
      </c>
      <c r="HC43">
        <v>35558.7</v>
      </c>
      <c r="HD43">
        <v>41259.5</v>
      </c>
      <c r="HE43">
        <v>42113</v>
      </c>
      <c r="HF43">
        <v>1.85222</v>
      </c>
      <c r="HG43">
        <v>2.28445</v>
      </c>
      <c r="HH43">
        <v>0.344563</v>
      </c>
      <c r="HI43">
        <v>0</v>
      </c>
      <c r="HJ43">
        <v>38.1096</v>
      </c>
      <c r="HK43">
        <v>999.9</v>
      </c>
      <c r="HL43">
        <v>49.347</v>
      </c>
      <c r="HM43">
        <v>28.117</v>
      </c>
      <c r="HN43">
        <v>20.7623</v>
      </c>
      <c r="HO43">
        <v>54.5093</v>
      </c>
      <c r="HP43">
        <v>24.7276</v>
      </c>
      <c r="HQ43">
        <v>2</v>
      </c>
      <c r="HR43">
        <v>0.37452</v>
      </c>
      <c r="HS43">
        <v>-6.66667</v>
      </c>
      <c r="HT43">
        <v>20.1195</v>
      </c>
      <c r="HU43">
        <v>5.23182</v>
      </c>
      <c r="HV43">
        <v>11.998</v>
      </c>
      <c r="HW43">
        <v>4.9556</v>
      </c>
      <c r="HX43">
        <v>3.304</v>
      </c>
      <c r="HY43">
        <v>9999</v>
      </c>
      <c r="HZ43">
        <v>999.9</v>
      </c>
      <c r="IA43">
        <v>9999</v>
      </c>
      <c r="IB43">
        <v>9999</v>
      </c>
      <c r="IC43">
        <v>1.86847</v>
      </c>
      <c r="ID43">
        <v>1.86417</v>
      </c>
      <c r="IE43">
        <v>1.8718</v>
      </c>
      <c r="IF43">
        <v>1.86264</v>
      </c>
      <c r="IG43">
        <v>1.86203</v>
      </c>
      <c r="IH43">
        <v>1.86855</v>
      </c>
      <c r="II43">
        <v>1.85865</v>
      </c>
      <c r="IJ43">
        <v>1.86508</v>
      </c>
      <c r="IK43">
        <v>5</v>
      </c>
      <c r="IL43">
        <v>0</v>
      </c>
      <c r="IM43">
        <v>0</v>
      </c>
      <c r="IN43">
        <v>0</v>
      </c>
      <c r="IO43" t="s">
        <v>443</v>
      </c>
      <c r="IP43" t="s">
        <v>444</v>
      </c>
      <c r="IQ43" t="s">
        <v>445</v>
      </c>
      <c r="IR43" t="s">
        <v>445</v>
      </c>
      <c r="IS43" t="s">
        <v>445</v>
      </c>
      <c r="IT43" t="s">
        <v>445</v>
      </c>
      <c r="IU43">
        <v>0</v>
      </c>
      <c r="IV43">
        <v>100</v>
      </c>
      <c r="IW43">
        <v>100</v>
      </c>
      <c r="IX43">
        <v>8.33</v>
      </c>
      <c r="IY43">
        <v>0.3293</v>
      </c>
      <c r="IZ43">
        <v>5.63042802259986</v>
      </c>
      <c r="JA43">
        <v>0.00813484245791346</v>
      </c>
      <c r="JB43">
        <v>-4.34547228418155e-06</v>
      </c>
      <c r="JC43">
        <v>1.0644471544636e-09</v>
      </c>
      <c r="JD43">
        <v>0.329354282981013</v>
      </c>
      <c r="JE43">
        <v>0</v>
      </c>
      <c r="JF43">
        <v>0</v>
      </c>
      <c r="JG43">
        <v>0</v>
      </c>
      <c r="JH43">
        <v>-3</v>
      </c>
      <c r="JI43">
        <v>2169</v>
      </c>
      <c r="JJ43">
        <v>1</v>
      </c>
      <c r="JK43">
        <v>22</v>
      </c>
      <c r="JL43">
        <v>29368461.5</v>
      </c>
      <c r="JM43">
        <v>29368461.5</v>
      </c>
      <c r="JN43">
        <v>1.3147</v>
      </c>
      <c r="JO43">
        <v>2.36694</v>
      </c>
      <c r="JP43">
        <v>2.09839</v>
      </c>
      <c r="JQ43">
        <v>2.64771</v>
      </c>
      <c r="JR43">
        <v>2.24365</v>
      </c>
      <c r="JS43">
        <v>2.31812</v>
      </c>
      <c r="JT43">
        <v>35.1286</v>
      </c>
      <c r="JU43">
        <v>24.2276</v>
      </c>
      <c r="JV43">
        <v>18</v>
      </c>
      <c r="JW43">
        <v>551.031</v>
      </c>
      <c r="JX43">
        <v>860.475</v>
      </c>
      <c r="JY43">
        <v>54.4344</v>
      </c>
      <c r="JZ43">
        <v>32.9138</v>
      </c>
      <c r="KA43">
        <v>29.9981</v>
      </c>
      <c r="KB43">
        <v>32.7823</v>
      </c>
      <c r="KC43">
        <v>32.8723</v>
      </c>
      <c r="KD43">
        <v>26.3544</v>
      </c>
      <c r="KE43">
        <v>0</v>
      </c>
      <c r="KF43">
        <v>100</v>
      </c>
      <c r="KG43">
        <v>107.398</v>
      </c>
      <c r="KH43">
        <v>420</v>
      </c>
      <c r="KI43">
        <v>23.2649</v>
      </c>
      <c r="KJ43">
        <v>92.4414</v>
      </c>
      <c r="KK43">
        <v>98.1347</v>
      </c>
    </row>
    <row r="44" spans="1:297">
      <c r="A44">
        <v>28</v>
      </c>
      <c r="B44">
        <v>1762107780.1</v>
      </c>
      <c r="C44">
        <v>6349</v>
      </c>
      <c r="D44" t="s">
        <v>553</v>
      </c>
      <c r="E44" t="s">
        <v>554</v>
      </c>
      <c r="F44">
        <v>5</v>
      </c>
      <c r="G44" t="s">
        <v>526</v>
      </c>
      <c r="H44" t="s">
        <v>436</v>
      </c>
      <c r="I44">
        <v>1762107771.6</v>
      </c>
      <c r="J44">
        <f>(K44)/1000</f>
        <v>0</v>
      </c>
      <c r="K44">
        <f>IF(DP44, AN44, AH44)</f>
        <v>0</v>
      </c>
      <c r="L44">
        <f>IF(DP44, AI44, AG44)</f>
        <v>0</v>
      </c>
      <c r="M44">
        <f>DR44 - IF(AU44&gt;1, L44*DL44*100.0/(AW44), 0)</f>
        <v>0</v>
      </c>
      <c r="N44">
        <f>((T44-J44/2)*M44-L44)/(T44+J44/2)</f>
        <v>0</v>
      </c>
      <c r="O44">
        <f>N44*(DY44+DZ44)/1000.0</f>
        <v>0</v>
      </c>
      <c r="P44">
        <f>(DR44 - IF(AU44&gt;1, L44*DL44*100.0/(AW44), 0))*(DY44+DZ44)/1000.0</f>
        <v>0</v>
      </c>
      <c r="Q44">
        <f>2.0/((1/S44-1/R44)+SIGN(S44)*SQRT((1/S44-1/R44)*(1/S44-1/R44) + 4*DM44/((DM44+1)*(DM44+1))*(2*1/S44*1/R44-1/R44*1/R44)))</f>
        <v>0</v>
      </c>
      <c r="R44">
        <f>IF(LEFT(DN44,1)&lt;&gt;"0",IF(LEFT(DN44,1)="1",3.0,DO44),$D$5+$E$5*(EF44*DY44/($K$5*1000))+$F$5*(EF44*DY44/($K$5*1000))*MAX(MIN(DL44,$J$5),$I$5)*MAX(MIN(DL44,$J$5),$I$5)+$G$5*MAX(MIN(DL44,$J$5),$I$5)*(EF44*DY44/($K$5*1000))+$H$5*(EF44*DY44/($K$5*1000))*(EF44*DY44/($K$5*1000)))</f>
        <v>0</v>
      </c>
      <c r="S44">
        <f>J44*(1000-(1000*0.61365*exp(17.502*W44/(240.97+W44))/(DY44+DZ44)+DT44)/2)/(1000*0.61365*exp(17.502*W44/(240.97+W44))/(DY44+DZ44)-DT44)</f>
        <v>0</v>
      </c>
      <c r="T44">
        <f>1/((DM44+1)/(Q44/1.6)+1/(R44/1.37)) + DM44/((DM44+1)/(Q44/1.6) + DM44/(R44/1.37))</f>
        <v>0</v>
      </c>
      <c r="U44">
        <f>(DH44*DK44)</f>
        <v>0</v>
      </c>
      <c r="V44">
        <f>(EA44+(U44+2*0.95*5.67E-8*(((EA44+$B$7)+273)^4-(EA44+273)^4)-44100*J44)/(1.84*29.3*R44+8*0.95*5.67E-8*(EA44+273)^3))</f>
        <v>0</v>
      </c>
      <c r="W44">
        <f>($C$7*EB44+$D$7*EC44+$E$7*V44)</f>
        <v>0</v>
      </c>
      <c r="X44">
        <f>0.61365*exp(17.502*W44/(240.97+W44))</f>
        <v>0</v>
      </c>
      <c r="Y44">
        <f>(Z44/AA44*100)</f>
        <v>0</v>
      </c>
      <c r="Z44">
        <f>DT44*(DY44+DZ44)/1000</f>
        <v>0</v>
      </c>
      <c r="AA44">
        <f>0.61365*exp(17.502*EA44/(240.97+EA44))</f>
        <v>0</v>
      </c>
      <c r="AB44">
        <f>(X44-DT44*(DY44+DZ44)/1000)</f>
        <v>0</v>
      </c>
      <c r="AC44">
        <f>(-J44*44100)</f>
        <v>0</v>
      </c>
      <c r="AD44">
        <f>2*29.3*R44*0.92*(EA44-W44)</f>
        <v>0</v>
      </c>
      <c r="AE44">
        <f>2*0.95*5.67E-8*(((EA44+$B$7)+273)^4-(W44+273)^4)</f>
        <v>0</v>
      </c>
      <c r="AF44">
        <f>U44+AE44+AC44+AD44</f>
        <v>0</v>
      </c>
      <c r="AG44">
        <f>DX44*AU44*(DS44-DR44*(1000-AU44*DU44)/(1000-AU44*DT44))/(100*DL44)</f>
        <v>0</v>
      </c>
      <c r="AH44">
        <f>1000*DX44*AU44*(DT44-DU44)/(100*DL44*(1000-AU44*DT44))</f>
        <v>0</v>
      </c>
      <c r="AI44">
        <f>(AJ44 - AK44 - DY44*1E3/(8.314*(EA44+273.15)) * AM44/DX44 * AL44) * DX44/(100*DL44) * (1000 - DU44)/1000</f>
        <v>0</v>
      </c>
      <c r="AJ44">
        <v>428.756337736688</v>
      </c>
      <c r="AK44">
        <v>433.199921212121</v>
      </c>
      <c r="AL44">
        <v>-0.00841584205155856</v>
      </c>
      <c r="AM44">
        <v>64.0651673644868</v>
      </c>
      <c r="AN44">
        <f>(AP44 - AO44 + DY44*1E3/(8.314*(EA44+273.15)) * AR44/DX44 * AQ44) * DX44/(100*DL44) * 1000/(1000 - AP44)</f>
        <v>0</v>
      </c>
      <c r="AO44">
        <v>20.4480650669777</v>
      </c>
      <c r="AP44">
        <v>22.8428157575758</v>
      </c>
      <c r="AQ44">
        <v>5.39139683409709e-06</v>
      </c>
      <c r="AR44">
        <v>103.142150156785</v>
      </c>
      <c r="AS44">
        <v>0</v>
      </c>
      <c r="AT44">
        <v>0</v>
      </c>
      <c r="AU44">
        <f>IF(AS44*$H$13&gt;=AW44,1.0,(AW44/(AW44-AS44*$H$13)))</f>
        <v>0</v>
      </c>
      <c r="AV44">
        <f>(AU44-1)*100</f>
        <v>0</v>
      </c>
      <c r="AW44">
        <f>MAX(0,($B$13+$C$13*EF44)/(1+$D$13*EF44)*DY44/(EA44+273)*$E$13)</f>
        <v>0</v>
      </c>
      <c r="AX44" t="s">
        <v>523</v>
      </c>
      <c r="AY44">
        <v>5062.95</v>
      </c>
      <c r="AZ44">
        <v>940.268</v>
      </c>
      <c r="BA44">
        <v>1227.26</v>
      </c>
      <c r="BB44">
        <f>1-AZ44/BA44</f>
        <v>0</v>
      </c>
      <c r="BC44">
        <v>-7.45265964798859</v>
      </c>
      <c r="BD44" t="s">
        <v>555</v>
      </c>
      <c r="BE44">
        <v>5121.46</v>
      </c>
      <c r="BF44">
        <v>934.811230769231</v>
      </c>
      <c r="BG44">
        <v>1212.15174924028</v>
      </c>
      <c r="BH44">
        <f>1-BF44/BG44</f>
        <v>0</v>
      </c>
      <c r="BI44">
        <v>0.5</v>
      </c>
      <c r="BJ44">
        <f>DI44</f>
        <v>0</v>
      </c>
      <c r="BK44">
        <f>L44</f>
        <v>0</v>
      </c>
      <c r="BL44">
        <f>BH44*BI44*BJ44</f>
        <v>0</v>
      </c>
      <c r="BM44">
        <f>(BK44-BC44)/BJ44</f>
        <v>0</v>
      </c>
      <c r="BN44">
        <f>(BA44-BG44)/BG44</f>
        <v>0</v>
      </c>
      <c r="BO44">
        <f>AZ44/(BB44+AZ44/BG44)</f>
        <v>0</v>
      </c>
      <c r="BP44" t="s">
        <v>556</v>
      </c>
      <c r="BQ44">
        <v>872.87</v>
      </c>
      <c r="BR44">
        <f>IF(BQ44&lt;&gt;0, BQ44, BO44)</f>
        <v>0</v>
      </c>
      <c r="BS44">
        <f>1-BR44/BG44</f>
        <v>0</v>
      </c>
      <c r="BT44">
        <f>(BG44-BF44)/(BG44-BR44)</f>
        <v>0</v>
      </c>
      <c r="BU44">
        <f>(BA44-BG44)/(BA44-BR44)</f>
        <v>0</v>
      </c>
      <c r="BV44">
        <f>(BG44-BF44)/(BG44-AZ44)</f>
        <v>0</v>
      </c>
      <c r="BW44">
        <f>(BA44-BG44)/(BA44-AZ44)</f>
        <v>0</v>
      </c>
      <c r="BX44">
        <f>(BT44*BR44/BF44)</f>
        <v>0</v>
      </c>
      <c r="BY44">
        <f>(1-BX44)</f>
        <v>0</v>
      </c>
      <c r="BZ44">
        <v>846</v>
      </c>
      <c r="CA44">
        <v>290</v>
      </c>
      <c r="CB44">
        <v>1190.39</v>
      </c>
      <c r="CC44">
        <v>235</v>
      </c>
      <c r="CD44">
        <v>5121.46</v>
      </c>
      <c r="CE44">
        <v>1190.33</v>
      </c>
      <c r="CF44">
        <v>0.06</v>
      </c>
      <c r="CG44">
        <v>300</v>
      </c>
      <c r="CH44">
        <v>23.9</v>
      </c>
      <c r="CI44">
        <v>1212.15174924028</v>
      </c>
      <c r="CJ44">
        <v>1.28314791469473</v>
      </c>
      <c r="CK44">
        <v>-11.1767765292608</v>
      </c>
      <c r="CL44">
        <v>0.571832233452571</v>
      </c>
      <c r="CM44">
        <v>0.931712079641457</v>
      </c>
      <c r="CN44">
        <v>-0.00412203492769745</v>
      </c>
      <c r="CO44">
        <v>290</v>
      </c>
      <c r="CP44">
        <v>1188.84</v>
      </c>
      <c r="CQ44">
        <v>645</v>
      </c>
      <c r="CR44">
        <v>5119.44</v>
      </c>
      <c r="CS44">
        <v>1190.32</v>
      </c>
      <c r="CT44">
        <v>-1.48</v>
      </c>
      <c r="DH44">
        <f>$B$11*EG44+$C$11*EH44+$F$11*ES44*(1-EV44)</f>
        <v>0</v>
      </c>
      <c r="DI44">
        <f>DH44*DJ44</f>
        <v>0</v>
      </c>
      <c r="DJ44">
        <f>($B$11*$D$9+$C$11*$D$9+$F$11*((FF44+EX44)/MAX(FF44+EX44+FG44, 0.1)*$I$9+FG44/MAX(FF44+EX44+FG44, 0.1)*$J$9))/($B$11+$C$11+$F$11)</f>
        <v>0</v>
      </c>
      <c r="DK44">
        <f>($B$11*$K$9+$C$11*$K$9+$F$11*((FF44+EX44)/MAX(FF44+EX44+FG44, 0.1)*$P$9+FG44/MAX(FF44+EX44+FG44, 0.1)*$Q$9))/($B$11+$C$11+$F$11)</f>
        <v>0</v>
      </c>
      <c r="DL44">
        <v>6</v>
      </c>
      <c r="DM44">
        <v>0.5</v>
      </c>
      <c r="DN44" t="s">
        <v>440</v>
      </c>
      <c r="DO44">
        <v>2</v>
      </c>
      <c r="DP44" t="b">
        <v>1</v>
      </c>
      <c r="DQ44">
        <v>1762107771.6</v>
      </c>
      <c r="DR44">
        <v>423.3445625</v>
      </c>
      <c r="DS44">
        <v>419.997875</v>
      </c>
      <c r="DT44">
        <v>22.8471375</v>
      </c>
      <c r="DU44">
        <v>20.444825</v>
      </c>
      <c r="DV44">
        <v>415.010375</v>
      </c>
      <c r="DW44">
        <v>22.51778125</v>
      </c>
      <c r="DX44">
        <v>500.0025625</v>
      </c>
      <c r="DY44">
        <v>90.8142875</v>
      </c>
      <c r="DZ44">
        <v>0.02619904375</v>
      </c>
      <c r="EA44">
        <v>44.79158125</v>
      </c>
      <c r="EB44">
        <v>43.2221</v>
      </c>
      <c r="EC44">
        <v>999.9</v>
      </c>
      <c r="ED44">
        <v>0</v>
      </c>
      <c r="EE44">
        <v>0</v>
      </c>
      <c r="EF44">
        <v>9999.878125</v>
      </c>
      <c r="EG44">
        <v>0</v>
      </c>
      <c r="EH44">
        <v>1130.245</v>
      </c>
      <c r="EI44">
        <v>3.346815</v>
      </c>
      <c r="EJ44">
        <v>433.243</v>
      </c>
      <c r="EK44">
        <v>428.763625</v>
      </c>
      <c r="EL44">
        <v>2.40232125</v>
      </c>
      <c r="EM44">
        <v>419.997875</v>
      </c>
      <c r="EN44">
        <v>20.444825</v>
      </c>
      <c r="EO44">
        <v>2.0748475</v>
      </c>
      <c r="EP44">
        <v>1.856681875</v>
      </c>
      <c r="EQ44">
        <v>18.027375</v>
      </c>
      <c r="ER44">
        <v>16.27234375</v>
      </c>
      <c r="ES44">
        <v>150.0384375</v>
      </c>
      <c r="ET44">
        <v>0.90000125</v>
      </c>
      <c r="EU44">
        <v>0.09999885</v>
      </c>
      <c r="EV44">
        <v>0</v>
      </c>
      <c r="EW44">
        <v>934.73175</v>
      </c>
      <c r="EX44">
        <v>5.00016</v>
      </c>
      <c r="EY44">
        <v>1479.08375</v>
      </c>
      <c r="EZ44">
        <v>1290.81875</v>
      </c>
      <c r="FA44">
        <v>43.4645625</v>
      </c>
      <c r="FB44">
        <v>46.6210625</v>
      </c>
      <c r="FC44">
        <v>45.1715</v>
      </c>
      <c r="FD44">
        <v>46.558125</v>
      </c>
      <c r="FE44">
        <v>47.511625</v>
      </c>
      <c r="FF44">
        <v>130.535625</v>
      </c>
      <c r="FG44">
        <v>14.501875</v>
      </c>
      <c r="FH44">
        <v>0</v>
      </c>
      <c r="FI44">
        <v>90</v>
      </c>
      <c r="FJ44">
        <v>0</v>
      </c>
      <c r="FK44">
        <v>934.811230769231</v>
      </c>
      <c r="FL44">
        <v>3.81784613429235</v>
      </c>
      <c r="FM44">
        <v>5.70837613187491</v>
      </c>
      <c r="FN44">
        <v>1478.74884615385</v>
      </c>
      <c r="FO44">
        <v>15</v>
      </c>
      <c r="FP44">
        <v>0</v>
      </c>
      <c r="FQ44" t="s">
        <v>441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3.359816</v>
      </c>
      <c r="GD44">
        <v>-0.12859939849624</v>
      </c>
      <c r="GE44">
        <v>0.0409975209494428</v>
      </c>
      <c r="GF44">
        <v>1</v>
      </c>
      <c r="GG44">
        <v>934.517764705882</v>
      </c>
      <c r="GH44">
        <v>3.93329258285085</v>
      </c>
      <c r="GI44">
        <v>0.423151624808228</v>
      </c>
      <c r="GJ44">
        <v>-1</v>
      </c>
      <c r="GK44">
        <v>2.4069665</v>
      </c>
      <c r="GL44">
        <v>-0.095908421052639</v>
      </c>
      <c r="GM44">
        <v>0.00941740318506121</v>
      </c>
      <c r="GN44">
        <v>1</v>
      </c>
      <c r="GO44">
        <v>2</v>
      </c>
      <c r="GP44">
        <v>2</v>
      </c>
      <c r="GQ44" t="s">
        <v>442</v>
      </c>
      <c r="GR44">
        <v>3.12473</v>
      </c>
      <c r="GS44">
        <v>2.65161</v>
      </c>
      <c r="GT44">
        <v>0.0884447</v>
      </c>
      <c r="GU44">
        <v>0.0891755</v>
      </c>
      <c r="GV44">
        <v>0.0974898</v>
      </c>
      <c r="GW44">
        <v>0.0905042</v>
      </c>
      <c r="GX44">
        <v>23312</v>
      </c>
      <c r="GY44">
        <v>22083.3</v>
      </c>
      <c r="GZ44">
        <v>22887.8</v>
      </c>
      <c r="HA44">
        <v>23626.9</v>
      </c>
      <c r="HB44">
        <v>35234.5</v>
      </c>
      <c r="HC44">
        <v>35574.1</v>
      </c>
      <c r="HD44">
        <v>41296.1</v>
      </c>
      <c r="HE44">
        <v>42145.1</v>
      </c>
      <c r="HF44">
        <v>1.85648</v>
      </c>
      <c r="HG44">
        <v>2.29155</v>
      </c>
      <c r="HH44">
        <v>0.33199</v>
      </c>
      <c r="HI44">
        <v>0</v>
      </c>
      <c r="HJ44">
        <v>37.8971</v>
      </c>
      <c r="HK44">
        <v>999.9</v>
      </c>
      <c r="HL44">
        <v>49.445</v>
      </c>
      <c r="HM44">
        <v>28.127</v>
      </c>
      <c r="HN44">
        <v>20.8171</v>
      </c>
      <c r="HO44">
        <v>54.2393</v>
      </c>
      <c r="HP44">
        <v>24.6955</v>
      </c>
      <c r="HQ44">
        <v>2</v>
      </c>
      <c r="HR44">
        <v>0.340396</v>
      </c>
      <c r="HS44">
        <v>-6.66667</v>
      </c>
      <c r="HT44">
        <v>20.1211</v>
      </c>
      <c r="HU44">
        <v>5.23496</v>
      </c>
      <c r="HV44">
        <v>11.998</v>
      </c>
      <c r="HW44">
        <v>4.9559</v>
      </c>
      <c r="HX44">
        <v>3.304</v>
      </c>
      <c r="HY44">
        <v>9999</v>
      </c>
      <c r="HZ44">
        <v>999.9</v>
      </c>
      <c r="IA44">
        <v>9999</v>
      </c>
      <c r="IB44">
        <v>9999</v>
      </c>
      <c r="IC44">
        <v>1.86846</v>
      </c>
      <c r="ID44">
        <v>1.86417</v>
      </c>
      <c r="IE44">
        <v>1.8718</v>
      </c>
      <c r="IF44">
        <v>1.86264</v>
      </c>
      <c r="IG44">
        <v>1.86203</v>
      </c>
      <c r="IH44">
        <v>1.86855</v>
      </c>
      <c r="II44">
        <v>1.85867</v>
      </c>
      <c r="IJ44">
        <v>1.86507</v>
      </c>
      <c r="IK44">
        <v>5</v>
      </c>
      <c r="IL44">
        <v>0</v>
      </c>
      <c r="IM44">
        <v>0</v>
      </c>
      <c r="IN44">
        <v>0</v>
      </c>
      <c r="IO44" t="s">
        <v>443</v>
      </c>
      <c r="IP44" t="s">
        <v>444</v>
      </c>
      <c r="IQ44" t="s">
        <v>445</v>
      </c>
      <c r="IR44" t="s">
        <v>445</v>
      </c>
      <c r="IS44" t="s">
        <v>445</v>
      </c>
      <c r="IT44" t="s">
        <v>445</v>
      </c>
      <c r="IU44">
        <v>0</v>
      </c>
      <c r="IV44">
        <v>100</v>
      </c>
      <c r="IW44">
        <v>100</v>
      </c>
      <c r="IX44">
        <v>8.334</v>
      </c>
      <c r="IY44">
        <v>0.3294</v>
      </c>
      <c r="IZ44">
        <v>5.63042802259986</v>
      </c>
      <c r="JA44">
        <v>0.00813484245791346</v>
      </c>
      <c r="JB44">
        <v>-4.34547228418155e-06</v>
      </c>
      <c r="JC44">
        <v>1.0644471544636e-09</v>
      </c>
      <c r="JD44">
        <v>0.329354282981013</v>
      </c>
      <c r="JE44">
        <v>0</v>
      </c>
      <c r="JF44">
        <v>0</v>
      </c>
      <c r="JG44">
        <v>0</v>
      </c>
      <c r="JH44">
        <v>-3</v>
      </c>
      <c r="JI44">
        <v>2169</v>
      </c>
      <c r="JJ44">
        <v>1</v>
      </c>
      <c r="JK44">
        <v>22</v>
      </c>
      <c r="JL44">
        <v>29368463</v>
      </c>
      <c r="JM44">
        <v>29368463</v>
      </c>
      <c r="JN44">
        <v>1.3147</v>
      </c>
      <c r="JO44">
        <v>2.3584</v>
      </c>
      <c r="JP44">
        <v>2.09839</v>
      </c>
      <c r="JQ44">
        <v>2.64771</v>
      </c>
      <c r="JR44">
        <v>2.24365</v>
      </c>
      <c r="JS44">
        <v>2.30225</v>
      </c>
      <c r="JT44">
        <v>35.1747</v>
      </c>
      <c r="JU44">
        <v>24.2364</v>
      </c>
      <c r="JV44">
        <v>18</v>
      </c>
      <c r="JW44">
        <v>549.609</v>
      </c>
      <c r="JX44">
        <v>860.141</v>
      </c>
      <c r="JY44">
        <v>54.2126</v>
      </c>
      <c r="JZ44">
        <v>32.455</v>
      </c>
      <c r="KA44">
        <v>29.9985</v>
      </c>
      <c r="KB44">
        <v>32.2433</v>
      </c>
      <c r="KC44">
        <v>32.331</v>
      </c>
      <c r="KD44">
        <v>26.3541</v>
      </c>
      <c r="KE44">
        <v>0</v>
      </c>
      <c r="KF44">
        <v>100</v>
      </c>
      <c r="KG44">
        <v>103.382</v>
      </c>
      <c r="KH44">
        <v>420</v>
      </c>
      <c r="KI44">
        <v>23.2649</v>
      </c>
      <c r="KJ44">
        <v>92.5289</v>
      </c>
      <c r="KK44">
        <v>98.2123</v>
      </c>
    </row>
    <row r="45" spans="1:297">
      <c r="A45">
        <v>29</v>
      </c>
      <c r="B45">
        <v>1762107862.1</v>
      </c>
      <c r="C45">
        <v>6431</v>
      </c>
      <c r="D45" t="s">
        <v>557</v>
      </c>
      <c r="E45" t="s">
        <v>558</v>
      </c>
      <c r="F45">
        <v>5</v>
      </c>
      <c r="G45" t="s">
        <v>526</v>
      </c>
      <c r="H45" t="s">
        <v>436</v>
      </c>
      <c r="I45">
        <v>1762107854.1</v>
      </c>
      <c r="J45">
        <f>(K45)/1000</f>
        <v>0</v>
      </c>
      <c r="K45">
        <f>IF(DP45, AN45, AH45)</f>
        <v>0</v>
      </c>
      <c r="L45">
        <f>IF(DP45, AI45, AG45)</f>
        <v>0</v>
      </c>
      <c r="M45">
        <f>DR45 - IF(AU45&gt;1, L45*DL45*100.0/(AW45), 0)</f>
        <v>0</v>
      </c>
      <c r="N45">
        <f>((T45-J45/2)*M45-L45)/(T45+J45/2)</f>
        <v>0</v>
      </c>
      <c r="O45">
        <f>N45*(DY45+DZ45)/1000.0</f>
        <v>0</v>
      </c>
      <c r="P45">
        <f>(DR45 - IF(AU45&gt;1, L45*DL45*100.0/(AW45), 0))*(DY45+DZ45)/1000.0</f>
        <v>0</v>
      </c>
      <c r="Q45">
        <f>2.0/((1/S45-1/R45)+SIGN(S45)*SQRT((1/S45-1/R45)*(1/S45-1/R45) + 4*DM45/((DM45+1)*(DM45+1))*(2*1/S45*1/R45-1/R45*1/R45)))</f>
        <v>0</v>
      </c>
      <c r="R45">
        <f>IF(LEFT(DN45,1)&lt;&gt;"0",IF(LEFT(DN45,1)="1",3.0,DO45),$D$5+$E$5*(EF45*DY45/($K$5*1000))+$F$5*(EF45*DY45/($K$5*1000))*MAX(MIN(DL45,$J$5),$I$5)*MAX(MIN(DL45,$J$5),$I$5)+$G$5*MAX(MIN(DL45,$J$5),$I$5)*(EF45*DY45/($K$5*1000))+$H$5*(EF45*DY45/($K$5*1000))*(EF45*DY45/($K$5*1000)))</f>
        <v>0</v>
      </c>
      <c r="S45">
        <f>J45*(1000-(1000*0.61365*exp(17.502*W45/(240.97+W45))/(DY45+DZ45)+DT45)/2)/(1000*0.61365*exp(17.502*W45/(240.97+W45))/(DY45+DZ45)-DT45)</f>
        <v>0</v>
      </c>
      <c r="T45">
        <f>1/((DM45+1)/(Q45/1.6)+1/(R45/1.37)) + DM45/((DM45+1)/(Q45/1.6) + DM45/(R45/1.37))</f>
        <v>0</v>
      </c>
      <c r="U45">
        <f>(DH45*DK45)</f>
        <v>0</v>
      </c>
      <c r="V45">
        <f>(EA45+(U45+2*0.95*5.67E-8*(((EA45+$B$7)+273)^4-(EA45+273)^4)-44100*J45)/(1.84*29.3*R45+8*0.95*5.67E-8*(EA45+273)^3))</f>
        <v>0</v>
      </c>
      <c r="W45">
        <f>($C$7*EB45+$D$7*EC45+$E$7*V45)</f>
        <v>0</v>
      </c>
      <c r="X45">
        <f>0.61365*exp(17.502*W45/(240.97+W45))</f>
        <v>0</v>
      </c>
      <c r="Y45">
        <f>(Z45/AA45*100)</f>
        <v>0</v>
      </c>
      <c r="Z45">
        <f>DT45*(DY45+DZ45)/1000</f>
        <v>0</v>
      </c>
      <c r="AA45">
        <f>0.61365*exp(17.502*EA45/(240.97+EA45))</f>
        <v>0</v>
      </c>
      <c r="AB45">
        <f>(X45-DT45*(DY45+DZ45)/1000)</f>
        <v>0</v>
      </c>
      <c r="AC45">
        <f>(-J45*44100)</f>
        <v>0</v>
      </c>
      <c r="AD45">
        <f>2*29.3*R45*0.92*(EA45-W45)</f>
        <v>0</v>
      </c>
      <c r="AE45">
        <f>2*0.95*5.67E-8*(((EA45+$B$7)+273)^4-(W45+273)^4)</f>
        <v>0</v>
      </c>
      <c r="AF45">
        <f>U45+AE45+AC45+AD45</f>
        <v>0</v>
      </c>
      <c r="AG45">
        <f>DX45*AU45*(DS45-DR45*(1000-AU45*DU45)/(1000-AU45*DT45))/(100*DL45)</f>
        <v>0</v>
      </c>
      <c r="AH45">
        <f>1000*DX45*AU45*(DT45-DU45)/(100*DL45*(1000-AU45*DT45))</f>
        <v>0</v>
      </c>
      <c r="AI45">
        <f>(AJ45 - AK45 - DY45*1E3/(8.314*(EA45+273.15)) * AM45/DX45 * AL45) * DX45/(100*DL45) * (1000 - DU45)/1000</f>
        <v>0</v>
      </c>
      <c r="AJ45">
        <v>428.833798127946</v>
      </c>
      <c r="AK45">
        <v>434.465878787879</v>
      </c>
      <c r="AL45">
        <v>0.000779742260088245</v>
      </c>
      <c r="AM45">
        <v>64.0651673644868</v>
      </c>
      <c r="AN45">
        <f>(AP45 - AO45 + DY45*1E3/(8.314*(EA45+273.15)) * AR45/DX45 * AQ45) * DX45/(100*DL45) * 1000/(1000 - AP45)</f>
        <v>0</v>
      </c>
      <c r="AO45">
        <v>20.4972575331155</v>
      </c>
      <c r="AP45">
        <v>22.7478357575757</v>
      </c>
      <c r="AQ45">
        <v>-3.22288332933001e-05</v>
      </c>
      <c r="AR45">
        <v>103.142150156785</v>
      </c>
      <c r="AS45">
        <v>0</v>
      </c>
      <c r="AT45">
        <v>0</v>
      </c>
      <c r="AU45">
        <f>IF(AS45*$H$13&gt;=AW45,1.0,(AW45/(AW45-AS45*$H$13)))</f>
        <v>0</v>
      </c>
      <c r="AV45">
        <f>(AU45-1)*100</f>
        <v>0</v>
      </c>
      <c r="AW45">
        <f>MAX(0,($B$13+$C$13*EF45)/(1+$D$13*EF45)*DY45/(EA45+273)*$E$13)</f>
        <v>0</v>
      </c>
      <c r="AX45" t="s">
        <v>523</v>
      </c>
      <c r="AY45">
        <v>5062.95</v>
      </c>
      <c r="AZ45">
        <v>940.268</v>
      </c>
      <c r="BA45">
        <v>1227.26</v>
      </c>
      <c r="BB45">
        <f>1-AZ45/BA45</f>
        <v>0</v>
      </c>
      <c r="BC45">
        <v>-7.45265964798859</v>
      </c>
      <c r="BD45" t="s">
        <v>559</v>
      </c>
      <c r="BE45">
        <v>5112.31</v>
      </c>
      <c r="BF45">
        <v>916.7662</v>
      </c>
      <c r="BG45">
        <v>1303.12858572889</v>
      </c>
      <c r="BH45">
        <f>1-BF45/BG45</f>
        <v>0</v>
      </c>
      <c r="BI45">
        <v>0.5</v>
      </c>
      <c r="BJ45">
        <f>DI45</f>
        <v>0</v>
      </c>
      <c r="BK45">
        <f>L45</f>
        <v>0</v>
      </c>
      <c r="BL45">
        <f>BH45*BI45*BJ45</f>
        <v>0</v>
      </c>
      <c r="BM45">
        <f>(BK45-BC45)/BJ45</f>
        <v>0</v>
      </c>
      <c r="BN45">
        <f>(BA45-BG45)/BG45</f>
        <v>0</v>
      </c>
      <c r="BO45">
        <f>AZ45/(BB45+AZ45/BG45)</f>
        <v>0</v>
      </c>
      <c r="BP45" t="s">
        <v>560</v>
      </c>
      <c r="BQ45">
        <v>877.8</v>
      </c>
      <c r="BR45">
        <f>IF(BQ45&lt;&gt;0, BQ45, BO45)</f>
        <v>0</v>
      </c>
      <c r="BS45">
        <f>1-BR45/BG45</f>
        <v>0</v>
      </c>
      <c r="BT45">
        <f>(BG45-BF45)/(BG45-BR45)</f>
        <v>0</v>
      </c>
      <c r="BU45">
        <f>(BA45-BG45)/(BA45-BR45)</f>
        <v>0</v>
      </c>
      <c r="BV45">
        <f>(BG45-BF45)/(BG45-AZ45)</f>
        <v>0</v>
      </c>
      <c r="BW45">
        <f>(BA45-BG45)/(BA45-AZ45)</f>
        <v>0</v>
      </c>
      <c r="BX45">
        <f>(BT45*BR45/BF45)</f>
        <v>0</v>
      </c>
      <c r="BY45">
        <f>(1-BX45)</f>
        <v>0</v>
      </c>
      <c r="BZ45">
        <v>848</v>
      </c>
      <c r="CA45">
        <v>290</v>
      </c>
      <c r="CB45">
        <v>1279.28</v>
      </c>
      <c r="CC45">
        <v>245</v>
      </c>
      <c r="CD45">
        <v>5112.31</v>
      </c>
      <c r="CE45">
        <v>1279.76</v>
      </c>
      <c r="CF45">
        <v>-0.48</v>
      </c>
      <c r="CG45">
        <v>300</v>
      </c>
      <c r="CH45">
        <v>23.9</v>
      </c>
      <c r="CI45">
        <v>1303.12858572889</v>
      </c>
      <c r="CJ45">
        <v>1.12187301473058</v>
      </c>
      <c r="CK45">
        <v>-11.9442545514154</v>
      </c>
      <c r="CL45">
        <v>0.497449595928043</v>
      </c>
      <c r="CM45">
        <v>0.95368282560458</v>
      </c>
      <c r="CN45">
        <v>-0.00419879065628476</v>
      </c>
      <c r="CO45">
        <v>290</v>
      </c>
      <c r="CP45">
        <v>1278.44</v>
      </c>
      <c r="CQ45">
        <v>675</v>
      </c>
      <c r="CR45">
        <v>5110.18</v>
      </c>
      <c r="CS45">
        <v>1279.76</v>
      </c>
      <c r="CT45">
        <v>-1.32</v>
      </c>
      <c r="DH45">
        <f>$B$11*EG45+$C$11*EH45+$F$11*ES45*(1-EV45)</f>
        <v>0</v>
      </c>
      <c r="DI45">
        <f>DH45*DJ45</f>
        <v>0</v>
      </c>
      <c r="DJ45">
        <f>($B$11*$D$9+$C$11*$D$9+$F$11*((FF45+EX45)/MAX(FF45+EX45+FG45, 0.1)*$I$9+FG45/MAX(FF45+EX45+FG45, 0.1)*$J$9))/($B$11+$C$11+$F$11)</f>
        <v>0</v>
      </c>
      <c r="DK45">
        <f>($B$11*$K$9+$C$11*$K$9+$F$11*((FF45+EX45)/MAX(FF45+EX45+FG45, 0.1)*$P$9+FG45/MAX(FF45+EX45+FG45, 0.1)*$Q$9))/($B$11+$C$11+$F$11)</f>
        <v>0</v>
      </c>
      <c r="DL45">
        <v>6</v>
      </c>
      <c r="DM45">
        <v>0.5</v>
      </c>
      <c r="DN45" t="s">
        <v>440</v>
      </c>
      <c r="DO45">
        <v>2</v>
      </c>
      <c r="DP45" t="b">
        <v>1</v>
      </c>
      <c r="DQ45">
        <v>1762107854.1</v>
      </c>
      <c r="DR45">
        <v>424.570066666667</v>
      </c>
      <c r="DS45">
        <v>420.007066666667</v>
      </c>
      <c r="DT45">
        <v>22.7543066666667</v>
      </c>
      <c r="DU45">
        <v>20.4935733333333</v>
      </c>
      <c r="DV45">
        <v>416.2298</v>
      </c>
      <c r="DW45">
        <v>22.4249333333333</v>
      </c>
      <c r="DX45">
        <v>499.9384</v>
      </c>
      <c r="DY45">
        <v>90.8125266666667</v>
      </c>
      <c r="DZ45">
        <v>0.02580972</v>
      </c>
      <c r="EA45">
        <v>44.5363666666667</v>
      </c>
      <c r="EB45">
        <v>42.9244666666667</v>
      </c>
      <c r="EC45">
        <v>999.9</v>
      </c>
      <c r="ED45">
        <v>0</v>
      </c>
      <c r="EE45">
        <v>0</v>
      </c>
      <c r="EF45">
        <v>10011.1666666667</v>
      </c>
      <c r="EG45">
        <v>0</v>
      </c>
      <c r="EH45">
        <v>1130.798</v>
      </c>
      <c r="EI45">
        <v>4.56294333333333</v>
      </c>
      <c r="EJ45">
        <v>434.455866666667</v>
      </c>
      <c r="EK45">
        <v>428.794466666667</v>
      </c>
      <c r="EL45">
        <v>2.26071866666667</v>
      </c>
      <c r="EM45">
        <v>420.007066666667</v>
      </c>
      <c r="EN45">
        <v>20.4935733333333</v>
      </c>
      <c r="EO45">
        <v>2.06637533333333</v>
      </c>
      <c r="EP45">
        <v>1.861074</v>
      </c>
      <c r="EQ45">
        <v>17.96232</v>
      </c>
      <c r="ER45">
        <v>16.3094066666667</v>
      </c>
      <c r="ES45">
        <v>50.0069066666667</v>
      </c>
      <c r="ET45">
        <v>0.900255333333333</v>
      </c>
      <c r="EU45">
        <v>0.0997445933333334</v>
      </c>
      <c r="EV45">
        <v>0</v>
      </c>
      <c r="EW45">
        <v>916.624333333333</v>
      </c>
      <c r="EX45">
        <v>5.00016</v>
      </c>
      <c r="EY45">
        <v>520.474133333333</v>
      </c>
      <c r="EZ45">
        <v>400.5878</v>
      </c>
      <c r="FA45">
        <v>43.1291333333333</v>
      </c>
      <c r="FB45">
        <v>46.5</v>
      </c>
      <c r="FC45">
        <v>44.9622</v>
      </c>
      <c r="FD45">
        <v>46.437</v>
      </c>
      <c r="FE45">
        <v>47.2458</v>
      </c>
      <c r="FF45">
        <v>40.518</v>
      </c>
      <c r="FG45">
        <v>4.486</v>
      </c>
      <c r="FH45">
        <v>0</v>
      </c>
      <c r="FI45">
        <v>78.8000001907349</v>
      </c>
      <c r="FJ45">
        <v>0</v>
      </c>
      <c r="FK45">
        <v>916.7662</v>
      </c>
      <c r="FL45">
        <v>14.2648461308425</v>
      </c>
      <c r="FM45">
        <v>5.12946149196714</v>
      </c>
      <c r="FN45">
        <v>520.394</v>
      </c>
      <c r="FO45">
        <v>15</v>
      </c>
      <c r="FP45">
        <v>0</v>
      </c>
      <c r="FQ45" t="s">
        <v>441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4.550229</v>
      </c>
      <c r="GD45">
        <v>0.11144932330827</v>
      </c>
      <c r="GE45">
        <v>0.0396382341811539</v>
      </c>
      <c r="GF45">
        <v>1</v>
      </c>
      <c r="GG45">
        <v>915.587</v>
      </c>
      <c r="GH45">
        <v>15.4647517243426</v>
      </c>
      <c r="GI45">
        <v>1.52718928677719</v>
      </c>
      <c r="GJ45">
        <v>-1</v>
      </c>
      <c r="GK45">
        <v>2.266072</v>
      </c>
      <c r="GL45">
        <v>-0.0998255639097728</v>
      </c>
      <c r="GM45">
        <v>0.00972822008385912</v>
      </c>
      <c r="GN45">
        <v>1</v>
      </c>
      <c r="GO45">
        <v>2</v>
      </c>
      <c r="GP45">
        <v>2</v>
      </c>
      <c r="GQ45" t="s">
        <v>442</v>
      </c>
      <c r="GR45">
        <v>3.12486</v>
      </c>
      <c r="GS45">
        <v>2.65161</v>
      </c>
      <c r="GT45">
        <v>0.0887426</v>
      </c>
      <c r="GU45">
        <v>0.089258</v>
      </c>
      <c r="GV45">
        <v>0.0972955</v>
      </c>
      <c r="GW45">
        <v>0.090743</v>
      </c>
      <c r="GX45">
        <v>23323</v>
      </c>
      <c r="GY45">
        <v>22095.4</v>
      </c>
      <c r="GZ45">
        <v>22904.8</v>
      </c>
      <c r="HA45">
        <v>23640.5</v>
      </c>
      <c r="HB45">
        <v>35264.5</v>
      </c>
      <c r="HC45">
        <v>35583.2</v>
      </c>
      <c r="HD45">
        <v>41322.6</v>
      </c>
      <c r="HE45">
        <v>42166.5</v>
      </c>
      <c r="HF45">
        <v>1.85928</v>
      </c>
      <c r="HG45">
        <v>2.29688</v>
      </c>
      <c r="HH45">
        <v>0.323616</v>
      </c>
      <c r="HI45">
        <v>0</v>
      </c>
      <c r="HJ45">
        <v>37.7299</v>
      </c>
      <c r="HK45">
        <v>999.9</v>
      </c>
      <c r="HL45">
        <v>49.518</v>
      </c>
      <c r="HM45">
        <v>28.127</v>
      </c>
      <c r="HN45">
        <v>20.8446</v>
      </c>
      <c r="HO45">
        <v>54.2893</v>
      </c>
      <c r="HP45">
        <v>24.8397</v>
      </c>
      <c r="HQ45">
        <v>2</v>
      </c>
      <c r="HR45">
        <v>0.316136</v>
      </c>
      <c r="HS45">
        <v>-6.66667</v>
      </c>
      <c r="HT45">
        <v>20.1223</v>
      </c>
      <c r="HU45">
        <v>5.23466</v>
      </c>
      <c r="HV45">
        <v>11.998</v>
      </c>
      <c r="HW45">
        <v>4.9558</v>
      </c>
      <c r="HX45">
        <v>3.304</v>
      </c>
      <c r="HY45">
        <v>9999</v>
      </c>
      <c r="HZ45">
        <v>999.9</v>
      </c>
      <c r="IA45">
        <v>9999</v>
      </c>
      <c r="IB45">
        <v>9999</v>
      </c>
      <c r="IC45">
        <v>1.86845</v>
      </c>
      <c r="ID45">
        <v>1.86417</v>
      </c>
      <c r="IE45">
        <v>1.8718</v>
      </c>
      <c r="IF45">
        <v>1.86264</v>
      </c>
      <c r="IG45">
        <v>1.86203</v>
      </c>
      <c r="IH45">
        <v>1.86856</v>
      </c>
      <c r="II45">
        <v>1.85865</v>
      </c>
      <c r="IJ45">
        <v>1.86508</v>
      </c>
      <c r="IK45">
        <v>5</v>
      </c>
      <c r="IL45">
        <v>0</v>
      </c>
      <c r="IM45">
        <v>0</v>
      </c>
      <c r="IN45">
        <v>0</v>
      </c>
      <c r="IO45" t="s">
        <v>443</v>
      </c>
      <c r="IP45" t="s">
        <v>444</v>
      </c>
      <c r="IQ45" t="s">
        <v>445</v>
      </c>
      <c r="IR45" t="s">
        <v>445</v>
      </c>
      <c r="IS45" t="s">
        <v>445</v>
      </c>
      <c r="IT45" t="s">
        <v>445</v>
      </c>
      <c r="IU45">
        <v>0</v>
      </c>
      <c r="IV45">
        <v>100</v>
      </c>
      <c r="IW45">
        <v>100</v>
      </c>
      <c r="IX45">
        <v>8.341</v>
      </c>
      <c r="IY45">
        <v>0.3293</v>
      </c>
      <c r="IZ45">
        <v>5.63042802259986</v>
      </c>
      <c r="JA45">
        <v>0.00813484245791346</v>
      </c>
      <c r="JB45">
        <v>-4.34547228418155e-06</v>
      </c>
      <c r="JC45">
        <v>1.0644471544636e-09</v>
      </c>
      <c r="JD45">
        <v>0.329354282981013</v>
      </c>
      <c r="JE45">
        <v>0</v>
      </c>
      <c r="JF45">
        <v>0</v>
      </c>
      <c r="JG45">
        <v>0</v>
      </c>
      <c r="JH45">
        <v>-3</v>
      </c>
      <c r="JI45">
        <v>2169</v>
      </c>
      <c r="JJ45">
        <v>1</v>
      </c>
      <c r="JK45">
        <v>22</v>
      </c>
      <c r="JL45">
        <v>29368464.4</v>
      </c>
      <c r="JM45">
        <v>29368464.4</v>
      </c>
      <c r="JN45">
        <v>1.3147</v>
      </c>
      <c r="JO45">
        <v>2.36084</v>
      </c>
      <c r="JP45">
        <v>2.09839</v>
      </c>
      <c r="JQ45">
        <v>2.64771</v>
      </c>
      <c r="JR45">
        <v>2.24365</v>
      </c>
      <c r="JS45">
        <v>2.30347</v>
      </c>
      <c r="JT45">
        <v>35.1747</v>
      </c>
      <c r="JU45">
        <v>24.2276</v>
      </c>
      <c r="JV45">
        <v>18</v>
      </c>
      <c r="JW45">
        <v>548.245</v>
      </c>
      <c r="JX45">
        <v>859.82</v>
      </c>
      <c r="JY45">
        <v>54.0554</v>
      </c>
      <c r="JZ45">
        <v>32.1227</v>
      </c>
      <c r="KA45">
        <v>29.9988</v>
      </c>
      <c r="KB45">
        <v>31.8377</v>
      </c>
      <c r="KC45">
        <v>31.9242</v>
      </c>
      <c r="KD45">
        <v>26.3532</v>
      </c>
      <c r="KE45">
        <v>0</v>
      </c>
      <c r="KF45">
        <v>100</v>
      </c>
      <c r="KG45">
        <v>96.0132</v>
      </c>
      <c r="KH45">
        <v>420</v>
      </c>
      <c r="KI45">
        <v>23.2649</v>
      </c>
      <c r="KJ45">
        <v>92.5915</v>
      </c>
      <c r="KK45">
        <v>98.2645</v>
      </c>
    </row>
    <row r="46" spans="1:297">
      <c r="A46">
        <v>30</v>
      </c>
      <c r="B46">
        <v>1762107945</v>
      </c>
      <c r="C46">
        <v>6513.90000009537</v>
      </c>
      <c r="D46" t="s">
        <v>561</v>
      </c>
      <c r="E46" t="s">
        <v>562</v>
      </c>
      <c r="F46">
        <v>5</v>
      </c>
      <c r="G46" t="s">
        <v>526</v>
      </c>
      <c r="H46" t="s">
        <v>436</v>
      </c>
      <c r="I46">
        <v>1762107937</v>
      </c>
      <c r="J46">
        <f>(K46)/1000</f>
        <v>0</v>
      </c>
      <c r="K46">
        <f>IF(DP46, AN46, AH46)</f>
        <v>0</v>
      </c>
      <c r="L46">
        <f>IF(DP46, AI46, AG46)</f>
        <v>0</v>
      </c>
      <c r="M46">
        <f>DR46 - IF(AU46&gt;1, L46*DL46*100.0/(AW46), 0)</f>
        <v>0</v>
      </c>
      <c r="N46">
        <f>((T46-J46/2)*M46-L46)/(T46+J46/2)</f>
        <v>0</v>
      </c>
      <c r="O46">
        <f>N46*(DY46+DZ46)/1000.0</f>
        <v>0</v>
      </c>
      <c r="P46">
        <f>(DR46 - IF(AU46&gt;1, L46*DL46*100.0/(AW46), 0))*(DY46+DZ46)/1000.0</f>
        <v>0</v>
      </c>
      <c r="Q46">
        <f>2.0/((1/S46-1/R46)+SIGN(S46)*SQRT((1/S46-1/R46)*(1/S46-1/R46) + 4*DM46/((DM46+1)*(DM46+1))*(2*1/S46*1/R46-1/R46*1/R46)))</f>
        <v>0</v>
      </c>
      <c r="R46">
        <f>IF(LEFT(DN46,1)&lt;&gt;"0",IF(LEFT(DN46,1)="1",3.0,DO46),$D$5+$E$5*(EF46*DY46/($K$5*1000))+$F$5*(EF46*DY46/($K$5*1000))*MAX(MIN(DL46,$J$5),$I$5)*MAX(MIN(DL46,$J$5),$I$5)+$G$5*MAX(MIN(DL46,$J$5),$I$5)*(EF46*DY46/($K$5*1000))+$H$5*(EF46*DY46/($K$5*1000))*(EF46*DY46/($K$5*1000)))</f>
        <v>0</v>
      </c>
      <c r="S46">
        <f>J46*(1000-(1000*0.61365*exp(17.502*W46/(240.97+W46))/(DY46+DZ46)+DT46)/2)/(1000*0.61365*exp(17.502*W46/(240.97+W46))/(DY46+DZ46)-DT46)</f>
        <v>0</v>
      </c>
      <c r="T46">
        <f>1/((DM46+1)/(Q46/1.6)+1/(R46/1.37)) + DM46/((DM46+1)/(Q46/1.6) + DM46/(R46/1.37))</f>
        <v>0</v>
      </c>
      <c r="U46">
        <f>(DH46*DK46)</f>
        <v>0</v>
      </c>
      <c r="V46">
        <f>(EA46+(U46+2*0.95*5.67E-8*(((EA46+$B$7)+273)^4-(EA46+273)^4)-44100*J46)/(1.84*29.3*R46+8*0.95*5.67E-8*(EA46+273)^3))</f>
        <v>0</v>
      </c>
      <c r="W46">
        <f>($C$7*EB46+$D$7*EC46+$E$7*V46)</f>
        <v>0</v>
      </c>
      <c r="X46">
        <f>0.61365*exp(17.502*W46/(240.97+W46))</f>
        <v>0</v>
      </c>
      <c r="Y46">
        <f>(Z46/AA46*100)</f>
        <v>0</v>
      </c>
      <c r="Z46">
        <f>DT46*(DY46+DZ46)/1000</f>
        <v>0</v>
      </c>
      <c r="AA46">
        <f>0.61365*exp(17.502*EA46/(240.97+EA46))</f>
        <v>0</v>
      </c>
      <c r="AB46">
        <f>(X46-DT46*(DY46+DZ46)/1000)</f>
        <v>0</v>
      </c>
      <c r="AC46">
        <f>(-J46*44100)</f>
        <v>0</v>
      </c>
      <c r="AD46">
        <f>2*29.3*R46*0.92*(EA46-W46)</f>
        <v>0</v>
      </c>
      <c r="AE46">
        <f>2*0.95*5.67E-8*(((EA46+$B$7)+273)^4-(W46+273)^4)</f>
        <v>0</v>
      </c>
      <c r="AF46">
        <f>U46+AE46+AC46+AD46</f>
        <v>0</v>
      </c>
      <c r="AG46">
        <f>DX46*AU46*(DS46-DR46*(1000-AU46*DU46)/(1000-AU46*DT46))/(100*DL46)</f>
        <v>0</v>
      </c>
      <c r="AH46">
        <f>1000*DX46*AU46*(DT46-DU46)/(100*DL46*(1000-AU46*DT46))</f>
        <v>0</v>
      </c>
      <c r="AI46">
        <f>(AJ46 - AK46 - DY46*1E3/(8.314*(EA46+273.15)) * AM46/DX46 * AL46) * DX46/(100*DL46) * (1000 - DU46)/1000</f>
        <v>0</v>
      </c>
      <c r="AJ46">
        <v>428.81344491791</v>
      </c>
      <c r="AK46">
        <v>435.956339393939</v>
      </c>
      <c r="AL46">
        <v>-0.00556772136816136</v>
      </c>
      <c r="AM46">
        <v>64.0651673644868</v>
      </c>
      <c r="AN46">
        <f>(AP46 - AO46 + DY46*1E3/(8.314*(EA46+273.15)) * AR46/DX46 * AQ46) * DX46/(100*DL46) * 1000/(1000 - AP46)</f>
        <v>0</v>
      </c>
      <c r="AO46">
        <v>20.526302402767</v>
      </c>
      <c r="AP46">
        <v>22.6540290909091</v>
      </c>
      <c r="AQ46">
        <v>-5.92759223817326e-05</v>
      </c>
      <c r="AR46">
        <v>103.142150156785</v>
      </c>
      <c r="AS46">
        <v>0</v>
      </c>
      <c r="AT46">
        <v>0</v>
      </c>
      <c r="AU46">
        <f>IF(AS46*$H$13&gt;=AW46,1.0,(AW46/(AW46-AS46*$H$13)))</f>
        <v>0</v>
      </c>
      <c r="AV46">
        <f>(AU46-1)*100</f>
        <v>0</v>
      </c>
      <c r="AW46">
        <f>MAX(0,($B$13+$C$13*EF46)/(1+$D$13*EF46)*DY46/(EA46+273)*$E$13)</f>
        <v>0</v>
      </c>
      <c r="AX46" t="s">
        <v>563</v>
      </c>
      <c r="AY46">
        <v>5108.81</v>
      </c>
      <c r="AZ46">
        <v>929.05</v>
      </c>
      <c r="BA46">
        <v>1361.21572578992</v>
      </c>
      <c r="BB46">
        <f>1-AZ46/BA46</f>
        <v>0</v>
      </c>
      <c r="BC46">
        <v>-5.81027019353253</v>
      </c>
      <c r="BD46" t="s">
        <v>482</v>
      </c>
      <c r="BE46" t="s">
        <v>482</v>
      </c>
      <c r="BF46">
        <v>0</v>
      </c>
      <c r="BG46">
        <v>0</v>
      </c>
      <c r="BH46">
        <f>1-BF46/BG46</f>
        <v>0</v>
      </c>
      <c r="BI46">
        <v>0.5</v>
      </c>
      <c r="BJ46">
        <f>DI46</f>
        <v>0</v>
      </c>
      <c r="BK46">
        <f>L46</f>
        <v>0</v>
      </c>
      <c r="BL46">
        <f>BH46*BI46*BJ46</f>
        <v>0</v>
      </c>
      <c r="BM46">
        <f>(BK46-BC46)/BJ46</f>
        <v>0</v>
      </c>
      <c r="BN46">
        <f>(BA46-BG46)/BG46</f>
        <v>0</v>
      </c>
      <c r="BO46">
        <f>AZ46/(BB46+AZ46/BG46)</f>
        <v>0</v>
      </c>
      <c r="BP46" t="s">
        <v>482</v>
      </c>
      <c r="BQ46">
        <v>0</v>
      </c>
      <c r="BR46">
        <f>IF(BQ46&lt;&gt;0, BQ46, BO46)</f>
        <v>0</v>
      </c>
      <c r="BS46">
        <f>1-BR46/BG46</f>
        <v>0</v>
      </c>
      <c r="BT46">
        <f>(BG46-BF46)/(BG46-BR46)</f>
        <v>0</v>
      </c>
      <c r="BU46">
        <f>(BA46-BG46)/(BA46-BR46)</f>
        <v>0</v>
      </c>
      <c r="BV46">
        <f>(BG46-BF46)/(BG46-AZ46)</f>
        <v>0</v>
      </c>
      <c r="BW46">
        <f>(BA46-BG46)/(BA46-AZ46)</f>
        <v>0</v>
      </c>
      <c r="BX46">
        <f>(BT46*BR46/BF46)</f>
        <v>0</v>
      </c>
      <c r="BY46">
        <f>(1-BX46)</f>
        <v>0</v>
      </c>
      <c r="BZ46">
        <v>850</v>
      </c>
      <c r="CA46">
        <v>290</v>
      </c>
      <c r="CB46">
        <v>1346.9</v>
      </c>
      <c r="CC46">
        <v>275</v>
      </c>
      <c r="CD46">
        <v>5108.81</v>
      </c>
      <c r="CE46">
        <v>1345.25</v>
      </c>
      <c r="CF46">
        <v>1.65</v>
      </c>
      <c r="CG46">
        <v>300</v>
      </c>
      <c r="CH46">
        <v>23.9</v>
      </c>
      <c r="CI46">
        <v>1361.21572578992</v>
      </c>
      <c r="CJ46">
        <v>1.33950436206111</v>
      </c>
      <c r="CK46">
        <v>-8.15864612678356</v>
      </c>
      <c r="CL46">
        <v>0.59270227872937</v>
      </c>
      <c r="CM46">
        <v>0.871252431586711</v>
      </c>
      <c r="CN46">
        <v>-0.00423402780867631</v>
      </c>
      <c r="CO46">
        <v>290</v>
      </c>
      <c r="CP46">
        <v>1348.31</v>
      </c>
      <c r="CQ46">
        <v>865</v>
      </c>
      <c r="CR46">
        <v>5106</v>
      </c>
      <c r="CS46">
        <v>1345.24</v>
      </c>
      <c r="CT46">
        <v>3.07</v>
      </c>
      <c r="DH46">
        <f>$B$11*EG46+$C$11*EH46+$F$11*ES46*(1-EV46)</f>
        <v>0</v>
      </c>
      <c r="DI46">
        <f>DH46*DJ46</f>
        <v>0</v>
      </c>
      <c r="DJ46">
        <f>($B$11*$D$9+$C$11*$D$9+$F$11*((FF46+EX46)/MAX(FF46+EX46+FG46, 0.1)*$I$9+FG46/MAX(FF46+EX46+FG46, 0.1)*$J$9))/($B$11+$C$11+$F$11)</f>
        <v>0</v>
      </c>
      <c r="DK46">
        <f>($B$11*$K$9+$C$11*$K$9+$F$11*((FF46+EX46)/MAX(FF46+EX46+FG46, 0.1)*$P$9+FG46/MAX(FF46+EX46+FG46, 0.1)*$Q$9))/($B$11+$C$11+$F$11)</f>
        <v>0</v>
      </c>
      <c r="DL46">
        <v>6</v>
      </c>
      <c r="DM46">
        <v>0.5</v>
      </c>
      <c r="DN46" t="s">
        <v>440</v>
      </c>
      <c r="DO46">
        <v>2</v>
      </c>
      <c r="DP46" t="b">
        <v>1</v>
      </c>
      <c r="DQ46">
        <v>1762107937</v>
      </c>
      <c r="DR46">
        <v>426.099333333333</v>
      </c>
      <c r="DS46">
        <v>420.0064</v>
      </c>
      <c r="DT46">
        <v>22.6614666666667</v>
      </c>
      <c r="DU46">
        <v>20.5236</v>
      </c>
      <c r="DV46">
        <v>417.7512</v>
      </c>
      <c r="DW46">
        <v>22.3320933333333</v>
      </c>
      <c r="DX46">
        <v>500.004866666667</v>
      </c>
      <c r="DY46">
        <v>90.8085466666667</v>
      </c>
      <c r="DZ46">
        <v>0.0254452533333333</v>
      </c>
      <c r="EA46">
        <v>44.3164733333333</v>
      </c>
      <c r="EB46">
        <v>42.6981533333333</v>
      </c>
      <c r="EC46">
        <v>999.9</v>
      </c>
      <c r="ED46">
        <v>0</v>
      </c>
      <c r="EE46">
        <v>0</v>
      </c>
      <c r="EF46">
        <v>9992.758</v>
      </c>
      <c r="EG46">
        <v>0</v>
      </c>
      <c r="EH46">
        <v>1131.31</v>
      </c>
      <c r="EI46">
        <v>6.09294333333333</v>
      </c>
      <c r="EJ46">
        <v>435.979266666667</v>
      </c>
      <c r="EK46">
        <v>428.807</v>
      </c>
      <c r="EL46">
        <v>2.137864</v>
      </c>
      <c r="EM46">
        <v>420.0064</v>
      </c>
      <c r="EN46">
        <v>20.5236</v>
      </c>
      <c r="EO46">
        <v>2.05785533333333</v>
      </c>
      <c r="EP46">
        <v>1.863718</v>
      </c>
      <c r="EQ46">
        <v>17.8966466666667</v>
      </c>
      <c r="ER46">
        <v>16.3317066666667</v>
      </c>
      <c r="ES46">
        <v>0.00500016</v>
      </c>
      <c r="ET46">
        <v>0</v>
      </c>
      <c r="EU46">
        <v>0</v>
      </c>
      <c r="EV46">
        <v>0</v>
      </c>
      <c r="EW46">
        <v>927.413333333334</v>
      </c>
      <c r="EX46">
        <v>0.00500016</v>
      </c>
      <c r="EY46">
        <v>81.1</v>
      </c>
      <c r="EZ46">
        <v>-0.84</v>
      </c>
      <c r="FA46">
        <v>42.7913333333333</v>
      </c>
      <c r="FB46">
        <v>46.312</v>
      </c>
      <c r="FC46">
        <v>44.7164</v>
      </c>
      <c r="FD46">
        <v>46.1415333333333</v>
      </c>
      <c r="FE46">
        <v>46.6746666666667</v>
      </c>
      <c r="FF46">
        <v>0</v>
      </c>
      <c r="FG46">
        <v>0</v>
      </c>
      <c r="FH46">
        <v>0</v>
      </c>
      <c r="FI46">
        <v>79.3999998569489</v>
      </c>
      <c r="FJ46">
        <v>0</v>
      </c>
      <c r="FK46">
        <v>929.05</v>
      </c>
      <c r="FL46">
        <v>40.4820516428663</v>
      </c>
      <c r="FM46">
        <v>0.728205111317562</v>
      </c>
      <c r="FN46">
        <v>81.2961538461539</v>
      </c>
      <c r="FO46">
        <v>15</v>
      </c>
      <c r="FP46">
        <v>0</v>
      </c>
      <c r="FQ46" t="s">
        <v>441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6.0792505</v>
      </c>
      <c r="GD46">
        <v>0.0564699248120235</v>
      </c>
      <c r="GE46">
        <v>0.0514863652314863</v>
      </c>
      <c r="GF46">
        <v>1</v>
      </c>
      <c r="GG46">
        <v>925.270588235294</v>
      </c>
      <c r="GH46">
        <v>43.0282659276634</v>
      </c>
      <c r="GI46">
        <v>7.05509950785558</v>
      </c>
      <c r="GJ46">
        <v>-1</v>
      </c>
      <c r="GK46">
        <v>2.143737</v>
      </c>
      <c r="GL46">
        <v>-0.099907669172934</v>
      </c>
      <c r="GM46">
        <v>0.00968052896282013</v>
      </c>
      <c r="GN46">
        <v>1</v>
      </c>
      <c r="GO46">
        <v>2</v>
      </c>
      <c r="GP46">
        <v>2</v>
      </c>
      <c r="GQ46" t="s">
        <v>442</v>
      </c>
      <c r="GR46">
        <v>3.1247</v>
      </c>
      <c r="GS46">
        <v>2.65128</v>
      </c>
      <c r="GT46">
        <v>0.0890648</v>
      </c>
      <c r="GU46">
        <v>0.089339</v>
      </c>
      <c r="GV46">
        <v>0.0970745</v>
      </c>
      <c r="GW46">
        <v>0.0909134</v>
      </c>
      <c r="GX46">
        <v>23330.6</v>
      </c>
      <c r="GY46">
        <v>22106.4</v>
      </c>
      <c r="GZ46">
        <v>22919.2</v>
      </c>
      <c r="HA46">
        <v>23653.1</v>
      </c>
      <c r="HB46">
        <v>35291.3</v>
      </c>
      <c r="HC46">
        <v>35594.1</v>
      </c>
      <c r="HD46">
        <v>41343.9</v>
      </c>
      <c r="HE46">
        <v>42186.9</v>
      </c>
      <c r="HF46">
        <v>1.86135</v>
      </c>
      <c r="HG46">
        <v>2.30148</v>
      </c>
      <c r="HH46">
        <v>0.319276</v>
      </c>
      <c r="HI46">
        <v>0</v>
      </c>
      <c r="HJ46">
        <v>37.5732</v>
      </c>
      <c r="HK46">
        <v>999.9</v>
      </c>
      <c r="HL46">
        <v>49.591</v>
      </c>
      <c r="HM46">
        <v>28.147</v>
      </c>
      <c r="HN46">
        <v>20.9044</v>
      </c>
      <c r="HO46">
        <v>54.5393</v>
      </c>
      <c r="HP46">
        <v>24.8998</v>
      </c>
      <c r="HQ46">
        <v>2</v>
      </c>
      <c r="HR46">
        <v>0.295043</v>
      </c>
      <c r="HS46">
        <v>-6.66667</v>
      </c>
      <c r="HT46">
        <v>20.1238</v>
      </c>
      <c r="HU46">
        <v>5.23601</v>
      </c>
      <c r="HV46">
        <v>11.998</v>
      </c>
      <c r="HW46">
        <v>4.9564</v>
      </c>
      <c r="HX46">
        <v>3.304</v>
      </c>
      <c r="HY46">
        <v>9999</v>
      </c>
      <c r="HZ46">
        <v>999.9</v>
      </c>
      <c r="IA46">
        <v>9999</v>
      </c>
      <c r="IB46">
        <v>9999</v>
      </c>
      <c r="IC46">
        <v>1.8685</v>
      </c>
      <c r="ID46">
        <v>1.86417</v>
      </c>
      <c r="IE46">
        <v>1.8718</v>
      </c>
      <c r="IF46">
        <v>1.86264</v>
      </c>
      <c r="IG46">
        <v>1.86204</v>
      </c>
      <c r="IH46">
        <v>1.86857</v>
      </c>
      <c r="II46">
        <v>1.85866</v>
      </c>
      <c r="IJ46">
        <v>1.86508</v>
      </c>
      <c r="IK46">
        <v>5</v>
      </c>
      <c r="IL46">
        <v>0</v>
      </c>
      <c r="IM46">
        <v>0</v>
      </c>
      <c r="IN46">
        <v>0</v>
      </c>
      <c r="IO46" t="s">
        <v>443</v>
      </c>
      <c r="IP46" t="s">
        <v>444</v>
      </c>
      <c r="IQ46" t="s">
        <v>445</v>
      </c>
      <c r="IR46" t="s">
        <v>445</v>
      </c>
      <c r="IS46" t="s">
        <v>445</v>
      </c>
      <c r="IT46" t="s">
        <v>445</v>
      </c>
      <c r="IU46">
        <v>0</v>
      </c>
      <c r="IV46">
        <v>100</v>
      </c>
      <c r="IW46">
        <v>100</v>
      </c>
      <c r="IX46">
        <v>8.348</v>
      </c>
      <c r="IY46">
        <v>0.3293</v>
      </c>
      <c r="IZ46">
        <v>5.63042802259986</v>
      </c>
      <c r="JA46">
        <v>0.00813484245791346</v>
      </c>
      <c r="JB46">
        <v>-4.34547228418155e-06</v>
      </c>
      <c r="JC46">
        <v>1.0644471544636e-09</v>
      </c>
      <c r="JD46">
        <v>0.329354282981013</v>
      </c>
      <c r="JE46">
        <v>0</v>
      </c>
      <c r="JF46">
        <v>0</v>
      </c>
      <c r="JG46">
        <v>0</v>
      </c>
      <c r="JH46">
        <v>-3</v>
      </c>
      <c r="JI46">
        <v>2169</v>
      </c>
      <c r="JJ46">
        <v>1</v>
      </c>
      <c r="JK46">
        <v>22</v>
      </c>
      <c r="JL46">
        <v>29368465.8</v>
      </c>
      <c r="JM46">
        <v>29368465.8</v>
      </c>
      <c r="JN46">
        <v>1.3147</v>
      </c>
      <c r="JO46">
        <v>2.35962</v>
      </c>
      <c r="JP46">
        <v>2.09839</v>
      </c>
      <c r="JQ46">
        <v>2.64648</v>
      </c>
      <c r="JR46">
        <v>2.24365</v>
      </c>
      <c r="JS46">
        <v>2.30835</v>
      </c>
      <c r="JT46">
        <v>35.1978</v>
      </c>
      <c r="JU46">
        <v>24.2364</v>
      </c>
      <c r="JV46">
        <v>18</v>
      </c>
      <c r="JW46">
        <v>546.791</v>
      </c>
      <c r="JX46">
        <v>859.446</v>
      </c>
      <c r="JY46">
        <v>53.9131</v>
      </c>
      <c r="JZ46">
        <v>31.8419</v>
      </c>
      <c r="KA46">
        <v>29.9989</v>
      </c>
      <c r="KB46">
        <v>31.4835</v>
      </c>
      <c r="KC46">
        <v>31.5688</v>
      </c>
      <c r="KD46">
        <v>26.3566</v>
      </c>
      <c r="KE46">
        <v>0</v>
      </c>
      <c r="KF46">
        <v>100</v>
      </c>
      <c r="KG46">
        <v>97.9815</v>
      </c>
      <c r="KH46">
        <v>420</v>
      </c>
      <c r="KI46">
        <v>23.2649</v>
      </c>
      <c r="KJ46">
        <v>92.643</v>
      </c>
      <c r="KK46">
        <v>98.3138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2025-11-01T13:28:35Z</dcterms:created>
  <dcterms:modified xsi:type="dcterms:W3CDTF">2025-11-01T13:28:35Z</dcterms:modified>
</cp:coreProperties>
</file>