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  <sheet name="Remarks" sheetId="2" r:id="rId2"/>
  </sheets>
  <calcPr calcId="124519" fullCalcOnLoad="1"/>
</workbook>
</file>

<file path=xl/sharedStrings.xml><?xml version="1.0" encoding="utf-8"?>
<sst xmlns="http://schemas.openxmlformats.org/spreadsheetml/2006/main" count="1300" uniqueCount="501">
  <si>
    <t>File opened</t>
  </si>
  <si>
    <t>2025-10-17 14:58:26</t>
  </si>
  <si>
    <t>Console s/n</t>
  </si>
  <si>
    <t>68C-901352</t>
  </si>
  <si>
    <t>Console ver</t>
  </si>
  <si>
    <t>Bluestem v.2.1.11</t>
  </si>
  <si>
    <t>Scripts ver</t>
  </si>
  <si>
    <t>2023.02  2.1.11, Jun 2023</t>
  </si>
  <si>
    <t>Head s/n</t>
  </si>
  <si>
    <t>68H-581348</t>
  </si>
  <si>
    <t>Head ver</t>
  </si>
  <si>
    <t>1.4.23</t>
  </si>
  <si>
    <t>Head cal</t>
  </si>
  <si>
    <t>{"tbzero": "0.197208", "co2bspanconc1": "394.6", "co2aspan2a": "0.301852", "co2aspan2": "-0.0361282", "co2aspanconc2": "301.4", "h2oaspan2": "0", "h2oaspanconc1": "11.69", "co2aspan2b": "0.298816", "h2oaspan2b": "0.0643918", "h2obspan2b": "0.0640621", "oxygen": "21", "chamberpressurezero": "2.57718", "co2bspan2": "-0.0345572", "ssa_ref": "34683.2", "h2oaspan1": "0.998365", "co2bspan2b": "0.0918352", "flowbzero": "0.21929", "co2bspanconc2": "301.4", "h2obspan2": "0", "co2azero": "0.889706", "tazero": "0.243513", "h2obspan2a": "0.064441", "flowmeterzero": "2.48435", "h2obzero": "1.07561", "co2bspan2a": "0.0920224", "h2obspanconc2": "0", "co2bzero": "0.968552", "h2oaspan2a": "0.0644972", "ssb_ref": "33484.6", "co2aspanconc1": "2473", "co2aspan1": "1.00085", "co2bspan1": "1.0003", "flowazero": "0.20627", "h2oaspanconc2": "0", "h2obspanconc1": "11.69", "h2oazero": "1.05632", "h2obspan1": "0.99412"}</t>
  </si>
  <si>
    <t>Factory cal date</t>
  </si>
  <si>
    <t>01 Sep 2023</t>
  </si>
  <si>
    <t>CO2 rangematch</t>
  </si>
  <si>
    <t>Thu Oct  2 09:31</t>
  </si>
  <si>
    <t>H2O rangematch</t>
  </si>
  <si>
    <t>Thu Oct  2 09:46</t>
  </si>
  <si>
    <t>Chamber type</t>
  </si>
  <si>
    <t>6800-01A</t>
  </si>
  <si>
    <t>Chamber s/n</t>
  </si>
  <si>
    <t>MPF-651288</t>
  </si>
  <si>
    <t>Chamber rev</t>
  </si>
  <si>
    <t>0</t>
  </si>
  <si>
    <t>Chamber cal</t>
  </si>
  <si>
    <t>Fluorometer</t>
  </si>
  <si>
    <t>Flr. Version</t>
  </si>
  <si>
    <t>14:58:26</t>
  </si>
  <si>
    <t>Stability Definition:	ΔCO2 (Meas2): Slp&lt;0.5 Per=20	ΔH2O (Meas2): Slp&lt;0.1 Per=20	F (FlrLS): Per=20</t>
  </si>
  <si>
    <t>SysConst</t>
  </si>
  <si>
    <t>AvgTime</t>
  </si>
  <si>
    <t>Oxygen</t>
  </si>
  <si>
    <t>ChambConst</t>
  </si>
  <si>
    <t>Chamber</t>
  </si>
  <si>
    <t>Aperture</t>
  </si>
  <si>
    <t>6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</si>
  <si>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</si>
  <si>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</si>
  <si>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</si>
  <si>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</si>
  <si>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</si>
  <si>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</si>
  <si>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</si>
  <si>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</si>
  <si>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</si>
  <si>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</si>
  <si>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</si>
  <si>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</si>
  <si>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</si>
  <si>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</si>
  <si>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</si>
  <si>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</si>
  <si>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</si>
  <si>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</si>
  <si>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</si>
  <si>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</si>
  <si>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</si>
  <si>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</si>
  <si>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</si>
  <si>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</si>
  <si>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</si>
  <si>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</si>
  <si>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</si>
  <si>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</si>
  <si>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</si>
  <si>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</si>
  <si>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</si>
  <si>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</si>
  <si>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</si>
  <si>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</si>
  <si>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</si>
  <si>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</si>
  <si>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</si>
  <si>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</si>
  <si>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</si>
  <si>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</si>
  <si>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</si>
  <si>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</si>
  <si>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</si>
  <si>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</si>
  <si>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5.56823 219.086 387.138 683.916 894.405 1099.97 1290.29 1423.1</t>
  </si>
  <si>
    <t>Fs_true</t>
  </si>
  <si>
    <t>-1.11923 217.721 375.524 618.5 800.208 1006.92 1201.37 1401.5</t>
  </si>
  <si>
    <t>leak_wt</t>
  </si>
  <si>
    <t>SysObs</t>
  </si>
  <si>
    <t>UserDefCon</t>
  </si>
  <si>
    <t>GasEx</t>
  </si>
  <si>
    <t>Dynamic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</si>
  <si>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</si>
  <si>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</si>
  <si>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</si>
  <si>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</si>
  <si>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</si>
  <si>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</si>
  <si>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</si>
  <si>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</si>
  <si>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</si>
  <si>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</si>
  <si>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</si>
  <si>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</si>
  <si>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</si>
  <si>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</si>
  <si>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</si>
  <si>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</si>
  <si>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</si>
  <si>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</si>
  <si>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</si>
  <si>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</si>
  <si>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</si>
  <si>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</si>
  <si>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</si>
  <si>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</si>
  <si>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id</t>
  </si>
  <si>
    <t>machine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</si>
  <si>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</si>
  <si>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</si>
  <si>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</si>
  <si>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</si>
  <si>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</si>
  <si>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</si>
  <si>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</si>
  <si>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</si>
  <si>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</si>
  <si>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</si>
  <si>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</si>
  <si>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</si>
  <si>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</si>
  <si>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</si>
  <si>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</si>
  <si>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</si>
  <si>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</si>
  <si>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</si>
  <si>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</si>
  <si>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</si>
  <si>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</si>
  <si>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</si>
  <si>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</si>
  <si>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</si>
  <si>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Asty</t>
  </si>
  <si>
    <t>Esty</t>
  </si>
  <si>
    <t>Adyn</t>
  </si>
  <si>
    <t>Crd</t>
  </si>
  <si>
    <t>Csd</t>
  </si>
  <si>
    <t>dCsd/dt</t>
  </si>
  <si>
    <t>αVc</t>
  </si>
  <si>
    <t>Edyn</t>
  </si>
  <si>
    <t>Hr</t>
  </si>
  <si>
    <t>Hs</t>
  </si>
  <si>
    <t>dHs/dt</t>
  </si>
  <si>
    <t>αVh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</si>
  <si>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</si>
  <si>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</si>
  <si>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</si>
  <si>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</si>
  <si>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</si>
  <si>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</si>
  <si>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</si>
  <si>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</si>
  <si>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</si>
  <si>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</si>
  <si>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</si>
  <si>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</si>
  <si>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</si>
  <si>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</si>
  <si>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</si>
  <si>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</si>
  <si>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</si>
  <si>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</si>
  <si>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</si>
  <si>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</si>
  <si>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</si>
  <si>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</si>
  <si>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</si>
  <si>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</si>
  <si>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</si>
  <si>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</si>
  <si>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</si>
  <si>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</si>
  <si>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</si>
  <si>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</si>
  <si>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</si>
  <si>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</si>
  <si>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</si>
  <si>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</si>
  <si>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</si>
  <si>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</si>
  <si>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</si>
  <si>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</si>
  <si>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</si>
  <si>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</si>
  <si>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</si>
  <si>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</si>
  <si>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</si>
  <si>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</si>
  <si>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</si>
  <si>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</si>
  <si>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</si>
  <si>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</si>
  <si>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</si>
  <si>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</si>
  <si>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</si>
  <si>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</si>
  <si>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</si>
  <si>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</si>
  <si>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</si>
  <si>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</si>
  <si>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</si>
  <si>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</si>
  <si>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</si>
  <si>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</si>
  <si>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</si>
  <si>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</si>
  <si>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</si>
  <si>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</si>
  <si>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</si>
  <si>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</si>
  <si>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</si>
  <si>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</si>
  <si>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</si>
  <si>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</si>
  <si>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</si>
  <si>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</si>
  <si>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UseDynamic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</si>
  <si>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</si>
  <si>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</si>
  <si>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</si>
  <si>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</si>
  <si>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</si>
  <si>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</si>
  <si>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</si>
  <si>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</si>
  <si>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</si>
  <si>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</si>
  <si>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</si>
  <si>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</si>
  <si>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</si>
  <si>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</si>
  <si>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</si>
  <si>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</si>
  <si>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</si>
  <si>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</si>
  <si>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</si>
  <si>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</si>
  <si>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</si>
  <si>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</si>
  <si>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</si>
  <si>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</si>
  <si>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</si>
  <si>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</si>
  <si>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</si>
  <si>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</si>
  <si>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</si>
  <si>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</si>
  <si>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</si>
  <si>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</si>
  <si>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</si>
  <si>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</si>
  <si>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</si>
  <si>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</si>
  <si>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</si>
  <si>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</si>
  <si>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</si>
  <si>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</si>
  <si>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</si>
  <si>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</si>
  <si>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</si>
  <si>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</si>
  <si>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</si>
  <si>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</si>
  <si>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</si>
  <si>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</si>
  <si>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</si>
  <si>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</si>
  <si>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</si>
  <si>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</si>
  <si>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</si>
  <si>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</si>
  <si>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</si>
  <si>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</si>
  <si>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</si>
  <si>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</si>
  <si>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</si>
  <si>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</si>
  <si>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</si>
  <si>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</si>
  <si>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</si>
  <si>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</si>
  <si>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</si>
  <si>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</si>
  <si>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</si>
  <si>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</si>
  <si>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</si>
  <si>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</si>
  <si>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</si>
  <si>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</si>
  <si>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</si>
  <si>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</si>
  <si>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</si>
  <si>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</si>
  <si>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</si>
  <si>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</si>
  <si>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</si>
  <si>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</si>
  <si>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</si>
  <si>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</si>
  <si>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</si>
  <si>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</si>
  <si>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</si>
  <si>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</si>
  <si>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</si>
  <si>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</si>
  <si>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</si>
  <si>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</si>
  <si>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</si>
  <si>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</si>
  <si>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</si>
  <si>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</si>
  <si>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</si>
  <si>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</si>
  <si>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</si>
  <si>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</si>
  <si>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</si>
  <si>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</si>
  <si>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</si>
  <si>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</si>
  <si>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</si>
  <si>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</si>
  <si>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</si>
  <si>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</si>
  <si>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</si>
  <si>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</si>
  <si>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</si>
  <si>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</si>
  <si>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AccH2O_hum</t>
  </si>
  <si>
    <t>CO2_hrs</t>
  </si>
  <si>
    <t>AccH2O_des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</si>
  <si>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</si>
  <si>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</si>
  <si>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</si>
  <si>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</si>
  <si>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</si>
  <si>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</si>
  <si>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</si>
  <si>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</si>
  <si>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</si>
  <si>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</si>
  <si>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</si>
  <si>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</si>
  <si>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</si>
  <si>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</si>
  <si>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</si>
  <si>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</si>
  <si>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</si>
  <si>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</si>
  <si>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</si>
  <si>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</si>
  <si>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</si>
  <si>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</si>
  <si>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</si>
  <si>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</si>
  <si>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</si>
  <si>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</si>
  <si>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</si>
  <si>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</si>
  <si>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</si>
  <si>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</si>
  <si>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</si>
  <si>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</si>
  <si>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</si>
  <si>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</si>
  <si>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</si>
  <si>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</si>
  <si>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</si>
  <si>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</si>
  <si>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</si>
  <si>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</si>
  <si>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</si>
  <si>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</si>
  <si>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</si>
  <si>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</si>
  <si>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</si>
  <si>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</si>
  <si>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</si>
  <si>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</si>
  <si>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</si>
  <si>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</si>
  <si>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</si>
  <si>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</si>
  <si>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</si>
  <si>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</si>
  <si>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</si>
  <si>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</si>
  <si>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</si>
  <si>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</si>
  <si>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</si>
  <si>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</si>
  <si>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</si>
  <si>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</si>
  <si>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</si>
  <si>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</si>
  <si>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</si>
  <si>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</si>
  <si>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</si>
  <si>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</si>
  <si>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</si>
  <si>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</si>
  <si>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mol⁻¹ s⁻¹</t>
  </si>
  <si>
    <t>cm³</t>
  </si>
  <si>
    <t>mmol mol⁻¹</t>
  </si>
  <si>
    <t>mmol mol⁻¹ s⁻¹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</si>
  <si>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</si>
  <si>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</si>
  <si>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</si>
  <si>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</si>
  <si>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</si>
  <si>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</si>
  <si>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</si>
  <si>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</si>
  <si>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rpm</t>
  </si>
  <si>
    <t>min⁻¹</t>
  </si>
  <si>
    <t>secs</t>
  </si>
  <si>
    <t>µmol/mol</t>
  </si>
  <si>
    <t>mmol/mol</t>
  </si>
  <si>
    <t>µmol mol⁻¹ min⁻¹</t>
  </si>
  <si>
    <t xml:space="preserve"> min⁻¹</t>
  </si>
  <si>
    <t>mmol mol⁻¹ min⁻¹</t>
  </si>
  <si>
    <t>V</t>
  </si>
  <si>
    <t>mV</t>
  </si>
  <si>
    <t>mg</t>
  </si>
  <si>
    <t>hrs</t>
  </si>
  <si>
    <t>min</t>
  </si>
  <si>
    <t>20251017 16:14:14</t>
  </si>
  <si>
    <t>16:14:14</t>
  </si>
  <si>
    <t>gg_16</t>
  </si>
  <si>
    <t>gibson</t>
  </si>
  <si>
    <t>RECT-1-20251017-16_13_52</t>
  </si>
  <si>
    <t>-</t>
  </si>
  <si>
    <t>0: Broadleaf</t>
  </si>
  <si>
    <t>--:--:--</t>
  </si>
  <si>
    <t>2/2</t>
  </si>
  <si>
    <t>11111111</t>
  </si>
  <si>
    <t>oooooooo</t>
  </si>
  <si>
    <t>off</t>
  </si>
  <si>
    <t>20251017 16:17:01</t>
  </si>
  <si>
    <t>16:17:01</t>
  </si>
  <si>
    <t>RECT-2-20251017-16_16_39</t>
  </si>
  <si>
    <t>20251017 16:20:02</t>
  </si>
  <si>
    <t>16:20:02</t>
  </si>
  <si>
    <t>RECT-3-20251017-16_19_40</t>
  </si>
  <si>
    <t>1/2</t>
  </si>
  <si>
    <t>20251017 16:27:28</t>
  </si>
  <si>
    <t>16:27:28</t>
  </si>
  <si>
    <t>gg_36</t>
  </si>
  <si>
    <t>RECT-4-20251017-16_27_06</t>
  </si>
  <si>
    <t>20251017 16:28:44</t>
  </si>
  <si>
    <t>16:28:44</t>
  </si>
  <si>
    <t>RECT-5-20251017-16_28_22</t>
  </si>
  <si>
    <t>20251017 16:30:34</t>
  </si>
  <si>
    <t>16:30:34</t>
  </si>
  <si>
    <t>RECT-6-20251017-16_30_12</t>
  </si>
  <si>
    <t>20251017 16:38:41</t>
  </si>
  <si>
    <t>16:38:41</t>
  </si>
  <si>
    <t>gg_12</t>
  </si>
  <si>
    <t>RECT-7-20251017-16_38_20</t>
  </si>
  <si>
    <t>20251017 16:44:12</t>
  </si>
  <si>
    <t>16:44:12</t>
  </si>
  <si>
    <t>RECT-8-20251017-16_43_50</t>
  </si>
  <si>
    <t>20251017 16:46:23</t>
  </si>
  <si>
    <t>16:46:23</t>
  </si>
  <si>
    <t>RECT-9-20251017-16_46_02</t>
  </si>
  <si>
    <t>20251017 16:52:41</t>
  </si>
  <si>
    <t>16:52:41</t>
  </si>
  <si>
    <t>RECT-10-20251017-16_52_20</t>
  </si>
  <si>
    <t>20251017 16:55:32</t>
  </si>
  <si>
    <t>16:55:32</t>
  </si>
  <si>
    <t>RECT-11-20251017-16_55_11</t>
  </si>
  <si>
    <t>20251017 16:58:26</t>
  </si>
  <si>
    <t>16:58:26</t>
  </si>
  <si>
    <t>RECT-12-20251017-16_58_05</t>
  </si>
  <si>
    <t>20251017 17:04:01</t>
  </si>
  <si>
    <t>17:04:01</t>
  </si>
  <si>
    <t>gg_32</t>
  </si>
  <si>
    <t>RECT-13-20251017-17_03_40</t>
  </si>
  <si>
    <t>20251017 17:07:26</t>
  </si>
  <si>
    <t>17:07:26</t>
  </si>
  <si>
    <t>RECT-14-20251017-17_07_05</t>
  </si>
  <si>
    <t>20251017 17:11:55</t>
  </si>
  <si>
    <t>17:11:55</t>
  </si>
  <si>
    <t>RECT-15-20251017-17_11_34</t>
  </si>
  <si>
    <t>20251017 17:18:16</t>
  </si>
  <si>
    <t>17:18:16</t>
  </si>
  <si>
    <t>gg_22</t>
  </si>
  <si>
    <t>RECT-16-20251017-17_17_55</t>
  </si>
  <si>
    <t>20251017 17:20:48</t>
  </si>
  <si>
    <t>17:20:48</t>
  </si>
  <si>
    <t>RECT-17-20251017-17_20_27</t>
  </si>
  <si>
    <t>20251017 17:23:08</t>
  </si>
  <si>
    <t>17:23:08</t>
  </si>
  <si>
    <t>RECT-18-20251017-17_22_47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</si>
</sst>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KK34"/>
  <sheetViews>
    <sheetView tabSelected="1" workbookViewId="0"/>
  </sheetViews>
  <sheetFormatPr defaultRowHeight="15"/>
  <sheetData>
    <row r="2" spans="1:297">
      <c r="A2" t="s">
        <v>31</v>
      </c>
      <c r="B2" t="s">
        <v>32</v>
      </c>
      <c r="C2" t="s">
        <v>33</v>
      </c>
    </row>
    <row r="3" spans="1:297">
      <c r="B3">
        <v>4</v>
      </c>
      <c r="C3">
        <v>21</v>
      </c>
    </row>
    <row r="4" spans="1:297">
      <c r="A4" t="s">
        <v>34</v>
      </c>
      <c r="B4" t="s">
        <v>35</v>
      </c>
      <c r="C4" t="s">
        <v>36</v>
      </c>
      <c r="D4" t="s">
        <v>38</v>
      </c>
      <c r="E4" t="s">
        <v>39</v>
      </c>
      <c r="F4" t="s">
        <v>40</v>
      </c>
      <c r="G4" t="s">
        <v>41</v>
      </c>
      <c r="H4" t="s">
        <v>42</v>
      </c>
      <c r="I4" t="s">
        <v>43</v>
      </c>
      <c r="J4" t="s">
        <v>44</v>
      </c>
      <c r="K4" t="s">
        <v>45</v>
      </c>
    </row>
    <row r="5" spans="1:297">
      <c r="B5" t="s">
        <v>21</v>
      </c>
      <c r="C5" t="s">
        <v>37</v>
      </c>
      <c r="D5">
        <v>0.578</v>
      </c>
      <c r="E5">
        <v>0.5229739</v>
      </c>
      <c r="F5">
        <v>0.003740252</v>
      </c>
      <c r="G5">
        <v>-0.06197961</v>
      </c>
      <c r="H5">
        <v>-0.005608586</v>
      </c>
      <c r="I5">
        <v>1</v>
      </c>
      <c r="J5">
        <v>6</v>
      </c>
      <c r="K5">
        <v>96.9</v>
      </c>
    </row>
    <row r="6" spans="1:297">
      <c r="A6" t="s">
        <v>46</v>
      </c>
      <c r="B6" t="s">
        <v>47</v>
      </c>
      <c r="C6" t="s">
        <v>48</v>
      </c>
      <c r="D6" t="s">
        <v>49</v>
      </c>
      <c r="E6" t="s">
        <v>50</v>
      </c>
    </row>
    <row r="7" spans="1:297">
      <c r="B7">
        <v>0</v>
      </c>
      <c r="C7">
        <v>0</v>
      </c>
      <c r="D7">
        <v>0</v>
      </c>
      <c r="E7">
        <v>1</v>
      </c>
    </row>
    <row r="8" spans="1:297">
      <c r="A8" t="s">
        <v>51</v>
      </c>
      <c r="B8" t="s">
        <v>52</v>
      </c>
      <c r="C8" t="s">
        <v>54</v>
      </c>
      <c r="D8" t="s">
        <v>56</v>
      </c>
      <c r="E8" t="s">
        <v>57</v>
      </c>
      <c r="F8" t="s">
        <v>58</v>
      </c>
      <c r="G8" t="s">
        <v>59</v>
      </c>
      <c r="H8" t="s">
        <v>60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s">
        <v>66</v>
      </c>
      <c r="O8" t="s">
        <v>67</v>
      </c>
      <c r="P8" t="s">
        <v>68</v>
      </c>
      <c r="Q8" t="s">
        <v>69</v>
      </c>
    </row>
    <row r="9" spans="1:297">
      <c r="B9" t="s">
        <v>53</v>
      </c>
      <c r="C9" t="s">
        <v>55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0.1911</v>
      </c>
      <c r="L9">
        <v>0.1512</v>
      </c>
      <c r="M9">
        <v>0.161</v>
      </c>
      <c r="N9">
        <v>0.2262</v>
      </c>
      <c r="O9">
        <v>0.1575</v>
      </c>
      <c r="P9">
        <v>0.1596</v>
      </c>
      <c r="Q9">
        <v>0.2175</v>
      </c>
    </row>
    <row r="10" spans="1:297">
      <c r="A10" t="s">
        <v>70</v>
      </c>
      <c r="B10" t="s">
        <v>71</v>
      </c>
      <c r="C10" t="s">
        <v>72</v>
      </c>
      <c r="D10" t="s">
        <v>73</v>
      </c>
      <c r="E10" t="s">
        <v>74</v>
      </c>
      <c r="F10" t="s">
        <v>75</v>
      </c>
    </row>
    <row r="11" spans="1:297">
      <c r="B11">
        <v>0</v>
      </c>
      <c r="C11">
        <v>0</v>
      </c>
      <c r="D11">
        <v>0</v>
      </c>
      <c r="E11">
        <v>0</v>
      </c>
      <c r="F11">
        <v>1</v>
      </c>
    </row>
    <row r="12" spans="1:297">
      <c r="A12" t="s">
        <v>76</v>
      </c>
      <c r="B12" t="s">
        <v>77</v>
      </c>
      <c r="C12" t="s">
        <v>78</v>
      </c>
      <c r="D12" t="s">
        <v>79</v>
      </c>
      <c r="E12" t="s">
        <v>80</v>
      </c>
      <c r="F12" t="s">
        <v>81</v>
      </c>
      <c r="G12" t="s">
        <v>83</v>
      </c>
      <c r="H12" t="s">
        <v>85</v>
      </c>
    </row>
    <row r="13" spans="1:297">
      <c r="B13">
        <v>-6276</v>
      </c>
      <c r="C13">
        <v>6.6</v>
      </c>
      <c r="D13">
        <v>1.709e-05</v>
      </c>
      <c r="E13">
        <v>3.11</v>
      </c>
      <c r="F13" t="s">
        <v>82</v>
      </c>
      <c r="G13" t="s">
        <v>84</v>
      </c>
      <c r="H13">
        <v>0</v>
      </c>
    </row>
    <row r="14" spans="1:297">
      <c r="A14" t="s">
        <v>86</v>
      </c>
      <c r="B14" t="s">
        <v>86</v>
      </c>
      <c r="C14" t="s">
        <v>86</v>
      </c>
      <c r="D14" t="s">
        <v>86</v>
      </c>
      <c r="E14" t="s">
        <v>86</v>
      </c>
      <c r="F14" t="s">
        <v>86</v>
      </c>
      <c r="G14" t="s">
        <v>87</v>
      </c>
      <c r="H14" t="s">
        <v>87</v>
      </c>
      <c r="I14" t="s">
        <v>88</v>
      </c>
      <c r="J14" t="s">
        <v>88</v>
      </c>
      <c r="K14" t="s">
        <v>88</v>
      </c>
      <c r="L14" t="s">
        <v>88</v>
      </c>
      <c r="M14" t="s">
        <v>88</v>
      </c>
      <c r="N14" t="s">
        <v>88</v>
      </c>
      <c r="O14" t="s">
        <v>88</v>
      </c>
      <c r="P14" t="s">
        <v>88</v>
      </c>
      <c r="Q14" t="s">
        <v>88</v>
      </c>
      <c r="R14" t="s">
        <v>88</v>
      </c>
      <c r="S14" t="s">
        <v>88</v>
      </c>
      <c r="T14" t="s">
        <v>88</v>
      </c>
      <c r="U14" t="s">
        <v>88</v>
      </c>
      <c r="V14" t="s">
        <v>88</v>
      </c>
      <c r="W14" t="s">
        <v>88</v>
      </c>
      <c r="X14" t="s">
        <v>88</v>
      </c>
      <c r="Y14" t="s">
        <v>88</v>
      </c>
      <c r="Z14" t="s">
        <v>88</v>
      </c>
      <c r="AA14" t="s">
        <v>88</v>
      </c>
      <c r="AB14" t="s">
        <v>88</v>
      </c>
      <c r="AC14" t="s">
        <v>88</v>
      </c>
      <c r="AD14" t="s">
        <v>88</v>
      </c>
      <c r="AE14" t="s">
        <v>88</v>
      </c>
      <c r="AF14" t="s">
        <v>88</v>
      </c>
      <c r="AG14" t="s">
        <v>88</v>
      </c>
      <c r="AH14" t="s">
        <v>88</v>
      </c>
      <c r="AI14" t="s">
        <v>89</v>
      </c>
      <c r="AJ14" t="s">
        <v>89</v>
      </c>
      <c r="AK14" t="s">
        <v>89</v>
      </c>
      <c r="AL14" t="s">
        <v>89</v>
      </c>
      <c r="AM14" t="s">
        <v>89</v>
      </c>
      <c r="AN14" t="s">
        <v>89</v>
      </c>
      <c r="AO14" t="s">
        <v>89</v>
      </c>
      <c r="AP14" t="s">
        <v>89</v>
      </c>
      <c r="AQ14" t="s">
        <v>89</v>
      </c>
      <c r="AR14" t="s">
        <v>89</v>
      </c>
      <c r="AS14" t="s">
        <v>90</v>
      </c>
      <c r="AT14" t="s">
        <v>90</v>
      </c>
      <c r="AU14" t="s">
        <v>90</v>
      </c>
      <c r="AV14" t="s">
        <v>90</v>
      </c>
      <c r="AW14" t="s">
        <v>90</v>
      </c>
      <c r="AX14" t="s">
        <v>91</v>
      </c>
      <c r="AY14" t="s">
        <v>91</v>
      </c>
      <c r="AZ14" t="s">
        <v>91</v>
      </c>
      <c r="BA14" t="s">
        <v>91</v>
      </c>
      <c r="BB14" t="s">
        <v>91</v>
      </c>
      <c r="BC14" t="s">
        <v>91</v>
      </c>
      <c r="BD14" t="s">
        <v>91</v>
      </c>
      <c r="BE14" t="s">
        <v>91</v>
      </c>
      <c r="BF14" t="s">
        <v>91</v>
      </c>
      <c r="BG14" t="s">
        <v>91</v>
      </c>
      <c r="BH14" t="s">
        <v>91</v>
      </c>
      <c r="BI14" t="s">
        <v>91</v>
      </c>
      <c r="BJ14" t="s">
        <v>91</v>
      </c>
      <c r="BK14" t="s">
        <v>91</v>
      </c>
      <c r="BL14" t="s">
        <v>91</v>
      </c>
      <c r="BM14" t="s">
        <v>91</v>
      </c>
      <c r="BN14" t="s">
        <v>91</v>
      </c>
      <c r="BO14" t="s">
        <v>91</v>
      </c>
      <c r="BP14" t="s">
        <v>91</v>
      </c>
      <c r="BQ14" t="s">
        <v>91</v>
      </c>
      <c r="BR14" t="s">
        <v>91</v>
      </c>
      <c r="BS14" t="s">
        <v>91</v>
      </c>
      <c r="BT14" t="s">
        <v>91</v>
      </c>
      <c r="BU14" t="s">
        <v>91</v>
      </c>
      <c r="BV14" t="s">
        <v>91</v>
      </c>
      <c r="BW14" t="s">
        <v>91</v>
      </c>
      <c r="BX14" t="s">
        <v>91</v>
      </c>
      <c r="BY14" t="s">
        <v>91</v>
      </c>
      <c r="BZ14" t="s">
        <v>92</v>
      </c>
      <c r="CA14" t="s">
        <v>92</v>
      </c>
      <c r="CB14" t="s">
        <v>92</v>
      </c>
      <c r="CC14" t="s">
        <v>92</v>
      </c>
      <c r="CD14" t="s">
        <v>92</v>
      </c>
      <c r="CE14" t="s">
        <v>92</v>
      </c>
      <c r="CF14" t="s">
        <v>92</v>
      </c>
      <c r="CG14" t="s">
        <v>92</v>
      </c>
      <c r="CH14" t="s">
        <v>92</v>
      </c>
      <c r="CI14" t="s">
        <v>92</v>
      </c>
      <c r="CJ14" t="s">
        <v>92</v>
      </c>
      <c r="CK14" t="s">
        <v>92</v>
      </c>
      <c r="CL14" t="s">
        <v>92</v>
      </c>
      <c r="CM14" t="s">
        <v>92</v>
      </c>
      <c r="CN14" t="s">
        <v>92</v>
      </c>
      <c r="CO14" t="s">
        <v>92</v>
      </c>
      <c r="CP14" t="s">
        <v>92</v>
      </c>
      <c r="CQ14" t="s">
        <v>92</v>
      </c>
      <c r="CR14" t="s">
        <v>92</v>
      </c>
      <c r="CS14" t="s">
        <v>92</v>
      </c>
      <c r="CT14" t="s">
        <v>92</v>
      </c>
      <c r="CU14" t="s">
        <v>93</v>
      </c>
      <c r="CV14" t="s">
        <v>93</v>
      </c>
      <c r="CW14" t="s">
        <v>93</v>
      </c>
      <c r="CX14" t="s">
        <v>93</v>
      </c>
      <c r="CY14" t="s">
        <v>93</v>
      </c>
      <c r="CZ14" t="s">
        <v>93</v>
      </c>
      <c r="DA14" t="s">
        <v>93</v>
      </c>
      <c r="DB14" t="s">
        <v>93</v>
      </c>
      <c r="DC14" t="s">
        <v>93</v>
      </c>
      <c r="DD14" t="s">
        <v>93</v>
      </c>
      <c r="DE14" t="s">
        <v>93</v>
      </c>
      <c r="DF14" t="s">
        <v>93</v>
      </c>
      <c r="DG14" t="s">
        <v>93</v>
      </c>
      <c r="DH14" t="s">
        <v>94</v>
      </c>
      <c r="DI14" t="s">
        <v>94</v>
      </c>
      <c r="DJ14" t="s">
        <v>94</v>
      </c>
      <c r="DK14" t="s">
        <v>94</v>
      </c>
      <c r="DL14" t="s">
        <v>95</v>
      </c>
      <c r="DM14" t="s">
        <v>95</v>
      </c>
      <c r="DN14" t="s">
        <v>95</v>
      </c>
      <c r="DO14" t="s">
        <v>95</v>
      </c>
      <c r="DP14" t="s">
        <v>95</v>
      </c>
      <c r="DQ14" t="s">
        <v>96</v>
      </c>
      <c r="DR14" t="s">
        <v>96</v>
      </c>
      <c r="DS14" t="s">
        <v>96</v>
      </c>
      <c r="DT14" t="s">
        <v>96</v>
      </c>
      <c r="DU14" t="s">
        <v>96</v>
      </c>
      <c r="DV14" t="s">
        <v>96</v>
      </c>
      <c r="DW14" t="s">
        <v>96</v>
      </c>
      <c r="DX14" t="s">
        <v>96</v>
      </c>
      <c r="DY14" t="s">
        <v>96</v>
      </c>
      <c r="DZ14" t="s">
        <v>96</v>
      </c>
      <c r="EA14" t="s">
        <v>96</v>
      </c>
      <c r="EB14" t="s">
        <v>96</v>
      </c>
      <c r="EC14" t="s">
        <v>96</v>
      </c>
      <c r="ED14" t="s">
        <v>96</v>
      </c>
      <c r="EE14" t="s">
        <v>96</v>
      </c>
      <c r="EF14" t="s">
        <v>96</v>
      </c>
      <c r="EG14" t="s">
        <v>96</v>
      </c>
      <c r="EH14" t="s">
        <v>96</v>
      </c>
      <c r="EI14" t="s">
        <v>97</v>
      </c>
      <c r="EJ14" t="s">
        <v>97</v>
      </c>
      <c r="EK14" t="s">
        <v>97</v>
      </c>
      <c r="EL14" t="s">
        <v>97</v>
      </c>
      <c r="EM14" t="s">
        <v>97</v>
      </c>
      <c r="EN14" t="s">
        <v>97</v>
      </c>
      <c r="EO14" t="s">
        <v>97</v>
      </c>
      <c r="EP14" t="s">
        <v>97</v>
      </c>
      <c r="EQ14" t="s">
        <v>97</v>
      </c>
      <c r="ER14" t="s">
        <v>97</v>
      </c>
      <c r="ES14" t="s">
        <v>98</v>
      </c>
      <c r="ET14" t="s">
        <v>98</v>
      </c>
      <c r="EU14" t="s">
        <v>98</v>
      </c>
      <c r="EV14" t="s">
        <v>98</v>
      </c>
      <c r="EW14" t="s">
        <v>98</v>
      </c>
      <c r="EX14" t="s">
        <v>98</v>
      </c>
      <c r="EY14" t="s">
        <v>98</v>
      </c>
      <c r="EZ14" t="s">
        <v>98</v>
      </c>
      <c r="FA14" t="s">
        <v>98</v>
      </c>
      <c r="FB14" t="s">
        <v>98</v>
      </c>
      <c r="FC14" t="s">
        <v>98</v>
      </c>
      <c r="FD14" t="s">
        <v>98</v>
      </c>
      <c r="FE14" t="s">
        <v>98</v>
      </c>
      <c r="FF14" t="s">
        <v>98</v>
      </c>
      <c r="FG14" t="s">
        <v>98</v>
      </c>
      <c r="FH14" t="s">
        <v>98</v>
      </c>
      <c r="FI14" t="s">
        <v>98</v>
      </c>
      <c r="FJ14" t="s">
        <v>98</v>
      </c>
      <c r="FK14" t="s">
        <v>99</v>
      </c>
      <c r="FL14" t="s">
        <v>99</v>
      </c>
      <c r="FM14" t="s">
        <v>99</v>
      </c>
      <c r="FN14" t="s">
        <v>99</v>
      </c>
      <c r="FO14" t="s">
        <v>99</v>
      </c>
      <c r="FP14" t="s">
        <v>100</v>
      </c>
      <c r="FQ14" t="s">
        <v>100</v>
      </c>
      <c r="FR14" t="s">
        <v>100</v>
      </c>
      <c r="FS14" t="s">
        <v>100</v>
      </c>
      <c r="FT14" t="s">
        <v>100</v>
      </c>
      <c r="FU14" t="s">
        <v>100</v>
      </c>
      <c r="FV14" t="s">
        <v>100</v>
      </c>
      <c r="FW14" t="s">
        <v>100</v>
      </c>
      <c r="FX14" t="s">
        <v>100</v>
      </c>
      <c r="FY14" t="s">
        <v>100</v>
      </c>
      <c r="FZ14" t="s">
        <v>100</v>
      </c>
      <c r="GA14" t="s">
        <v>100</v>
      </c>
      <c r="GB14" t="s">
        <v>100</v>
      </c>
      <c r="GC14" t="s">
        <v>101</v>
      </c>
      <c r="GD14" t="s">
        <v>101</v>
      </c>
      <c r="GE14" t="s">
        <v>101</v>
      </c>
      <c r="GF14" t="s">
        <v>101</v>
      </c>
      <c r="GG14" t="s">
        <v>101</v>
      </c>
      <c r="GH14" t="s">
        <v>101</v>
      </c>
      <c r="GI14" t="s">
        <v>101</v>
      </c>
      <c r="GJ14" t="s">
        <v>101</v>
      </c>
      <c r="GK14" t="s">
        <v>101</v>
      </c>
      <c r="GL14" t="s">
        <v>101</v>
      </c>
      <c r="GM14" t="s">
        <v>101</v>
      </c>
      <c r="GN14" t="s">
        <v>101</v>
      </c>
      <c r="GO14" t="s">
        <v>101</v>
      </c>
      <c r="GP14" t="s">
        <v>101</v>
      </c>
      <c r="GQ14" t="s">
        <v>101</v>
      </c>
      <c r="GR14" t="s">
        <v>102</v>
      </c>
      <c r="GS14" t="s">
        <v>102</v>
      </c>
      <c r="GT14" t="s">
        <v>102</v>
      </c>
      <c r="GU14" t="s">
        <v>102</v>
      </c>
      <c r="GV14" t="s">
        <v>102</v>
      </c>
      <c r="GW14" t="s">
        <v>102</v>
      </c>
      <c r="GX14" t="s">
        <v>102</v>
      </c>
      <c r="GY14" t="s">
        <v>102</v>
      </c>
      <c r="GZ14" t="s">
        <v>102</v>
      </c>
      <c r="HA14" t="s">
        <v>102</v>
      </c>
      <c r="HB14" t="s">
        <v>102</v>
      </c>
      <c r="HC14" t="s">
        <v>102</v>
      </c>
      <c r="HD14" t="s">
        <v>102</v>
      </c>
      <c r="HE14" t="s">
        <v>102</v>
      </c>
      <c r="HF14" t="s">
        <v>102</v>
      </c>
      <c r="HG14" t="s">
        <v>102</v>
      </c>
      <c r="HH14" t="s">
        <v>102</v>
      </c>
      <c r="HI14" t="s">
        <v>102</v>
      </c>
      <c r="HJ14" t="s">
        <v>103</v>
      </c>
      <c r="HK14" t="s">
        <v>103</v>
      </c>
      <c r="HL14" t="s">
        <v>103</v>
      </c>
      <c r="HM14" t="s">
        <v>103</v>
      </c>
      <c r="HN14" t="s">
        <v>103</v>
      </c>
      <c r="HO14" t="s">
        <v>103</v>
      </c>
      <c r="HP14" t="s">
        <v>103</v>
      </c>
      <c r="HQ14" t="s">
        <v>103</v>
      </c>
      <c r="HR14" t="s">
        <v>103</v>
      </c>
      <c r="HS14" t="s">
        <v>103</v>
      </c>
      <c r="HT14" t="s">
        <v>103</v>
      </c>
      <c r="HU14" t="s">
        <v>103</v>
      </c>
      <c r="HV14" t="s">
        <v>103</v>
      </c>
      <c r="HW14" t="s">
        <v>103</v>
      </c>
      <c r="HX14" t="s">
        <v>103</v>
      </c>
      <c r="HY14" t="s">
        <v>103</v>
      </c>
      <c r="HZ14" t="s">
        <v>103</v>
      </c>
      <c r="IA14" t="s">
        <v>103</v>
      </c>
      <c r="IB14" t="s">
        <v>103</v>
      </c>
      <c r="IC14" t="s">
        <v>104</v>
      </c>
      <c r="ID14" t="s">
        <v>104</v>
      </c>
      <c r="IE14" t="s">
        <v>104</v>
      </c>
      <c r="IF14" t="s">
        <v>104</v>
      </c>
      <c r="IG14" t="s">
        <v>104</v>
      </c>
      <c r="IH14" t="s">
        <v>104</v>
      </c>
      <c r="II14" t="s">
        <v>104</v>
      </c>
      <c r="IJ14" t="s">
        <v>104</v>
      </c>
      <c r="IK14" t="s">
        <v>104</v>
      </c>
      <c r="IL14" t="s">
        <v>104</v>
      </c>
      <c r="IM14" t="s">
        <v>104</v>
      </c>
      <c r="IN14" t="s">
        <v>104</v>
      </c>
      <c r="IO14" t="s">
        <v>104</v>
      </c>
      <c r="IP14" t="s">
        <v>104</v>
      </c>
      <c r="IQ14" t="s">
        <v>104</v>
      </c>
      <c r="IR14" t="s">
        <v>104</v>
      </c>
      <c r="IS14" t="s">
        <v>104</v>
      </c>
      <c r="IT14" t="s">
        <v>104</v>
      </c>
      <c r="IU14" t="s">
        <v>104</v>
      </c>
      <c r="IV14" t="s">
        <v>105</v>
      </c>
      <c r="IW14" t="s">
        <v>105</v>
      </c>
      <c r="IX14" t="s">
        <v>105</v>
      </c>
      <c r="IY14" t="s">
        <v>105</v>
      </c>
      <c r="IZ14" t="s">
        <v>105</v>
      </c>
      <c r="JA14" t="s">
        <v>105</v>
      </c>
      <c r="JB14" t="s">
        <v>105</v>
      </c>
      <c r="JC14" t="s">
        <v>105</v>
      </c>
      <c r="JD14" t="s">
        <v>105</v>
      </c>
      <c r="JE14" t="s">
        <v>105</v>
      </c>
      <c r="JF14" t="s">
        <v>105</v>
      </c>
      <c r="JG14" t="s">
        <v>105</v>
      </c>
      <c r="JH14" t="s">
        <v>105</v>
      </c>
      <c r="JI14" t="s">
        <v>105</v>
      </c>
      <c r="JJ14" t="s">
        <v>105</v>
      </c>
      <c r="JK14" t="s">
        <v>105</v>
      </c>
      <c r="JL14" t="s">
        <v>105</v>
      </c>
      <c r="JM14" t="s">
        <v>105</v>
      </c>
      <c r="JN14" t="s">
        <v>106</v>
      </c>
      <c r="JO14" t="s">
        <v>106</v>
      </c>
      <c r="JP14" t="s">
        <v>106</v>
      </c>
      <c r="JQ14" t="s">
        <v>106</v>
      </c>
      <c r="JR14" t="s">
        <v>106</v>
      </c>
      <c r="JS14" t="s">
        <v>106</v>
      </c>
      <c r="JT14" t="s">
        <v>106</v>
      </c>
      <c r="JU14" t="s">
        <v>106</v>
      </c>
      <c r="JV14" t="s">
        <v>107</v>
      </c>
      <c r="JW14" t="s">
        <v>107</v>
      </c>
      <c r="JX14" t="s">
        <v>107</v>
      </c>
      <c r="JY14" t="s">
        <v>107</v>
      </c>
      <c r="JZ14" t="s">
        <v>107</v>
      </c>
      <c r="KA14" t="s">
        <v>107</v>
      </c>
      <c r="KB14" t="s">
        <v>107</v>
      </c>
      <c r="KC14" t="s">
        <v>107</v>
      </c>
      <c r="KD14" t="s">
        <v>107</v>
      </c>
      <c r="KE14" t="s">
        <v>107</v>
      </c>
      <c r="KF14" t="s">
        <v>107</v>
      </c>
      <c r="KG14" t="s">
        <v>107</v>
      </c>
      <c r="KH14" t="s">
        <v>107</v>
      </c>
      <c r="KI14" t="s">
        <v>107</v>
      </c>
      <c r="KJ14" t="s">
        <v>107</v>
      </c>
      <c r="KK14" t="s">
        <v>107</v>
      </c>
    </row>
    <row r="15" spans="1:297">
      <c r="A15" t="s">
        <v>108</v>
      </c>
      <c r="B15" t="s">
        <v>109</v>
      </c>
      <c r="C15" t="s">
        <v>110</v>
      </c>
      <c r="D15" t="s">
        <v>111</v>
      </c>
      <c r="E15" t="s">
        <v>112</v>
      </c>
      <c r="F15" t="s">
        <v>113</v>
      </c>
      <c r="G15" t="s">
        <v>114</v>
      </c>
      <c r="H15" t="s">
        <v>115</v>
      </c>
      <c r="I15" t="s">
        <v>116</v>
      </c>
      <c r="J15" t="s">
        <v>117</v>
      </c>
      <c r="K15" t="s">
        <v>118</v>
      </c>
      <c r="L15" t="s">
        <v>119</v>
      </c>
      <c r="M15" t="s">
        <v>120</v>
      </c>
      <c r="N15" t="s">
        <v>121</v>
      </c>
      <c r="O15" t="s">
        <v>122</v>
      </c>
      <c r="P15" t="s">
        <v>123</v>
      </c>
      <c r="Q15" t="s">
        <v>124</v>
      </c>
      <c r="R15" t="s">
        <v>125</v>
      </c>
      <c r="S15" t="s">
        <v>126</v>
      </c>
      <c r="T15" t="s">
        <v>127</v>
      </c>
      <c r="U15" t="s">
        <v>128</v>
      </c>
      <c r="V15" t="s">
        <v>129</v>
      </c>
      <c r="W15" t="s">
        <v>130</v>
      </c>
      <c r="X15" t="s">
        <v>131</v>
      </c>
      <c r="Y15" t="s">
        <v>132</v>
      </c>
      <c r="Z15" t="s">
        <v>133</v>
      </c>
      <c r="AA15" t="s">
        <v>134</v>
      </c>
      <c r="AB15" t="s">
        <v>135</v>
      </c>
      <c r="AC15" t="s">
        <v>136</v>
      </c>
      <c r="AD15" t="s">
        <v>137</v>
      </c>
      <c r="AE15" t="s">
        <v>138</v>
      </c>
      <c r="AF15" t="s">
        <v>139</v>
      </c>
      <c r="AG15" t="s">
        <v>140</v>
      </c>
      <c r="AH15" t="s">
        <v>141</v>
      </c>
      <c r="AI15" t="s">
        <v>142</v>
      </c>
      <c r="AJ15" t="s">
        <v>143</v>
      </c>
      <c r="AK15" t="s">
        <v>144</v>
      </c>
      <c r="AL15" t="s">
        <v>145</v>
      </c>
      <c r="AM15" t="s">
        <v>146</v>
      </c>
      <c r="AN15" t="s">
        <v>147</v>
      </c>
      <c r="AO15" t="s">
        <v>148</v>
      </c>
      <c r="AP15" t="s">
        <v>149</v>
      </c>
      <c r="AQ15" t="s">
        <v>150</v>
      </c>
      <c r="AR15" t="s">
        <v>151</v>
      </c>
      <c r="AS15" t="s">
        <v>90</v>
      </c>
      <c r="AT15" t="s">
        <v>152</v>
      </c>
      <c r="AU15" t="s">
        <v>153</v>
      </c>
      <c r="AV15" t="s">
        <v>154</v>
      </c>
      <c r="AW15" t="s">
        <v>155</v>
      </c>
      <c r="AX15" t="s">
        <v>156</v>
      </c>
      <c r="AY15" t="s">
        <v>157</v>
      </c>
      <c r="AZ15" t="s">
        <v>158</v>
      </c>
      <c r="BA15" t="s">
        <v>159</v>
      </c>
      <c r="BB15" t="s">
        <v>160</v>
      </c>
      <c r="BC15" t="s">
        <v>161</v>
      </c>
      <c r="BD15" t="s">
        <v>162</v>
      </c>
      <c r="BE15" t="s">
        <v>163</v>
      </c>
      <c r="BF15" t="s">
        <v>164</v>
      </c>
      <c r="BG15" t="s">
        <v>165</v>
      </c>
      <c r="BH15" t="s">
        <v>166</v>
      </c>
      <c r="BI15" t="s">
        <v>167</v>
      </c>
      <c r="BJ15" t="s">
        <v>168</v>
      </c>
      <c r="BK15" t="s">
        <v>169</v>
      </c>
      <c r="BL15" t="s">
        <v>170</v>
      </c>
      <c r="BM15" t="s">
        <v>171</v>
      </c>
      <c r="BN15" t="s">
        <v>172</v>
      </c>
      <c r="BO15" t="s">
        <v>173</v>
      </c>
      <c r="BP15" t="s">
        <v>174</v>
      </c>
      <c r="BQ15" t="s">
        <v>175</v>
      </c>
      <c r="BR15" t="s">
        <v>176</v>
      </c>
      <c r="BS15" t="s">
        <v>177</v>
      </c>
      <c r="BT15" t="s">
        <v>178</v>
      </c>
      <c r="BU15" t="s">
        <v>179</v>
      </c>
      <c r="BV15" t="s">
        <v>180</v>
      </c>
      <c r="BW15" t="s">
        <v>181</v>
      </c>
      <c r="BX15" t="s">
        <v>182</v>
      </c>
      <c r="BY15" t="s">
        <v>183</v>
      </c>
      <c r="BZ15" t="s">
        <v>184</v>
      </c>
      <c r="CA15" t="s">
        <v>185</v>
      </c>
      <c r="CB15" t="s">
        <v>186</v>
      </c>
      <c r="CC15" t="s">
        <v>187</v>
      </c>
      <c r="CD15" t="s">
        <v>188</v>
      </c>
      <c r="CE15" t="s">
        <v>189</v>
      </c>
      <c r="CF15" t="s">
        <v>190</v>
      </c>
      <c r="CG15" t="s">
        <v>191</v>
      </c>
      <c r="CH15" t="s">
        <v>192</v>
      </c>
      <c r="CI15" t="s">
        <v>193</v>
      </c>
      <c r="CJ15" t="s">
        <v>194</v>
      </c>
      <c r="CK15" t="s">
        <v>195</v>
      </c>
      <c r="CL15" t="s">
        <v>196</v>
      </c>
      <c r="CM15" t="s">
        <v>197</v>
      </c>
      <c r="CN15" t="s">
        <v>198</v>
      </c>
      <c r="CO15" t="s">
        <v>199</v>
      </c>
      <c r="CP15" t="s">
        <v>200</v>
      </c>
      <c r="CQ15" t="s">
        <v>201</v>
      </c>
      <c r="CR15" t="s">
        <v>202</v>
      </c>
      <c r="CS15" t="s">
        <v>203</v>
      </c>
      <c r="CT15" t="s">
        <v>204</v>
      </c>
      <c r="CU15" t="s">
        <v>184</v>
      </c>
      <c r="CV15" t="s">
        <v>205</v>
      </c>
      <c r="CW15" t="s">
        <v>206</v>
      </c>
      <c r="CX15" t="s">
        <v>207</v>
      </c>
      <c r="CY15" t="s">
        <v>158</v>
      </c>
      <c r="CZ15" t="s">
        <v>208</v>
      </c>
      <c r="DA15" t="s">
        <v>209</v>
      </c>
      <c r="DB15" t="s">
        <v>210</v>
      </c>
      <c r="DC15" t="s">
        <v>211</v>
      </c>
      <c r="DD15" t="s">
        <v>212</v>
      </c>
      <c r="DE15" t="s">
        <v>213</v>
      </c>
      <c r="DF15" t="s">
        <v>214</v>
      </c>
      <c r="DG15" t="s">
        <v>215</v>
      </c>
      <c r="DH15" t="s">
        <v>216</v>
      </c>
      <c r="DI15" t="s">
        <v>217</v>
      </c>
      <c r="DJ15" t="s">
        <v>218</v>
      </c>
      <c r="DK15" t="s">
        <v>219</v>
      </c>
      <c r="DL15" t="s">
        <v>220</v>
      </c>
      <c r="DM15" t="s">
        <v>221</v>
      </c>
      <c r="DN15" t="s">
        <v>222</v>
      </c>
      <c r="DO15" t="s">
        <v>223</v>
      </c>
      <c r="DP15" t="s">
        <v>224</v>
      </c>
      <c r="DQ15" t="s">
        <v>116</v>
      </c>
      <c r="DR15" t="s">
        <v>225</v>
      </c>
      <c r="DS15" t="s">
        <v>226</v>
      </c>
      <c r="DT15" t="s">
        <v>227</v>
      </c>
      <c r="DU15" t="s">
        <v>228</v>
      </c>
      <c r="DV15" t="s">
        <v>229</v>
      </c>
      <c r="DW15" t="s">
        <v>230</v>
      </c>
      <c r="DX15" t="s">
        <v>231</v>
      </c>
      <c r="DY15" t="s">
        <v>232</v>
      </c>
      <c r="DZ15" t="s">
        <v>233</v>
      </c>
      <c r="EA15" t="s">
        <v>234</v>
      </c>
      <c r="EB15" t="s">
        <v>235</v>
      </c>
      <c r="EC15" t="s">
        <v>236</v>
      </c>
      <c r="ED15" t="s">
        <v>237</v>
      </c>
      <c r="EE15" t="s">
        <v>238</v>
      </c>
      <c r="EF15" t="s">
        <v>239</v>
      </c>
      <c r="EG15" t="s">
        <v>240</v>
      </c>
      <c r="EH15" t="s">
        <v>241</v>
      </c>
      <c r="EI15" t="s">
        <v>242</v>
      </c>
      <c r="EJ15" t="s">
        <v>243</v>
      </c>
      <c r="EK15" t="s">
        <v>244</v>
      </c>
      <c r="EL15" t="s">
        <v>245</v>
      </c>
      <c r="EM15" t="s">
        <v>246</v>
      </c>
      <c r="EN15" t="s">
        <v>247</v>
      </c>
      <c r="EO15" t="s">
        <v>248</v>
      </c>
      <c r="EP15" t="s">
        <v>249</v>
      </c>
      <c r="EQ15" t="s">
        <v>250</v>
      </c>
      <c r="ER15" t="s">
        <v>251</v>
      </c>
      <c r="ES15" t="s">
        <v>252</v>
      </c>
      <c r="ET15" t="s">
        <v>253</v>
      </c>
      <c r="EU15" t="s">
        <v>254</v>
      </c>
      <c r="EV15" t="s">
        <v>255</v>
      </c>
      <c r="EW15" t="s">
        <v>256</v>
      </c>
      <c r="EX15" t="s">
        <v>257</v>
      </c>
      <c r="EY15" t="s">
        <v>258</v>
      </c>
      <c r="EZ15" t="s">
        <v>259</v>
      </c>
      <c r="FA15" t="s">
        <v>260</v>
      </c>
      <c r="FB15" t="s">
        <v>261</v>
      </c>
      <c r="FC15" t="s">
        <v>262</v>
      </c>
      <c r="FD15" t="s">
        <v>263</v>
      </c>
      <c r="FE15" t="s">
        <v>264</v>
      </c>
      <c r="FF15" t="s">
        <v>265</v>
      </c>
      <c r="FG15" t="s">
        <v>266</v>
      </c>
      <c r="FH15" t="s">
        <v>267</v>
      </c>
      <c r="FI15" t="s">
        <v>268</v>
      </c>
      <c r="FJ15" t="s">
        <v>269</v>
      </c>
      <c r="FK15" t="s">
        <v>270</v>
      </c>
      <c r="FL15" t="s">
        <v>271</v>
      </c>
      <c r="FM15" t="s">
        <v>272</v>
      </c>
      <c r="FN15" t="s">
        <v>273</v>
      </c>
      <c r="FO15" t="s">
        <v>274</v>
      </c>
      <c r="FP15" t="s">
        <v>109</v>
      </c>
      <c r="FQ15" t="s">
        <v>112</v>
      </c>
      <c r="FR15" t="s">
        <v>275</v>
      </c>
      <c r="FS15" t="s">
        <v>276</v>
      </c>
      <c r="FT15" t="s">
        <v>277</v>
      </c>
      <c r="FU15" t="s">
        <v>278</v>
      </c>
      <c r="FV15" t="s">
        <v>279</v>
      </c>
      <c r="FW15" t="s">
        <v>280</v>
      </c>
      <c r="FX15" t="s">
        <v>281</v>
      </c>
      <c r="FY15" t="s">
        <v>282</v>
      </c>
      <c r="FZ15" t="s">
        <v>283</v>
      </c>
      <c r="GA15" t="s">
        <v>284</v>
      </c>
      <c r="GB15" t="s">
        <v>285</v>
      </c>
      <c r="GC15" t="s">
        <v>286</v>
      </c>
      <c r="GD15" t="s">
        <v>287</v>
      </c>
      <c r="GE15" t="s">
        <v>288</v>
      </c>
      <c r="GF15" t="s">
        <v>289</v>
      </c>
      <c r="GG15" t="s">
        <v>290</v>
      </c>
      <c r="GH15" t="s">
        <v>291</v>
      </c>
      <c r="GI15" t="s">
        <v>292</v>
      </c>
      <c r="GJ15" t="s">
        <v>293</v>
      </c>
      <c r="GK15" t="s">
        <v>294</v>
      </c>
      <c r="GL15" t="s">
        <v>295</v>
      </c>
      <c r="GM15" t="s">
        <v>296</v>
      </c>
      <c r="GN15" t="s">
        <v>297</v>
      </c>
      <c r="GO15" t="s">
        <v>298</v>
      </c>
      <c r="GP15" t="s">
        <v>299</v>
      </c>
      <c r="GQ15" t="s">
        <v>300</v>
      </c>
      <c r="GR15" t="s">
        <v>301</v>
      </c>
      <c r="GS15" t="s">
        <v>302</v>
      </c>
      <c r="GT15" t="s">
        <v>303</v>
      </c>
      <c r="GU15" t="s">
        <v>304</v>
      </c>
      <c r="GV15" t="s">
        <v>305</v>
      </c>
      <c r="GW15" t="s">
        <v>306</v>
      </c>
      <c r="GX15" t="s">
        <v>307</v>
      </c>
      <c r="GY15" t="s">
        <v>308</v>
      </c>
      <c r="GZ15" t="s">
        <v>309</v>
      </c>
      <c r="HA15" t="s">
        <v>310</v>
      </c>
      <c r="HB15" t="s">
        <v>311</v>
      </c>
      <c r="HC15" t="s">
        <v>312</v>
      </c>
      <c r="HD15" t="s">
        <v>313</v>
      </c>
      <c r="HE15" t="s">
        <v>314</v>
      </c>
      <c r="HF15" t="s">
        <v>315</v>
      </c>
      <c r="HG15" t="s">
        <v>316</v>
      </c>
      <c r="HH15" t="s">
        <v>317</v>
      </c>
      <c r="HI15" t="s">
        <v>318</v>
      </c>
      <c r="HJ15" t="s">
        <v>319</v>
      </c>
      <c r="HK15" t="s">
        <v>320</v>
      </c>
      <c r="HL15" t="s">
        <v>321</v>
      </c>
      <c r="HM15" t="s">
        <v>322</v>
      </c>
      <c r="HN15" t="s">
        <v>323</v>
      </c>
      <c r="HO15" t="s">
        <v>324</v>
      </c>
      <c r="HP15" t="s">
        <v>325</v>
      </c>
      <c r="HQ15" t="s">
        <v>326</v>
      </c>
      <c r="HR15" t="s">
        <v>327</v>
      </c>
      <c r="HS15" t="s">
        <v>328</v>
      </c>
      <c r="HT15" t="s">
        <v>329</v>
      </c>
      <c r="HU15" t="s">
        <v>330</v>
      </c>
      <c r="HV15" t="s">
        <v>331</v>
      </c>
      <c r="HW15" t="s">
        <v>332</v>
      </c>
      <c r="HX15" t="s">
        <v>333</v>
      </c>
      <c r="HY15" t="s">
        <v>334</v>
      </c>
      <c r="HZ15" t="s">
        <v>335</v>
      </c>
      <c r="IA15" t="s">
        <v>336</v>
      </c>
      <c r="IB15" t="s">
        <v>337</v>
      </c>
      <c r="IC15" t="s">
        <v>338</v>
      </c>
      <c r="ID15" t="s">
        <v>339</v>
      </c>
      <c r="IE15" t="s">
        <v>340</v>
      </c>
      <c r="IF15" t="s">
        <v>341</v>
      </c>
      <c r="IG15" t="s">
        <v>342</v>
      </c>
      <c r="IH15" t="s">
        <v>343</v>
      </c>
      <c r="II15" t="s">
        <v>344</v>
      </c>
      <c r="IJ15" t="s">
        <v>345</v>
      </c>
      <c r="IK15" t="s">
        <v>346</v>
      </c>
      <c r="IL15" t="s">
        <v>347</v>
      </c>
      <c r="IM15" t="s">
        <v>348</v>
      </c>
      <c r="IN15" t="s">
        <v>349</v>
      </c>
      <c r="IO15" t="s">
        <v>350</v>
      </c>
      <c r="IP15" t="s">
        <v>351</v>
      </c>
      <c r="IQ15" t="s">
        <v>352</v>
      </c>
      <c r="IR15" t="s">
        <v>353</v>
      </c>
      <c r="IS15" t="s">
        <v>354</v>
      </c>
      <c r="IT15" t="s">
        <v>355</v>
      </c>
      <c r="IU15" t="s">
        <v>356</v>
      </c>
      <c r="IV15" t="s">
        <v>357</v>
      </c>
      <c r="IW15" t="s">
        <v>358</v>
      </c>
      <c r="IX15" t="s">
        <v>359</v>
      </c>
      <c r="IY15" t="s">
        <v>360</v>
      </c>
      <c r="IZ15" t="s">
        <v>361</v>
      </c>
      <c r="JA15" t="s">
        <v>362</v>
      </c>
      <c r="JB15" t="s">
        <v>363</v>
      </c>
      <c r="JC15" t="s">
        <v>364</v>
      </c>
      <c r="JD15" t="s">
        <v>365</v>
      </c>
      <c r="JE15" t="s">
        <v>366</v>
      </c>
      <c r="JF15" t="s">
        <v>367</v>
      </c>
      <c r="JG15" t="s">
        <v>368</v>
      </c>
      <c r="JH15" t="s">
        <v>369</v>
      </c>
      <c r="JI15" t="s">
        <v>370</v>
      </c>
      <c r="JJ15" t="s">
        <v>371</v>
      </c>
      <c r="JK15" t="s">
        <v>372</v>
      </c>
      <c r="JL15" t="s">
        <v>373</v>
      </c>
      <c r="JM15" t="s">
        <v>374</v>
      </c>
      <c r="JN15" t="s">
        <v>375</v>
      </c>
      <c r="JO15" t="s">
        <v>376</v>
      </c>
      <c r="JP15" t="s">
        <v>377</v>
      </c>
      <c r="JQ15" t="s">
        <v>378</v>
      </c>
      <c r="JR15" t="s">
        <v>379</v>
      </c>
      <c r="JS15" t="s">
        <v>380</v>
      </c>
      <c r="JT15" t="s">
        <v>381</v>
      </c>
      <c r="JU15" t="s">
        <v>382</v>
      </c>
      <c r="JV15" t="s">
        <v>383</v>
      </c>
      <c r="JW15" t="s">
        <v>384</v>
      </c>
      <c r="JX15" t="s">
        <v>385</v>
      </c>
      <c r="JY15" t="s">
        <v>386</v>
      </c>
      <c r="JZ15" t="s">
        <v>387</v>
      </c>
      <c r="KA15" t="s">
        <v>388</v>
      </c>
      <c r="KB15" t="s">
        <v>389</v>
      </c>
      <c r="KC15" t="s">
        <v>390</v>
      </c>
      <c r="KD15" t="s">
        <v>391</v>
      </c>
      <c r="KE15" t="s">
        <v>392</v>
      </c>
      <c r="KF15" t="s">
        <v>393</v>
      </c>
      <c r="KG15" t="s">
        <v>394</v>
      </c>
      <c r="KH15" t="s">
        <v>395</v>
      </c>
      <c r="KI15" t="s">
        <v>396</v>
      </c>
      <c r="KJ15" t="s">
        <v>397</v>
      </c>
      <c r="KK15" t="s">
        <v>398</v>
      </c>
    </row>
    <row r="16" spans="1:297">
      <c r="B16" t="s">
        <v>399</v>
      </c>
      <c r="C16" t="s">
        <v>399</v>
      </c>
      <c r="F16" t="s">
        <v>399</v>
      </c>
      <c r="I16" t="s">
        <v>399</v>
      </c>
      <c r="J16" t="s">
        <v>400</v>
      </c>
      <c r="K16" t="s">
        <v>401</v>
      </c>
      <c r="L16" t="s">
        <v>402</v>
      </c>
      <c r="M16" t="s">
        <v>403</v>
      </c>
      <c r="N16" t="s">
        <v>403</v>
      </c>
      <c r="O16" t="s">
        <v>232</v>
      </c>
      <c r="P16" t="s">
        <v>232</v>
      </c>
      <c r="Q16" t="s">
        <v>400</v>
      </c>
      <c r="R16" t="s">
        <v>400</v>
      </c>
      <c r="S16" t="s">
        <v>400</v>
      </c>
      <c r="T16" t="s">
        <v>400</v>
      </c>
      <c r="U16" t="s">
        <v>404</v>
      </c>
      <c r="V16" t="s">
        <v>405</v>
      </c>
      <c r="W16" t="s">
        <v>405</v>
      </c>
      <c r="X16" t="s">
        <v>406</v>
      </c>
      <c r="Y16" t="s">
        <v>407</v>
      </c>
      <c r="Z16" t="s">
        <v>406</v>
      </c>
      <c r="AA16" t="s">
        <v>406</v>
      </c>
      <c r="AB16" t="s">
        <v>406</v>
      </c>
      <c r="AC16" t="s">
        <v>404</v>
      </c>
      <c r="AD16" t="s">
        <v>404</v>
      </c>
      <c r="AE16" t="s">
        <v>404</v>
      </c>
      <c r="AF16" t="s">
        <v>404</v>
      </c>
      <c r="AG16" t="s">
        <v>402</v>
      </c>
      <c r="AH16" t="s">
        <v>401</v>
      </c>
      <c r="AI16" t="s">
        <v>402</v>
      </c>
      <c r="AJ16" t="s">
        <v>403</v>
      </c>
      <c r="AK16" t="s">
        <v>403</v>
      </c>
      <c r="AL16" t="s">
        <v>408</v>
      </c>
      <c r="AM16" t="s">
        <v>409</v>
      </c>
      <c r="AN16" t="s">
        <v>401</v>
      </c>
      <c r="AO16" t="s">
        <v>410</v>
      </c>
      <c r="AP16" t="s">
        <v>410</v>
      </c>
      <c r="AQ16" t="s">
        <v>411</v>
      </c>
      <c r="AR16" t="s">
        <v>409</v>
      </c>
      <c r="AS16" t="s">
        <v>412</v>
      </c>
      <c r="AT16" t="s">
        <v>407</v>
      </c>
      <c r="AV16" t="s">
        <v>407</v>
      </c>
      <c r="AW16" t="s">
        <v>412</v>
      </c>
      <c r="BC16" t="s">
        <v>402</v>
      </c>
      <c r="BJ16" t="s">
        <v>402</v>
      </c>
      <c r="BK16" t="s">
        <v>402</v>
      </c>
      <c r="BL16" t="s">
        <v>402</v>
      </c>
      <c r="BM16" t="s">
        <v>413</v>
      </c>
      <c r="CA16" t="s">
        <v>414</v>
      </c>
      <c r="CC16" t="s">
        <v>414</v>
      </c>
      <c r="CD16" t="s">
        <v>402</v>
      </c>
      <c r="CG16" t="s">
        <v>414</v>
      </c>
      <c r="CH16" t="s">
        <v>407</v>
      </c>
      <c r="CK16" t="s">
        <v>415</v>
      </c>
      <c r="CL16" t="s">
        <v>415</v>
      </c>
      <c r="CN16" t="s">
        <v>416</v>
      </c>
      <c r="CO16" t="s">
        <v>414</v>
      </c>
      <c r="CQ16" t="s">
        <v>414</v>
      </c>
      <c r="CR16" t="s">
        <v>402</v>
      </c>
      <c r="CV16" t="s">
        <v>414</v>
      </c>
      <c r="CX16" t="s">
        <v>417</v>
      </c>
      <c r="DA16" t="s">
        <v>414</v>
      </c>
      <c r="DB16" t="s">
        <v>414</v>
      </c>
      <c r="DD16" t="s">
        <v>414</v>
      </c>
      <c r="DF16" t="s">
        <v>414</v>
      </c>
      <c r="DH16" t="s">
        <v>402</v>
      </c>
      <c r="DI16" t="s">
        <v>402</v>
      </c>
      <c r="DK16" t="s">
        <v>418</v>
      </c>
      <c r="DL16" t="s">
        <v>419</v>
      </c>
      <c r="DO16" t="s">
        <v>400</v>
      </c>
      <c r="DQ16" t="s">
        <v>399</v>
      </c>
      <c r="DR16" t="s">
        <v>403</v>
      </c>
      <c r="DS16" t="s">
        <v>403</v>
      </c>
      <c r="DT16" t="s">
        <v>410</v>
      </c>
      <c r="DU16" t="s">
        <v>410</v>
      </c>
      <c r="DV16" t="s">
        <v>403</v>
      </c>
      <c r="DW16" t="s">
        <v>410</v>
      </c>
      <c r="DX16" t="s">
        <v>412</v>
      </c>
      <c r="DY16" t="s">
        <v>406</v>
      </c>
      <c r="DZ16" t="s">
        <v>406</v>
      </c>
      <c r="EA16" t="s">
        <v>405</v>
      </c>
      <c r="EB16" t="s">
        <v>405</v>
      </c>
      <c r="EC16" t="s">
        <v>405</v>
      </c>
      <c r="ED16" t="s">
        <v>405</v>
      </c>
      <c r="EE16" t="s">
        <v>405</v>
      </c>
      <c r="EF16" t="s">
        <v>420</v>
      </c>
      <c r="EG16" t="s">
        <v>402</v>
      </c>
      <c r="EH16" t="s">
        <v>402</v>
      </c>
      <c r="EI16" t="s">
        <v>403</v>
      </c>
      <c r="EJ16" t="s">
        <v>403</v>
      </c>
      <c r="EK16" t="s">
        <v>403</v>
      </c>
      <c r="EL16" t="s">
        <v>410</v>
      </c>
      <c r="EM16" t="s">
        <v>403</v>
      </c>
      <c r="EN16" t="s">
        <v>410</v>
      </c>
      <c r="EO16" t="s">
        <v>406</v>
      </c>
      <c r="EP16" t="s">
        <v>406</v>
      </c>
      <c r="EQ16" t="s">
        <v>405</v>
      </c>
      <c r="ER16" t="s">
        <v>405</v>
      </c>
      <c r="ES16" t="s">
        <v>402</v>
      </c>
      <c r="EX16" t="s">
        <v>402</v>
      </c>
      <c r="FA16" t="s">
        <v>405</v>
      </c>
      <c r="FB16" t="s">
        <v>405</v>
      </c>
      <c r="FC16" t="s">
        <v>405</v>
      </c>
      <c r="FD16" t="s">
        <v>405</v>
      </c>
      <c r="FE16" t="s">
        <v>405</v>
      </c>
      <c r="FF16" t="s">
        <v>402</v>
      </c>
      <c r="FG16" t="s">
        <v>402</v>
      </c>
      <c r="FH16" t="s">
        <v>402</v>
      </c>
      <c r="FI16" t="s">
        <v>399</v>
      </c>
      <c r="FL16" t="s">
        <v>421</v>
      </c>
      <c r="FM16" t="s">
        <v>421</v>
      </c>
      <c r="FO16" t="s">
        <v>399</v>
      </c>
      <c r="FP16" t="s">
        <v>422</v>
      </c>
      <c r="FR16" t="s">
        <v>399</v>
      </c>
      <c r="FS16" t="s">
        <v>399</v>
      </c>
      <c r="FU16" t="s">
        <v>423</v>
      </c>
      <c r="FV16" t="s">
        <v>424</v>
      </c>
      <c r="FW16" t="s">
        <v>423</v>
      </c>
      <c r="FX16" t="s">
        <v>424</v>
      </c>
      <c r="FY16" t="s">
        <v>423</v>
      </c>
      <c r="FZ16" t="s">
        <v>424</v>
      </c>
      <c r="GA16" t="s">
        <v>407</v>
      </c>
      <c r="GB16" t="s">
        <v>407</v>
      </c>
      <c r="GC16" t="s">
        <v>403</v>
      </c>
      <c r="GD16" t="s">
        <v>425</v>
      </c>
      <c r="GE16" t="s">
        <v>403</v>
      </c>
      <c r="GH16" t="s">
        <v>426</v>
      </c>
      <c r="GK16" t="s">
        <v>410</v>
      </c>
      <c r="GL16" t="s">
        <v>427</v>
      </c>
      <c r="GM16" t="s">
        <v>410</v>
      </c>
      <c r="GR16" t="s">
        <v>428</v>
      </c>
      <c r="GS16" t="s">
        <v>428</v>
      </c>
      <c r="HF16" t="s">
        <v>428</v>
      </c>
      <c r="HG16" t="s">
        <v>428</v>
      </c>
      <c r="HH16" t="s">
        <v>429</v>
      </c>
      <c r="HI16" t="s">
        <v>429</v>
      </c>
      <c r="HJ16" t="s">
        <v>405</v>
      </c>
      <c r="HK16" t="s">
        <v>405</v>
      </c>
      <c r="HL16" t="s">
        <v>407</v>
      </c>
      <c r="HM16" t="s">
        <v>405</v>
      </c>
      <c r="HN16" t="s">
        <v>410</v>
      </c>
      <c r="HO16" t="s">
        <v>407</v>
      </c>
      <c r="HP16" t="s">
        <v>407</v>
      </c>
      <c r="HR16" t="s">
        <v>428</v>
      </c>
      <c r="HS16" t="s">
        <v>428</v>
      </c>
      <c r="HT16" t="s">
        <v>428</v>
      </c>
      <c r="HU16" t="s">
        <v>428</v>
      </c>
      <c r="HV16" t="s">
        <v>428</v>
      </c>
      <c r="HW16" t="s">
        <v>428</v>
      </c>
      <c r="HX16" t="s">
        <v>428</v>
      </c>
      <c r="HY16" t="s">
        <v>430</v>
      </c>
      <c r="HZ16" t="s">
        <v>430</v>
      </c>
      <c r="IA16" t="s">
        <v>431</v>
      </c>
      <c r="IB16" t="s">
        <v>430</v>
      </c>
      <c r="IC16" t="s">
        <v>428</v>
      </c>
      <c r="ID16" t="s">
        <v>428</v>
      </c>
      <c r="IE16" t="s">
        <v>428</v>
      </c>
      <c r="IF16" t="s">
        <v>428</v>
      </c>
      <c r="IG16" t="s">
        <v>428</v>
      </c>
      <c r="IH16" t="s">
        <v>428</v>
      </c>
      <c r="II16" t="s">
        <v>428</v>
      </c>
      <c r="IJ16" t="s">
        <v>428</v>
      </c>
      <c r="IK16" t="s">
        <v>428</v>
      </c>
      <c r="IL16" t="s">
        <v>428</v>
      </c>
      <c r="IM16" t="s">
        <v>428</v>
      </c>
      <c r="IN16" t="s">
        <v>428</v>
      </c>
      <c r="IU16" t="s">
        <v>428</v>
      </c>
      <c r="IV16" t="s">
        <v>407</v>
      </c>
      <c r="IW16" t="s">
        <v>407</v>
      </c>
      <c r="IX16" t="s">
        <v>423</v>
      </c>
      <c r="IY16" t="s">
        <v>424</v>
      </c>
      <c r="IZ16" t="s">
        <v>423</v>
      </c>
      <c r="JD16" t="s">
        <v>424</v>
      </c>
      <c r="JH16" t="s">
        <v>403</v>
      </c>
      <c r="JI16" t="s">
        <v>403</v>
      </c>
      <c r="JJ16" t="s">
        <v>410</v>
      </c>
      <c r="JK16" t="s">
        <v>410</v>
      </c>
      <c r="JL16" t="s">
        <v>432</v>
      </c>
      <c r="JM16" t="s">
        <v>432</v>
      </c>
      <c r="JN16" t="s">
        <v>428</v>
      </c>
      <c r="JO16" t="s">
        <v>428</v>
      </c>
      <c r="JP16" t="s">
        <v>428</v>
      </c>
      <c r="JQ16" t="s">
        <v>428</v>
      </c>
      <c r="JR16" t="s">
        <v>428</v>
      </c>
      <c r="JS16" t="s">
        <v>428</v>
      </c>
      <c r="JT16" t="s">
        <v>405</v>
      </c>
      <c r="JU16" t="s">
        <v>428</v>
      </c>
      <c r="JW16" t="s">
        <v>412</v>
      </c>
      <c r="JX16" t="s">
        <v>412</v>
      </c>
      <c r="JY16" t="s">
        <v>405</v>
      </c>
      <c r="JZ16" t="s">
        <v>405</v>
      </c>
      <c r="KA16" t="s">
        <v>405</v>
      </c>
      <c r="KB16" t="s">
        <v>405</v>
      </c>
      <c r="KC16" t="s">
        <v>405</v>
      </c>
      <c r="KD16" t="s">
        <v>407</v>
      </c>
      <c r="KE16" t="s">
        <v>407</v>
      </c>
      <c r="KF16" t="s">
        <v>407</v>
      </c>
      <c r="KG16" t="s">
        <v>405</v>
      </c>
      <c r="KH16" t="s">
        <v>403</v>
      </c>
      <c r="KI16" t="s">
        <v>410</v>
      </c>
      <c r="KJ16" t="s">
        <v>407</v>
      </c>
      <c r="KK16" t="s">
        <v>407</v>
      </c>
    </row>
    <row r="17" spans="1:297">
      <c r="A17">
        <v>1</v>
      </c>
      <c r="B17">
        <v>1760735654</v>
      </c>
      <c r="C17">
        <v>0</v>
      </c>
      <c r="D17" t="s">
        <v>433</v>
      </c>
      <c r="E17" t="s">
        <v>434</v>
      </c>
      <c r="F17">
        <v>5</v>
      </c>
      <c r="G17" t="s">
        <v>435</v>
      </c>
      <c r="H17" t="s">
        <v>436</v>
      </c>
      <c r="I17">
        <v>1760735646</v>
      </c>
      <c r="J17">
        <f>(K17)/1000</f>
        <v>0</v>
      </c>
      <c r="K17">
        <f>IF(DP17, AN17, AH17)</f>
        <v>0</v>
      </c>
      <c r="L17">
        <f>IF(DP17, AI17, AG17)</f>
        <v>0</v>
      </c>
      <c r="M17">
        <f>DR17 - IF(AU17&gt;1, L17*DL17*100.0/(AW17), 0)</f>
        <v>0</v>
      </c>
      <c r="N17">
        <f>((T17-J17/2)*M17-L17)/(T17+J17/2)</f>
        <v>0</v>
      </c>
      <c r="O17">
        <f>N17*(DY17+DZ17)/1000.0</f>
        <v>0</v>
      </c>
      <c r="P17">
        <f>(DR17 - IF(AU17&gt;1, L17*DL17*100.0/(AW17), 0))*(DY17+DZ17)/1000.0</f>
        <v>0</v>
      </c>
      <c r="Q17">
        <f>2.0/((1/S17-1/R17)+SIGN(S17)*SQRT((1/S17-1/R17)*(1/S17-1/R17) + 4*DM17/((DM17+1)*(DM17+1))*(2*1/S17*1/R17-1/R17*1/R17)))</f>
        <v>0</v>
      </c>
      <c r="R17">
        <f>IF(LEFT(DN17,1)&lt;&gt;"0",IF(LEFT(DN17,1)="1",3.0,DO17),$D$5+$E$5*(EF17*DY17/($K$5*1000))+$F$5*(EF17*DY17/($K$5*1000))*MAX(MIN(DL17,$J$5),$I$5)*MAX(MIN(DL17,$J$5),$I$5)+$G$5*MAX(MIN(DL17,$J$5),$I$5)*(EF17*DY17/($K$5*1000))+$H$5*(EF17*DY17/($K$5*1000))*(EF17*DY17/($K$5*1000)))</f>
        <v>0</v>
      </c>
      <c r="S17">
        <f>J17*(1000-(1000*0.61365*exp(17.502*W17/(240.97+W17))/(DY17+DZ17)+DT17)/2)/(1000*0.61365*exp(17.502*W17/(240.97+W17))/(DY17+DZ17)-DT17)</f>
        <v>0</v>
      </c>
      <c r="T17">
        <f>1/((DM17+1)/(Q17/1.6)+1/(R17/1.37)) + DM17/((DM17+1)/(Q17/1.6) + DM17/(R17/1.37))</f>
        <v>0</v>
      </c>
      <c r="U17">
        <f>(DH17*DK17)</f>
        <v>0</v>
      </c>
      <c r="V17">
        <f>(EA17+(U17+2*0.95*5.67E-8*(((EA17+$B$7)+273)^4-(EA17+273)^4)-44100*J17)/(1.84*29.3*R17+8*0.95*5.67E-8*(EA17+273)^3))</f>
        <v>0</v>
      </c>
      <c r="W17">
        <f>($C$7*EB17+$D$7*EC17+$E$7*V17)</f>
        <v>0</v>
      </c>
      <c r="X17">
        <f>0.61365*exp(17.502*W17/(240.97+W17))</f>
        <v>0</v>
      </c>
      <c r="Y17">
        <f>(Z17/AA17*100)</f>
        <v>0</v>
      </c>
      <c r="Z17">
        <f>DT17*(DY17+DZ17)/1000</f>
        <v>0</v>
      </c>
      <c r="AA17">
        <f>0.61365*exp(17.502*EA17/(240.97+EA17))</f>
        <v>0</v>
      </c>
      <c r="AB17">
        <f>(X17-DT17*(DY17+DZ17)/1000)</f>
        <v>0</v>
      </c>
      <c r="AC17">
        <f>(-J17*44100)</f>
        <v>0</v>
      </c>
      <c r="AD17">
        <f>2*29.3*R17*0.92*(EA17-W17)</f>
        <v>0</v>
      </c>
      <c r="AE17">
        <f>2*0.95*5.67E-8*(((EA17+$B$7)+273)^4-(W17+273)^4)</f>
        <v>0</v>
      </c>
      <c r="AF17">
        <f>U17+AE17+AC17+AD17</f>
        <v>0</v>
      </c>
      <c r="AG17">
        <f>DX17*AU17*(DS17-DR17*(1000-AU17*DU17)/(1000-AU17*DT17))/(100*DL17)</f>
        <v>0</v>
      </c>
      <c r="AH17">
        <f>1000*DX17*AU17*(DT17-DU17)/(100*DL17*(1000-AU17*DT17))</f>
        <v>0</v>
      </c>
      <c r="AI17">
        <f>(AJ17 - AK17 - DY17*1E3/(8.314*(EA17+273.15)) * AM17/DX17 * AL17) * DX17/(100*DL17) * (1000 - DU17)/1000</f>
        <v>0</v>
      </c>
      <c r="AJ17">
        <v>425.222790159183</v>
      </c>
      <c r="AK17">
        <v>425.494254545454</v>
      </c>
      <c r="AL17">
        <v>0.0221498830626299</v>
      </c>
      <c r="AM17">
        <v>62.9782741434614</v>
      </c>
      <c r="AN17">
        <f>(AP17 - AO17 + DY17*1E3/(8.314*(EA17+273.15)) * AR17/DX17 * AQ17) * DX17/(100*DL17) * 1000/(1000 - AP17)</f>
        <v>0</v>
      </c>
      <c r="AO17">
        <v>12.2410383946664</v>
      </c>
      <c r="AP17">
        <v>12.2762296703297</v>
      </c>
      <c r="AQ17">
        <v>-4.59650999746198e-06</v>
      </c>
      <c r="AR17">
        <v>123.269467425455</v>
      </c>
      <c r="AS17">
        <v>2</v>
      </c>
      <c r="AT17">
        <v>0</v>
      </c>
      <c r="AU17">
        <f>IF(AS17*$H$13&gt;=AW17,1.0,(AW17/(AW17-AS17*$H$13)))</f>
        <v>0</v>
      </c>
      <c r="AV17">
        <f>(AU17-1)*100</f>
        <v>0</v>
      </c>
      <c r="AW17">
        <f>MAX(0,($B$13+$C$13*EF17)/(1+$D$13*EF17)*DY17/(EA17+273)*$E$13)</f>
        <v>0</v>
      </c>
      <c r="AX17" t="s">
        <v>437</v>
      </c>
      <c r="AY17">
        <v>5133.17</v>
      </c>
      <c r="AZ17">
        <v>712.046153846154</v>
      </c>
      <c r="BA17">
        <v>2918.03</v>
      </c>
      <c r="BB17">
        <f>1-AZ17/BA17</f>
        <v>0</v>
      </c>
      <c r="BC17">
        <v>-0.684916905221379</v>
      </c>
      <c r="BD17" t="s">
        <v>438</v>
      </c>
      <c r="BE17" t="s">
        <v>438</v>
      </c>
      <c r="BF17">
        <v>0</v>
      </c>
      <c r="BG17">
        <v>0</v>
      </c>
      <c r="BH17">
        <f>1-BF17/BG17</f>
        <v>0</v>
      </c>
      <c r="BI17">
        <v>0.5</v>
      </c>
      <c r="BJ17">
        <f>DI17</f>
        <v>0</v>
      </c>
      <c r="BK17">
        <f>L17</f>
        <v>0</v>
      </c>
      <c r="BL17">
        <f>BH17*BI17*BJ17</f>
        <v>0</v>
      </c>
      <c r="BM17">
        <f>(BK17-BC17)/BJ17</f>
        <v>0</v>
      </c>
      <c r="BN17">
        <f>(BA17-BG17)/BG17</f>
        <v>0</v>
      </c>
      <c r="BO17">
        <f>AZ17/(BB17+AZ17/BG17)</f>
        <v>0</v>
      </c>
      <c r="BP17" t="s">
        <v>438</v>
      </c>
      <c r="BQ17">
        <v>0</v>
      </c>
      <c r="BR17">
        <f>IF(BQ17&lt;&gt;0, BQ17, BO17)</f>
        <v>0</v>
      </c>
      <c r="BS17">
        <f>1-BR17/BG17</f>
        <v>0</v>
      </c>
      <c r="BT17">
        <f>(BG17-BF17)/(BG17-BR17)</f>
        <v>0</v>
      </c>
      <c r="BU17">
        <f>(BA17-BG17)/(BA17-BR17)</f>
        <v>0</v>
      </c>
      <c r="BV17">
        <f>(BG17-BF17)/(BG17-AZ17)</f>
        <v>0</v>
      </c>
      <c r="BW17">
        <f>(BA17-BG17)/(BA17-AZ17)</f>
        <v>0</v>
      </c>
      <c r="BX17">
        <f>(BT17*BR17/BF17)</f>
        <v>0</v>
      </c>
      <c r="BY17">
        <f>(1-BX17)</f>
        <v>0</v>
      </c>
      <c r="DH17">
        <f>$B$11*EG17+$C$11*EH17+$F$11*ES17*(1-EV17)</f>
        <v>0</v>
      </c>
      <c r="DI17">
        <f>DH17*DJ17</f>
        <v>0</v>
      </c>
      <c r="DJ17">
        <f>($B$11*$D$9+$C$11*$D$9+$F$11*((FF17+EX17)/MAX(FF17+EX17+FG17, 0.1)*$I$9+FG17/MAX(FF17+EX17+FG17, 0.1)*$J$9))/($B$11+$C$11+$F$11)</f>
        <v>0</v>
      </c>
      <c r="DK17">
        <f>($B$11*$K$9+$C$11*$K$9+$F$11*((FF17+EX17)/MAX(FF17+EX17+FG17, 0.1)*$P$9+FG17/MAX(FF17+EX17+FG17, 0.1)*$Q$9))/($B$11+$C$11+$F$11)</f>
        <v>0</v>
      </c>
      <c r="DL17">
        <v>2.7</v>
      </c>
      <c r="DM17">
        <v>0.5</v>
      </c>
      <c r="DN17" t="s">
        <v>439</v>
      </c>
      <c r="DO17">
        <v>2</v>
      </c>
      <c r="DP17" t="b">
        <v>1</v>
      </c>
      <c r="DQ17">
        <v>1760735646</v>
      </c>
      <c r="DR17">
        <v>420.210933333333</v>
      </c>
      <c r="DS17">
        <v>419.997</v>
      </c>
      <c r="DT17">
        <v>12.2816866666667</v>
      </c>
      <c r="DU17">
        <v>12.2420333333333</v>
      </c>
      <c r="DV17">
        <v>415.3606</v>
      </c>
      <c r="DW17">
        <v>12.2731266666667</v>
      </c>
      <c r="DX17">
        <v>500.019266666667</v>
      </c>
      <c r="DY17">
        <v>89.6123133333333</v>
      </c>
      <c r="DZ17">
        <v>0.02456718</v>
      </c>
      <c r="EA17">
        <v>18.9043666666667</v>
      </c>
      <c r="EB17">
        <v>18.0034</v>
      </c>
      <c r="EC17">
        <v>999.9</v>
      </c>
      <c r="ED17">
        <v>0</v>
      </c>
      <c r="EE17">
        <v>0</v>
      </c>
      <c r="EF17">
        <v>10004.872</v>
      </c>
      <c r="EG17">
        <v>0</v>
      </c>
      <c r="EH17">
        <v>0.222567</v>
      </c>
      <c r="EI17">
        <v>0.213804066666667</v>
      </c>
      <c r="EJ17">
        <v>425.436</v>
      </c>
      <c r="EK17">
        <v>425.2024</v>
      </c>
      <c r="EL17">
        <v>0.0396523266666667</v>
      </c>
      <c r="EM17">
        <v>419.997</v>
      </c>
      <c r="EN17">
        <v>12.2420333333333</v>
      </c>
      <c r="EO17">
        <v>1.10059066666667</v>
      </c>
      <c r="EP17">
        <v>1.09703533333333</v>
      </c>
      <c r="EQ17">
        <v>8.32075666666667</v>
      </c>
      <c r="ER17">
        <v>8.273116</v>
      </c>
      <c r="ES17">
        <v>0.00500016</v>
      </c>
      <c r="ET17">
        <v>0</v>
      </c>
      <c r="EU17">
        <v>0</v>
      </c>
      <c r="EV17">
        <v>0</v>
      </c>
      <c r="EW17">
        <v>712.313333333333</v>
      </c>
      <c r="EX17">
        <v>0.00500016</v>
      </c>
      <c r="EY17">
        <v>-43.2066666666667</v>
      </c>
      <c r="EZ17">
        <v>-3.53333333333333</v>
      </c>
      <c r="FA17">
        <v>33.6704666666667</v>
      </c>
      <c r="FB17">
        <v>38.1166</v>
      </c>
      <c r="FC17">
        <v>36.062</v>
      </c>
      <c r="FD17">
        <v>38.687</v>
      </c>
      <c r="FE17">
        <v>36.437</v>
      </c>
      <c r="FF17">
        <v>0</v>
      </c>
      <c r="FG17">
        <v>0</v>
      </c>
      <c r="FH17">
        <v>0</v>
      </c>
      <c r="FI17">
        <v>1760735673.9</v>
      </c>
      <c r="FJ17">
        <v>0</v>
      </c>
      <c r="FK17">
        <v>712.046153846154</v>
      </c>
      <c r="FL17">
        <v>6.33162339695772</v>
      </c>
      <c r="FM17">
        <v>-4.04444399638689</v>
      </c>
      <c r="FN17">
        <v>-42.7269230769231</v>
      </c>
      <c r="FO17">
        <v>15</v>
      </c>
      <c r="FP17">
        <v>0</v>
      </c>
      <c r="FQ17" t="s">
        <v>440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0.225613523809524</v>
      </c>
      <c r="GD17">
        <v>-0.201173922077922</v>
      </c>
      <c r="GE17">
        <v>0.0421381073779102</v>
      </c>
      <c r="GF17">
        <v>1</v>
      </c>
      <c r="GG17">
        <v>712.029411764706</v>
      </c>
      <c r="GH17">
        <v>1.06340694850781</v>
      </c>
      <c r="GI17">
        <v>6.42492981933584</v>
      </c>
      <c r="GJ17">
        <v>-1</v>
      </c>
      <c r="GK17">
        <v>0.0391910714285714</v>
      </c>
      <c r="GL17">
        <v>0.0103510753246753</v>
      </c>
      <c r="GM17">
        <v>0.00162764624363581</v>
      </c>
      <c r="GN17">
        <v>1</v>
      </c>
      <c r="GO17">
        <v>2</v>
      </c>
      <c r="GP17">
        <v>2</v>
      </c>
      <c r="GQ17" t="s">
        <v>441</v>
      </c>
      <c r="GR17">
        <v>3.124</v>
      </c>
      <c r="GS17">
        <v>2.65033</v>
      </c>
      <c r="GT17">
        <v>0.0895452</v>
      </c>
      <c r="GU17">
        <v>0.0902412</v>
      </c>
      <c r="GV17">
        <v>0.0628404</v>
      </c>
      <c r="GW17">
        <v>0.0626251</v>
      </c>
      <c r="GX17">
        <v>24221.6</v>
      </c>
      <c r="GY17">
        <v>22422.7</v>
      </c>
      <c r="GZ17">
        <v>23767.3</v>
      </c>
      <c r="HA17">
        <v>23973</v>
      </c>
      <c r="HB17">
        <v>37888</v>
      </c>
      <c r="HC17">
        <v>37142.9</v>
      </c>
      <c r="HD17">
        <v>42752.7</v>
      </c>
      <c r="HE17">
        <v>42678</v>
      </c>
      <c r="HF17">
        <v>1.97092</v>
      </c>
      <c r="HG17">
        <v>1.867</v>
      </c>
      <c r="HH17">
        <v>0.010252</v>
      </c>
      <c r="HI17">
        <v>0</v>
      </c>
      <c r="HJ17">
        <v>17.8367</v>
      </c>
      <c r="HK17">
        <v>999.9</v>
      </c>
      <c r="HL17">
        <v>32.542</v>
      </c>
      <c r="HM17">
        <v>29.427</v>
      </c>
      <c r="HN17">
        <v>14.9693</v>
      </c>
      <c r="HO17">
        <v>54.151</v>
      </c>
      <c r="HP17">
        <v>45.8494</v>
      </c>
      <c r="HQ17">
        <v>1</v>
      </c>
      <c r="HR17">
        <v>-0.398877</v>
      </c>
      <c r="HS17">
        <v>1.96764</v>
      </c>
      <c r="HT17">
        <v>20.2274</v>
      </c>
      <c r="HU17">
        <v>5.23586</v>
      </c>
      <c r="HV17">
        <v>11.992</v>
      </c>
      <c r="HW17">
        <v>4.95765</v>
      </c>
      <c r="HX17">
        <v>3.30398</v>
      </c>
      <c r="HY17">
        <v>9999</v>
      </c>
      <c r="HZ17">
        <v>9999</v>
      </c>
      <c r="IA17">
        <v>999.9</v>
      </c>
      <c r="IB17">
        <v>9999</v>
      </c>
      <c r="IC17">
        <v>1.86873</v>
      </c>
      <c r="ID17">
        <v>1.86437</v>
      </c>
      <c r="IE17">
        <v>1.87195</v>
      </c>
      <c r="IF17">
        <v>1.86294</v>
      </c>
      <c r="IG17">
        <v>1.86232</v>
      </c>
      <c r="IH17">
        <v>1.86874</v>
      </c>
      <c r="II17">
        <v>1.85892</v>
      </c>
      <c r="IJ17">
        <v>1.86526</v>
      </c>
      <c r="IK17">
        <v>5</v>
      </c>
      <c r="IL17">
        <v>0</v>
      </c>
      <c r="IM17">
        <v>0</v>
      </c>
      <c r="IN17">
        <v>0</v>
      </c>
      <c r="IO17" t="s">
        <v>442</v>
      </c>
      <c r="IP17" t="s">
        <v>443</v>
      </c>
      <c r="IQ17" t="s">
        <v>444</v>
      </c>
      <c r="IR17" t="s">
        <v>444</v>
      </c>
      <c r="IS17" t="s">
        <v>444</v>
      </c>
      <c r="IT17" t="s">
        <v>444</v>
      </c>
      <c r="IU17">
        <v>0</v>
      </c>
      <c r="IV17">
        <v>100</v>
      </c>
      <c r="IW17">
        <v>100</v>
      </c>
      <c r="IX17">
        <v>4.85</v>
      </c>
      <c r="IY17">
        <v>0.0085</v>
      </c>
      <c r="IZ17">
        <v>3.68741672054385</v>
      </c>
      <c r="JA17">
        <v>0.00363161861672774</v>
      </c>
      <c r="JB17">
        <v>-2.24629326344171e-06</v>
      </c>
      <c r="JC17">
        <v>5.83607846756539e-10</v>
      </c>
      <c r="JD17">
        <v>-0.00675825458998367</v>
      </c>
      <c r="JE17">
        <v>-0.0132323152736503</v>
      </c>
      <c r="JF17">
        <v>0.00138354380881741</v>
      </c>
      <c r="JG17">
        <v>-1.65967022527567e-05</v>
      </c>
      <c r="JH17">
        <v>1</v>
      </c>
      <c r="JI17">
        <v>2181</v>
      </c>
      <c r="JJ17">
        <v>1</v>
      </c>
      <c r="JK17">
        <v>23</v>
      </c>
      <c r="JL17">
        <v>29345594.2</v>
      </c>
      <c r="JM17">
        <v>29345594.2</v>
      </c>
      <c r="JN17">
        <v>1.04492</v>
      </c>
      <c r="JO17">
        <v>2.37305</v>
      </c>
      <c r="JP17">
        <v>1.49902</v>
      </c>
      <c r="JQ17">
        <v>2.33032</v>
      </c>
      <c r="JR17">
        <v>1.54419</v>
      </c>
      <c r="JS17">
        <v>2.24854</v>
      </c>
      <c r="JT17">
        <v>34.8755</v>
      </c>
      <c r="JU17">
        <v>24.2976</v>
      </c>
      <c r="JV17">
        <v>18</v>
      </c>
      <c r="JW17">
        <v>536.701</v>
      </c>
      <c r="JX17">
        <v>416.927</v>
      </c>
      <c r="JY17">
        <v>15.3799</v>
      </c>
      <c r="JZ17">
        <v>22.1922</v>
      </c>
      <c r="KA17">
        <v>30</v>
      </c>
      <c r="KB17">
        <v>22.2086</v>
      </c>
      <c r="KC17">
        <v>22.2365</v>
      </c>
      <c r="KD17">
        <v>20.9578</v>
      </c>
      <c r="KE17">
        <v>22.1361</v>
      </c>
      <c r="KF17">
        <v>12</v>
      </c>
      <c r="KG17">
        <v>15.3775</v>
      </c>
      <c r="KH17">
        <v>420</v>
      </c>
      <c r="KI17">
        <v>12.2549</v>
      </c>
      <c r="KJ17">
        <v>95.8966</v>
      </c>
      <c r="KK17">
        <v>99.5249</v>
      </c>
    </row>
    <row r="18" spans="1:297">
      <c r="A18">
        <v>2</v>
      </c>
      <c r="B18">
        <v>1760735821</v>
      </c>
      <c r="C18">
        <v>167</v>
      </c>
      <c r="D18" t="s">
        <v>445</v>
      </c>
      <c r="E18" t="s">
        <v>446</v>
      </c>
      <c r="F18">
        <v>5</v>
      </c>
      <c r="G18" t="s">
        <v>435</v>
      </c>
      <c r="H18" t="s">
        <v>436</v>
      </c>
      <c r="I18">
        <v>1760735812.5</v>
      </c>
      <c r="J18">
        <f>(K18)/1000</f>
        <v>0</v>
      </c>
      <c r="K18">
        <f>IF(DP18, AN18, AH18)</f>
        <v>0</v>
      </c>
      <c r="L18">
        <f>IF(DP18, AI18, AG18)</f>
        <v>0</v>
      </c>
      <c r="M18">
        <f>DR18 - IF(AU18&gt;1, L18*DL18*100.0/(AW18), 0)</f>
        <v>0</v>
      </c>
      <c r="N18">
        <f>((T18-J18/2)*M18-L18)/(T18+J18/2)</f>
        <v>0</v>
      </c>
      <c r="O18">
        <f>N18*(DY18+DZ18)/1000.0</f>
        <v>0</v>
      </c>
      <c r="P18">
        <f>(DR18 - IF(AU18&gt;1, L18*DL18*100.0/(AW18), 0))*(DY18+DZ18)/1000.0</f>
        <v>0</v>
      </c>
      <c r="Q18">
        <f>2.0/((1/S18-1/R18)+SIGN(S18)*SQRT((1/S18-1/R18)*(1/S18-1/R18) + 4*DM18/((DM18+1)*(DM18+1))*(2*1/S18*1/R18-1/R18*1/R18)))</f>
        <v>0</v>
      </c>
      <c r="R18">
        <f>IF(LEFT(DN18,1)&lt;&gt;"0",IF(LEFT(DN18,1)="1",3.0,DO18),$D$5+$E$5*(EF18*DY18/($K$5*1000))+$F$5*(EF18*DY18/($K$5*1000))*MAX(MIN(DL18,$J$5),$I$5)*MAX(MIN(DL18,$J$5),$I$5)+$G$5*MAX(MIN(DL18,$J$5),$I$5)*(EF18*DY18/($K$5*1000))+$H$5*(EF18*DY18/($K$5*1000))*(EF18*DY18/($K$5*1000)))</f>
        <v>0</v>
      </c>
      <c r="S18">
        <f>J18*(1000-(1000*0.61365*exp(17.502*W18/(240.97+W18))/(DY18+DZ18)+DT18)/2)/(1000*0.61365*exp(17.502*W18/(240.97+W18))/(DY18+DZ18)-DT18)</f>
        <v>0</v>
      </c>
      <c r="T18">
        <f>1/((DM18+1)/(Q18/1.6)+1/(R18/1.37)) + DM18/((DM18+1)/(Q18/1.6) + DM18/(R18/1.37))</f>
        <v>0</v>
      </c>
      <c r="U18">
        <f>(DH18*DK18)</f>
        <v>0</v>
      </c>
      <c r="V18">
        <f>(EA18+(U18+2*0.95*5.67E-8*(((EA18+$B$7)+273)^4-(EA18+273)^4)-44100*J18)/(1.84*29.3*R18+8*0.95*5.67E-8*(EA18+273)^3))</f>
        <v>0</v>
      </c>
      <c r="W18">
        <f>($C$7*EB18+$D$7*EC18+$E$7*V18)</f>
        <v>0</v>
      </c>
      <c r="X18">
        <f>0.61365*exp(17.502*W18/(240.97+W18))</f>
        <v>0</v>
      </c>
      <c r="Y18">
        <f>(Z18/AA18*100)</f>
        <v>0</v>
      </c>
      <c r="Z18">
        <f>DT18*(DY18+DZ18)/1000</f>
        <v>0</v>
      </c>
      <c r="AA18">
        <f>0.61365*exp(17.502*EA18/(240.97+EA18))</f>
        <v>0</v>
      </c>
      <c r="AB18">
        <f>(X18-DT18*(DY18+DZ18)/1000)</f>
        <v>0</v>
      </c>
      <c r="AC18">
        <f>(-J18*44100)</f>
        <v>0</v>
      </c>
      <c r="AD18">
        <f>2*29.3*R18*0.92*(EA18-W18)</f>
        <v>0</v>
      </c>
      <c r="AE18">
        <f>2*0.95*5.67E-8*(((EA18+$B$7)+273)^4-(W18+273)^4)</f>
        <v>0</v>
      </c>
      <c r="AF18">
        <f>U18+AE18+AC18+AD18</f>
        <v>0</v>
      </c>
      <c r="AG18">
        <f>DX18*AU18*(DS18-DR18*(1000-AU18*DU18)/(1000-AU18*DT18))/(100*DL18)</f>
        <v>0</v>
      </c>
      <c r="AH18">
        <f>1000*DX18*AU18*(DT18-DU18)/(100*DL18*(1000-AU18*DT18))</f>
        <v>0</v>
      </c>
      <c r="AI18">
        <f>(AJ18 - AK18 - DY18*1E3/(8.314*(EA18+273.15)) * AM18/DX18 * AL18) * DX18/(100*DL18) * (1000 - DU18)/1000</f>
        <v>0</v>
      </c>
      <c r="AJ18">
        <v>425.197502787077</v>
      </c>
      <c r="AK18">
        <v>425.410363636363</v>
      </c>
      <c r="AL18">
        <v>1.04142087269044e-05</v>
      </c>
      <c r="AM18">
        <v>62.9782741434614</v>
      </c>
      <c r="AN18">
        <f>(AP18 - AO18 + DY18*1E3/(8.314*(EA18+273.15)) * AR18/DX18 * AQ18) * DX18/(100*DL18) * 1000/(1000 - AP18)</f>
        <v>0</v>
      </c>
      <c r="AO18">
        <v>12.2341393303492</v>
      </c>
      <c r="AP18">
        <v>12.269310989011</v>
      </c>
      <c r="AQ18">
        <v>-1.89177085121683e-06</v>
      </c>
      <c r="AR18">
        <v>123.269467425455</v>
      </c>
      <c r="AS18">
        <v>2</v>
      </c>
      <c r="AT18">
        <v>0</v>
      </c>
      <c r="AU18">
        <f>IF(AS18*$H$13&gt;=AW18,1.0,(AW18/(AW18-AS18*$H$13)))</f>
        <v>0</v>
      </c>
      <c r="AV18">
        <f>(AU18-1)*100</f>
        <v>0</v>
      </c>
      <c r="AW18">
        <f>MAX(0,($B$13+$C$13*EF18)/(1+$D$13*EF18)*DY18/(EA18+273)*$E$13)</f>
        <v>0</v>
      </c>
      <c r="AX18" t="s">
        <v>447</v>
      </c>
      <c r="AY18">
        <v>5132.65</v>
      </c>
      <c r="AZ18">
        <v>764.616</v>
      </c>
      <c r="BA18">
        <v>2883</v>
      </c>
      <c r="BB18">
        <f>1-AZ18/BA18</f>
        <v>0</v>
      </c>
      <c r="BC18">
        <v>-0.389443026930392</v>
      </c>
      <c r="BD18" t="s">
        <v>438</v>
      </c>
      <c r="BE18" t="s">
        <v>438</v>
      </c>
      <c r="BF18">
        <v>0</v>
      </c>
      <c r="BG18">
        <v>0</v>
      </c>
      <c r="BH18">
        <f>1-BF18/BG18</f>
        <v>0</v>
      </c>
      <c r="BI18">
        <v>0.5</v>
      </c>
      <c r="BJ18">
        <f>DI18</f>
        <v>0</v>
      </c>
      <c r="BK18">
        <f>L18</f>
        <v>0</v>
      </c>
      <c r="BL18">
        <f>BH18*BI18*BJ18</f>
        <v>0</v>
      </c>
      <c r="BM18">
        <f>(BK18-BC18)/BJ18</f>
        <v>0</v>
      </c>
      <c r="BN18">
        <f>(BA18-BG18)/BG18</f>
        <v>0</v>
      </c>
      <c r="BO18">
        <f>AZ18/(BB18+AZ18/BG18)</f>
        <v>0</v>
      </c>
      <c r="BP18" t="s">
        <v>438</v>
      </c>
      <c r="BQ18">
        <v>0</v>
      </c>
      <c r="BR18">
        <f>IF(BQ18&lt;&gt;0, BQ18, BO18)</f>
        <v>0</v>
      </c>
      <c r="BS18">
        <f>1-BR18/BG18</f>
        <v>0</v>
      </c>
      <c r="BT18">
        <f>(BG18-BF18)/(BG18-BR18)</f>
        <v>0</v>
      </c>
      <c r="BU18">
        <f>(BA18-BG18)/(BA18-BR18)</f>
        <v>0</v>
      </c>
      <c r="BV18">
        <f>(BG18-BF18)/(BG18-AZ18)</f>
        <v>0</v>
      </c>
      <c r="BW18">
        <f>(BA18-BG18)/(BA18-AZ18)</f>
        <v>0</v>
      </c>
      <c r="BX18">
        <f>(BT18*BR18/BF18)</f>
        <v>0</v>
      </c>
      <c r="BY18">
        <f>(1-BX18)</f>
        <v>0</v>
      </c>
      <c r="DH18">
        <f>$B$11*EG18+$C$11*EH18+$F$11*ES18*(1-EV18)</f>
        <v>0</v>
      </c>
      <c r="DI18">
        <f>DH18*DJ18</f>
        <v>0</v>
      </c>
      <c r="DJ18">
        <f>($B$11*$D$9+$C$11*$D$9+$F$11*((FF18+EX18)/MAX(FF18+EX18+FG18, 0.1)*$I$9+FG18/MAX(FF18+EX18+FG18, 0.1)*$J$9))/($B$11+$C$11+$F$11)</f>
        <v>0</v>
      </c>
      <c r="DK18">
        <f>($B$11*$K$9+$C$11*$K$9+$F$11*((FF18+EX18)/MAX(FF18+EX18+FG18, 0.1)*$P$9+FG18/MAX(FF18+EX18+FG18, 0.1)*$Q$9))/($B$11+$C$11+$F$11)</f>
        <v>0</v>
      </c>
      <c r="DL18">
        <v>2.7</v>
      </c>
      <c r="DM18">
        <v>0.5</v>
      </c>
      <c r="DN18" t="s">
        <v>439</v>
      </c>
      <c r="DO18">
        <v>2</v>
      </c>
      <c r="DP18" t="b">
        <v>1</v>
      </c>
      <c r="DQ18">
        <v>1760735812.5</v>
      </c>
      <c r="DR18">
        <v>420.1373125</v>
      </c>
      <c r="DS18">
        <v>419.982375</v>
      </c>
      <c r="DT18">
        <v>12.2718375</v>
      </c>
      <c r="DU18">
        <v>12.23553125</v>
      </c>
      <c r="DV18">
        <v>415.2873125</v>
      </c>
      <c r="DW18">
        <v>12.26340625</v>
      </c>
      <c r="DX18">
        <v>499.9881875</v>
      </c>
      <c r="DY18">
        <v>89.60650625</v>
      </c>
      <c r="DZ18">
        <v>0.02492413125</v>
      </c>
      <c r="EA18">
        <v>18.8866125</v>
      </c>
      <c r="EB18">
        <v>17.9971</v>
      </c>
      <c r="EC18">
        <v>999.9</v>
      </c>
      <c r="ED18">
        <v>0</v>
      </c>
      <c r="EE18">
        <v>0</v>
      </c>
      <c r="EF18">
        <v>9996.13875</v>
      </c>
      <c r="EG18">
        <v>0</v>
      </c>
      <c r="EH18">
        <v>0.222567</v>
      </c>
      <c r="EI18">
        <v>0.1549623875</v>
      </c>
      <c r="EJ18">
        <v>425.3573125</v>
      </c>
      <c r="EK18">
        <v>425.1848125</v>
      </c>
      <c r="EL18">
        <v>0.03631031875</v>
      </c>
      <c r="EM18">
        <v>419.982375</v>
      </c>
      <c r="EN18">
        <v>12.23553125</v>
      </c>
      <c r="EO18">
        <v>1.099638125</v>
      </c>
      <c r="EP18">
        <v>1.09638375</v>
      </c>
      <c r="EQ18">
        <v>8.3079875</v>
      </c>
      <c r="ER18">
        <v>8.264336875</v>
      </c>
      <c r="ES18">
        <v>0.00500016</v>
      </c>
      <c r="ET18">
        <v>0</v>
      </c>
      <c r="EU18">
        <v>0</v>
      </c>
      <c r="EV18">
        <v>0</v>
      </c>
      <c r="EW18">
        <v>766.25</v>
      </c>
      <c r="EX18">
        <v>0.00500016</v>
      </c>
      <c r="EY18">
        <v>-43.61875</v>
      </c>
      <c r="EZ18">
        <v>-3.3375</v>
      </c>
      <c r="FA18">
        <v>33.687</v>
      </c>
      <c r="FB18">
        <v>38.125</v>
      </c>
      <c r="FC18">
        <v>36.1210625</v>
      </c>
      <c r="FD18">
        <v>38.687</v>
      </c>
      <c r="FE18">
        <v>36.4960625</v>
      </c>
      <c r="FF18">
        <v>0</v>
      </c>
      <c r="FG18">
        <v>0</v>
      </c>
      <c r="FH18">
        <v>0</v>
      </c>
      <c r="FI18">
        <v>166</v>
      </c>
      <c r="FJ18">
        <v>0</v>
      </c>
      <c r="FK18">
        <v>764.616</v>
      </c>
      <c r="FL18">
        <v>-20.8923079325594</v>
      </c>
      <c r="FM18">
        <v>0.80769263475356</v>
      </c>
      <c r="FN18">
        <v>-42.864</v>
      </c>
      <c r="FO18">
        <v>15</v>
      </c>
      <c r="FP18">
        <v>0</v>
      </c>
      <c r="FQ18" t="s">
        <v>440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0.161413128571429</v>
      </c>
      <c r="GD18">
        <v>0.114518384415584</v>
      </c>
      <c r="GE18">
        <v>0.0759314376897383</v>
      </c>
      <c r="GF18">
        <v>1</v>
      </c>
      <c r="GG18">
        <v>766.658823529412</v>
      </c>
      <c r="GH18">
        <v>-27.4041252883788</v>
      </c>
      <c r="GI18">
        <v>6.27638513641594</v>
      </c>
      <c r="GJ18">
        <v>-1</v>
      </c>
      <c r="GK18">
        <v>0.0350214190476191</v>
      </c>
      <c r="GL18">
        <v>0.0196252597402598</v>
      </c>
      <c r="GM18">
        <v>0.00209297043607975</v>
      </c>
      <c r="GN18">
        <v>1</v>
      </c>
      <c r="GO18">
        <v>2</v>
      </c>
      <c r="GP18">
        <v>2</v>
      </c>
      <c r="GQ18" t="s">
        <v>441</v>
      </c>
      <c r="GR18">
        <v>3.12396</v>
      </c>
      <c r="GS18">
        <v>2.65052</v>
      </c>
      <c r="GT18">
        <v>0.0895214</v>
      </c>
      <c r="GU18">
        <v>0.0902349</v>
      </c>
      <c r="GV18">
        <v>0.0628066</v>
      </c>
      <c r="GW18">
        <v>0.0625964</v>
      </c>
      <c r="GX18">
        <v>24217.7</v>
      </c>
      <c r="GY18">
        <v>22422.9</v>
      </c>
      <c r="GZ18">
        <v>23762.9</v>
      </c>
      <c r="HA18">
        <v>23973.1</v>
      </c>
      <c r="HB18">
        <v>37883</v>
      </c>
      <c r="HC18">
        <v>37144.6</v>
      </c>
      <c r="HD18">
        <v>42745.5</v>
      </c>
      <c r="HE18">
        <v>42678.6</v>
      </c>
      <c r="HF18">
        <v>1.97055</v>
      </c>
      <c r="HG18">
        <v>1.86683</v>
      </c>
      <c r="HH18">
        <v>0.0101402</v>
      </c>
      <c r="HI18">
        <v>0</v>
      </c>
      <c r="HJ18">
        <v>17.8336</v>
      </c>
      <c r="HK18">
        <v>999.9</v>
      </c>
      <c r="HL18">
        <v>32.365</v>
      </c>
      <c r="HM18">
        <v>29.457</v>
      </c>
      <c r="HN18">
        <v>14.9154</v>
      </c>
      <c r="HO18">
        <v>53.921</v>
      </c>
      <c r="HP18">
        <v>45.7452</v>
      </c>
      <c r="HQ18">
        <v>1</v>
      </c>
      <c r="HR18">
        <v>-0.397403</v>
      </c>
      <c r="HS18">
        <v>1.90019</v>
      </c>
      <c r="HT18">
        <v>20.2284</v>
      </c>
      <c r="HU18">
        <v>5.23646</v>
      </c>
      <c r="HV18">
        <v>11.992</v>
      </c>
      <c r="HW18">
        <v>4.9576</v>
      </c>
      <c r="HX18">
        <v>3.304</v>
      </c>
      <c r="HY18">
        <v>9999</v>
      </c>
      <c r="HZ18">
        <v>9999</v>
      </c>
      <c r="IA18">
        <v>999.9</v>
      </c>
      <c r="IB18">
        <v>9999</v>
      </c>
      <c r="IC18">
        <v>1.86871</v>
      </c>
      <c r="ID18">
        <v>1.86439</v>
      </c>
      <c r="IE18">
        <v>1.87195</v>
      </c>
      <c r="IF18">
        <v>1.86295</v>
      </c>
      <c r="IG18">
        <v>1.86234</v>
      </c>
      <c r="IH18">
        <v>1.86874</v>
      </c>
      <c r="II18">
        <v>1.85894</v>
      </c>
      <c r="IJ18">
        <v>1.86528</v>
      </c>
      <c r="IK18">
        <v>5</v>
      </c>
      <c r="IL18">
        <v>0</v>
      </c>
      <c r="IM18">
        <v>0</v>
      </c>
      <c r="IN18">
        <v>0</v>
      </c>
      <c r="IO18" t="s">
        <v>442</v>
      </c>
      <c r="IP18" t="s">
        <v>443</v>
      </c>
      <c r="IQ18" t="s">
        <v>444</v>
      </c>
      <c r="IR18" t="s">
        <v>444</v>
      </c>
      <c r="IS18" t="s">
        <v>444</v>
      </c>
      <c r="IT18" t="s">
        <v>444</v>
      </c>
      <c r="IU18">
        <v>0</v>
      </c>
      <c r="IV18">
        <v>100</v>
      </c>
      <c r="IW18">
        <v>100</v>
      </c>
      <c r="IX18">
        <v>4.85</v>
      </c>
      <c r="IY18">
        <v>0.0084</v>
      </c>
      <c r="IZ18">
        <v>3.68741672054385</v>
      </c>
      <c r="JA18">
        <v>0.00363161861672774</v>
      </c>
      <c r="JB18">
        <v>-2.24629326344171e-06</v>
      </c>
      <c r="JC18">
        <v>5.83607846756539e-10</v>
      </c>
      <c r="JD18">
        <v>-0.00675825458998367</v>
      </c>
      <c r="JE18">
        <v>-0.0132323152736503</v>
      </c>
      <c r="JF18">
        <v>0.00138354380881741</v>
      </c>
      <c r="JG18">
        <v>-1.65967022527567e-05</v>
      </c>
      <c r="JH18">
        <v>1</v>
      </c>
      <c r="JI18">
        <v>2181</v>
      </c>
      <c r="JJ18">
        <v>1</v>
      </c>
      <c r="JK18">
        <v>23</v>
      </c>
      <c r="JL18">
        <v>29345597</v>
      </c>
      <c r="JM18">
        <v>29345597</v>
      </c>
      <c r="JN18">
        <v>1.04492</v>
      </c>
      <c r="JO18">
        <v>2.3584</v>
      </c>
      <c r="JP18">
        <v>1.4978</v>
      </c>
      <c r="JQ18">
        <v>2.33032</v>
      </c>
      <c r="JR18">
        <v>1.54419</v>
      </c>
      <c r="JS18">
        <v>2.35718</v>
      </c>
      <c r="JT18">
        <v>34.8985</v>
      </c>
      <c r="JU18">
        <v>24.3064</v>
      </c>
      <c r="JV18">
        <v>18</v>
      </c>
      <c r="JW18">
        <v>536.573</v>
      </c>
      <c r="JX18">
        <v>416.92</v>
      </c>
      <c r="JY18">
        <v>15.4216</v>
      </c>
      <c r="JZ18">
        <v>22.2103</v>
      </c>
      <c r="KA18">
        <v>30.0001</v>
      </c>
      <c r="KB18">
        <v>22.2197</v>
      </c>
      <c r="KC18">
        <v>22.2477</v>
      </c>
      <c r="KD18">
        <v>20.9617</v>
      </c>
      <c r="KE18">
        <v>22.1361</v>
      </c>
      <c r="KF18">
        <v>12.7426</v>
      </c>
      <c r="KG18">
        <v>15.3174</v>
      </c>
      <c r="KH18">
        <v>420</v>
      </c>
      <c r="KI18">
        <v>12.2546</v>
      </c>
      <c r="KJ18">
        <v>95.8799</v>
      </c>
      <c r="KK18">
        <v>99.5259</v>
      </c>
    </row>
    <row r="19" spans="1:297">
      <c r="A19">
        <v>3</v>
      </c>
      <c r="B19">
        <v>1760736002</v>
      </c>
      <c r="C19">
        <v>348</v>
      </c>
      <c r="D19" t="s">
        <v>448</v>
      </c>
      <c r="E19" t="s">
        <v>449</v>
      </c>
      <c r="F19">
        <v>5</v>
      </c>
      <c r="G19" t="s">
        <v>435</v>
      </c>
      <c r="H19" t="s">
        <v>436</v>
      </c>
      <c r="I19">
        <v>1760735993.5</v>
      </c>
      <c r="J19">
        <f>(K19)/1000</f>
        <v>0</v>
      </c>
      <c r="K19">
        <f>IF(DP19, AN19, AH19)</f>
        <v>0</v>
      </c>
      <c r="L19">
        <f>IF(DP19, AI19, AG19)</f>
        <v>0</v>
      </c>
      <c r="M19">
        <f>DR19 - IF(AU19&gt;1, L19*DL19*100.0/(AW19), 0)</f>
        <v>0</v>
      </c>
      <c r="N19">
        <f>((T19-J19/2)*M19-L19)/(T19+J19/2)</f>
        <v>0</v>
      </c>
      <c r="O19">
        <f>N19*(DY19+DZ19)/1000.0</f>
        <v>0</v>
      </c>
      <c r="P19">
        <f>(DR19 - IF(AU19&gt;1, L19*DL19*100.0/(AW19), 0))*(DY19+DZ19)/1000.0</f>
        <v>0</v>
      </c>
      <c r="Q19">
        <f>2.0/((1/S19-1/R19)+SIGN(S19)*SQRT((1/S19-1/R19)*(1/S19-1/R19) + 4*DM19/((DM19+1)*(DM19+1))*(2*1/S19*1/R19-1/R19*1/R19)))</f>
        <v>0</v>
      </c>
      <c r="R19">
        <f>IF(LEFT(DN19,1)&lt;&gt;"0",IF(LEFT(DN19,1)="1",3.0,DO19),$D$5+$E$5*(EF19*DY19/($K$5*1000))+$F$5*(EF19*DY19/($K$5*1000))*MAX(MIN(DL19,$J$5),$I$5)*MAX(MIN(DL19,$J$5),$I$5)+$G$5*MAX(MIN(DL19,$J$5),$I$5)*(EF19*DY19/($K$5*1000))+$H$5*(EF19*DY19/($K$5*1000))*(EF19*DY19/($K$5*1000)))</f>
        <v>0</v>
      </c>
      <c r="S19">
        <f>J19*(1000-(1000*0.61365*exp(17.502*W19/(240.97+W19))/(DY19+DZ19)+DT19)/2)/(1000*0.61365*exp(17.502*W19/(240.97+W19))/(DY19+DZ19)-DT19)</f>
        <v>0</v>
      </c>
      <c r="T19">
        <f>1/((DM19+1)/(Q19/1.6)+1/(R19/1.37)) + DM19/((DM19+1)/(Q19/1.6) + DM19/(R19/1.37))</f>
        <v>0</v>
      </c>
      <c r="U19">
        <f>(DH19*DK19)</f>
        <v>0</v>
      </c>
      <c r="V19">
        <f>(EA19+(U19+2*0.95*5.67E-8*(((EA19+$B$7)+273)^4-(EA19+273)^4)-44100*J19)/(1.84*29.3*R19+8*0.95*5.67E-8*(EA19+273)^3))</f>
        <v>0</v>
      </c>
      <c r="W19">
        <f>($C$7*EB19+$D$7*EC19+$E$7*V19)</f>
        <v>0</v>
      </c>
      <c r="X19">
        <f>0.61365*exp(17.502*W19/(240.97+W19))</f>
        <v>0</v>
      </c>
      <c r="Y19">
        <f>(Z19/AA19*100)</f>
        <v>0</v>
      </c>
      <c r="Z19">
        <f>DT19*(DY19+DZ19)/1000</f>
        <v>0</v>
      </c>
      <c r="AA19">
        <f>0.61365*exp(17.502*EA19/(240.97+EA19))</f>
        <v>0</v>
      </c>
      <c r="AB19">
        <f>(X19-DT19*(DY19+DZ19)/1000)</f>
        <v>0</v>
      </c>
      <c r="AC19">
        <f>(-J19*44100)</f>
        <v>0</v>
      </c>
      <c r="AD19">
        <f>2*29.3*R19*0.92*(EA19-W19)</f>
        <v>0</v>
      </c>
      <c r="AE19">
        <f>2*0.95*5.67E-8*(((EA19+$B$7)+273)^4-(W19+273)^4)</f>
        <v>0</v>
      </c>
      <c r="AF19">
        <f>U19+AE19+AC19+AD19</f>
        <v>0</v>
      </c>
      <c r="AG19">
        <f>DX19*AU19*(DS19-DR19*(1000-AU19*DU19)/(1000-AU19*DT19))/(100*DL19)</f>
        <v>0</v>
      </c>
      <c r="AH19">
        <f>1000*DX19*AU19*(DT19-DU19)/(100*DL19*(1000-AU19*DT19))</f>
        <v>0</v>
      </c>
      <c r="AI19">
        <f>(AJ19 - AK19 - DY19*1E3/(8.314*(EA19+273.15)) * AM19/DX19 * AL19) * DX19/(100*DL19) * (1000 - DU19)/1000</f>
        <v>0</v>
      </c>
      <c r="AJ19">
        <v>425.103576773817</v>
      </c>
      <c r="AK19">
        <v>425.453357575757</v>
      </c>
      <c r="AL19">
        <v>-0.00641376350201852</v>
      </c>
      <c r="AM19">
        <v>62.9782741434614</v>
      </c>
      <c r="AN19">
        <f>(AP19 - AO19 + DY19*1E3/(8.314*(EA19+273.15)) * AR19/DX19 * AQ19) * DX19/(100*DL19) * 1000/(1000 - AP19)</f>
        <v>0</v>
      </c>
      <c r="AO19">
        <v>12.2292901191921</v>
      </c>
      <c r="AP19">
        <v>12.264043956044</v>
      </c>
      <c r="AQ19">
        <v>-2.32731878317657e-06</v>
      </c>
      <c r="AR19">
        <v>123.269467425455</v>
      </c>
      <c r="AS19">
        <v>2</v>
      </c>
      <c r="AT19">
        <v>0</v>
      </c>
      <c r="AU19">
        <f>IF(AS19*$H$13&gt;=AW19,1.0,(AW19/(AW19-AS19*$H$13)))</f>
        <v>0</v>
      </c>
      <c r="AV19">
        <f>(AU19-1)*100</f>
        <v>0</v>
      </c>
      <c r="AW19">
        <f>MAX(0,($B$13+$C$13*EF19)/(1+$D$13*EF19)*DY19/(EA19+273)*$E$13)</f>
        <v>0</v>
      </c>
      <c r="AX19" t="s">
        <v>450</v>
      </c>
      <c r="AY19">
        <v>5132.59</v>
      </c>
      <c r="AZ19">
        <v>755.976923076923</v>
      </c>
      <c r="BA19">
        <v>2853.46</v>
      </c>
      <c r="BB19">
        <f>1-AZ19/BA19</f>
        <v>0</v>
      </c>
      <c r="BC19">
        <v>-0.585272498201422</v>
      </c>
      <c r="BD19" t="s">
        <v>438</v>
      </c>
      <c r="BE19" t="s">
        <v>438</v>
      </c>
      <c r="BF19">
        <v>0</v>
      </c>
      <c r="BG19">
        <v>0</v>
      </c>
      <c r="BH19">
        <f>1-BF19/BG19</f>
        <v>0</v>
      </c>
      <c r="BI19">
        <v>0.5</v>
      </c>
      <c r="BJ19">
        <f>DI19</f>
        <v>0</v>
      </c>
      <c r="BK19">
        <f>L19</f>
        <v>0</v>
      </c>
      <c r="BL19">
        <f>BH19*BI19*BJ19</f>
        <v>0</v>
      </c>
      <c r="BM19">
        <f>(BK19-BC19)/BJ19</f>
        <v>0</v>
      </c>
      <c r="BN19">
        <f>(BA19-BG19)/BG19</f>
        <v>0</v>
      </c>
      <c r="BO19">
        <f>AZ19/(BB19+AZ19/BG19)</f>
        <v>0</v>
      </c>
      <c r="BP19" t="s">
        <v>438</v>
      </c>
      <c r="BQ19">
        <v>0</v>
      </c>
      <c r="BR19">
        <f>IF(BQ19&lt;&gt;0, BQ19, BO19)</f>
        <v>0</v>
      </c>
      <c r="BS19">
        <f>1-BR19/BG19</f>
        <v>0</v>
      </c>
      <c r="BT19">
        <f>(BG19-BF19)/(BG19-BR19)</f>
        <v>0</v>
      </c>
      <c r="BU19">
        <f>(BA19-BG19)/(BA19-BR19)</f>
        <v>0</v>
      </c>
      <c r="BV19">
        <f>(BG19-BF19)/(BG19-AZ19)</f>
        <v>0</v>
      </c>
      <c r="BW19">
        <f>(BA19-BG19)/(BA19-AZ19)</f>
        <v>0</v>
      </c>
      <c r="BX19">
        <f>(BT19*BR19/BF19)</f>
        <v>0</v>
      </c>
      <c r="BY19">
        <f>(1-BX19)</f>
        <v>0</v>
      </c>
      <c r="DH19">
        <f>$B$11*EG19+$C$11*EH19+$F$11*ES19*(1-EV19)</f>
        <v>0</v>
      </c>
      <c r="DI19">
        <f>DH19*DJ19</f>
        <v>0</v>
      </c>
      <c r="DJ19">
        <f>($B$11*$D$9+$C$11*$D$9+$F$11*((FF19+EX19)/MAX(FF19+EX19+FG19, 0.1)*$I$9+FG19/MAX(FF19+EX19+FG19, 0.1)*$J$9))/($B$11+$C$11+$F$11)</f>
        <v>0</v>
      </c>
      <c r="DK19">
        <f>($B$11*$K$9+$C$11*$K$9+$F$11*((FF19+EX19)/MAX(FF19+EX19+FG19, 0.1)*$P$9+FG19/MAX(FF19+EX19+FG19, 0.1)*$Q$9))/($B$11+$C$11+$F$11)</f>
        <v>0</v>
      </c>
      <c r="DL19">
        <v>2.7</v>
      </c>
      <c r="DM19">
        <v>0.5</v>
      </c>
      <c r="DN19" t="s">
        <v>439</v>
      </c>
      <c r="DO19">
        <v>2</v>
      </c>
      <c r="DP19" t="b">
        <v>1</v>
      </c>
      <c r="DQ19">
        <v>1760735993.5</v>
      </c>
      <c r="DR19">
        <v>420.2653125</v>
      </c>
      <c r="DS19">
        <v>420.1164375</v>
      </c>
      <c r="DT19">
        <v>12.26699375</v>
      </c>
      <c r="DU19">
        <v>12.2357625</v>
      </c>
      <c r="DV19">
        <v>415.415125</v>
      </c>
      <c r="DW19">
        <v>12.25864375</v>
      </c>
      <c r="DX19">
        <v>499.992</v>
      </c>
      <c r="DY19">
        <v>89.601725</v>
      </c>
      <c r="DZ19">
        <v>0.02509460625</v>
      </c>
      <c r="EA19">
        <v>18.88389375</v>
      </c>
      <c r="EB19">
        <v>17.99575</v>
      </c>
      <c r="EC19">
        <v>999.9</v>
      </c>
      <c r="ED19">
        <v>0</v>
      </c>
      <c r="EE19">
        <v>0</v>
      </c>
      <c r="EF19">
        <v>9999.3825</v>
      </c>
      <c r="EG19">
        <v>0</v>
      </c>
      <c r="EH19">
        <v>0.222567</v>
      </c>
      <c r="EI19">
        <v>0.1488456875</v>
      </c>
      <c r="EJ19">
        <v>425.4846875</v>
      </c>
      <c r="EK19">
        <v>425.320625</v>
      </c>
      <c r="EL19">
        <v>0.03126179375</v>
      </c>
      <c r="EM19">
        <v>420.1164375</v>
      </c>
      <c r="EN19">
        <v>12.2357625</v>
      </c>
      <c r="EO19">
        <v>1.099145625</v>
      </c>
      <c r="EP19">
        <v>1.09634375</v>
      </c>
      <c r="EQ19">
        <v>8.30139625</v>
      </c>
      <c r="ER19">
        <v>8.263806875</v>
      </c>
      <c r="ES19">
        <v>0.00500016</v>
      </c>
      <c r="ET19">
        <v>0</v>
      </c>
      <c r="EU19">
        <v>0</v>
      </c>
      <c r="EV19">
        <v>0</v>
      </c>
      <c r="EW19">
        <v>756.4375</v>
      </c>
      <c r="EX19">
        <v>0.00500016</v>
      </c>
      <c r="EY19">
        <v>-43.08125</v>
      </c>
      <c r="EZ19">
        <v>-3.0875</v>
      </c>
      <c r="FA19">
        <v>33.73425</v>
      </c>
      <c r="FB19">
        <v>38.125</v>
      </c>
      <c r="FC19">
        <v>36.125</v>
      </c>
      <c r="FD19">
        <v>38.687</v>
      </c>
      <c r="FE19">
        <v>36.5</v>
      </c>
      <c r="FF19">
        <v>0</v>
      </c>
      <c r="FG19">
        <v>0</v>
      </c>
      <c r="FH19">
        <v>0</v>
      </c>
      <c r="FI19">
        <v>180</v>
      </c>
      <c r="FJ19">
        <v>0</v>
      </c>
      <c r="FK19">
        <v>755.976923076923</v>
      </c>
      <c r="FL19">
        <v>-18.3863249767678</v>
      </c>
      <c r="FM19">
        <v>7.73333352411002</v>
      </c>
      <c r="FN19">
        <v>-41.6461538461539</v>
      </c>
      <c r="FO19">
        <v>15</v>
      </c>
      <c r="FP19">
        <v>0</v>
      </c>
      <c r="FQ19" t="s">
        <v>440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0.20077055</v>
      </c>
      <c r="GD19">
        <v>0.824507233082706</v>
      </c>
      <c r="GE19">
        <v>0.357777656452925</v>
      </c>
      <c r="GF19">
        <v>0</v>
      </c>
      <c r="GG19">
        <v>757.314705882353</v>
      </c>
      <c r="GH19">
        <v>-19.940412671672</v>
      </c>
      <c r="GI19">
        <v>5.6536366408212</v>
      </c>
      <c r="GJ19">
        <v>-1</v>
      </c>
      <c r="GK19">
        <v>0.03072505</v>
      </c>
      <c r="GL19">
        <v>0.0140328812030074</v>
      </c>
      <c r="GM19">
        <v>0.00629823917936593</v>
      </c>
      <c r="GN19">
        <v>1</v>
      </c>
      <c r="GO19">
        <v>1</v>
      </c>
      <c r="GP19">
        <v>2</v>
      </c>
      <c r="GQ19" t="s">
        <v>451</v>
      </c>
      <c r="GR19">
        <v>3.12401</v>
      </c>
      <c r="GS19">
        <v>2.65096</v>
      </c>
      <c r="GT19">
        <v>0.0895255</v>
      </c>
      <c r="GU19">
        <v>0.0902189</v>
      </c>
      <c r="GV19">
        <v>0.0627878</v>
      </c>
      <c r="GW19">
        <v>0.0627019</v>
      </c>
      <c r="GX19">
        <v>24213.2</v>
      </c>
      <c r="GY19">
        <v>22423.5</v>
      </c>
      <c r="GZ19">
        <v>23758.7</v>
      </c>
      <c r="HA19">
        <v>23973.4</v>
      </c>
      <c r="HB19">
        <v>37877.2</v>
      </c>
      <c r="HC19">
        <v>37141.7</v>
      </c>
      <c r="HD19">
        <v>42738.2</v>
      </c>
      <c r="HE19">
        <v>42680.2</v>
      </c>
      <c r="HF19">
        <v>1.97045</v>
      </c>
      <c r="HG19">
        <v>1.86633</v>
      </c>
      <c r="HH19">
        <v>0.00954047</v>
      </c>
      <c r="HI19">
        <v>0</v>
      </c>
      <c r="HJ19">
        <v>17.8336</v>
      </c>
      <c r="HK19">
        <v>999.9</v>
      </c>
      <c r="HL19">
        <v>32.267</v>
      </c>
      <c r="HM19">
        <v>29.517</v>
      </c>
      <c r="HN19">
        <v>14.9226</v>
      </c>
      <c r="HO19">
        <v>54.151</v>
      </c>
      <c r="HP19">
        <v>45.4928</v>
      </c>
      <c r="HQ19">
        <v>1</v>
      </c>
      <c r="HR19">
        <v>-0.395981</v>
      </c>
      <c r="HS19">
        <v>1.93767</v>
      </c>
      <c r="HT19">
        <v>20.2279</v>
      </c>
      <c r="HU19">
        <v>5.23691</v>
      </c>
      <c r="HV19">
        <v>11.992</v>
      </c>
      <c r="HW19">
        <v>4.9576</v>
      </c>
      <c r="HX19">
        <v>3.30398</v>
      </c>
      <c r="HY19">
        <v>9999</v>
      </c>
      <c r="HZ19">
        <v>9999</v>
      </c>
      <c r="IA19">
        <v>999.9</v>
      </c>
      <c r="IB19">
        <v>9999</v>
      </c>
      <c r="IC19">
        <v>1.86869</v>
      </c>
      <c r="ID19">
        <v>1.86435</v>
      </c>
      <c r="IE19">
        <v>1.87195</v>
      </c>
      <c r="IF19">
        <v>1.86295</v>
      </c>
      <c r="IG19">
        <v>1.86234</v>
      </c>
      <c r="IH19">
        <v>1.86874</v>
      </c>
      <c r="II19">
        <v>1.85891</v>
      </c>
      <c r="IJ19">
        <v>1.86524</v>
      </c>
      <c r="IK19">
        <v>5</v>
      </c>
      <c r="IL19">
        <v>0</v>
      </c>
      <c r="IM19">
        <v>0</v>
      </c>
      <c r="IN19">
        <v>0</v>
      </c>
      <c r="IO19" t="s">
        <v>442</v>
      </c>
      <c r="IP19" t="s">
        <v>443</v>
      </c>
      <c r="IQ19" t="s">
        <v>444</v>
      </c>
      <c r="IR19" t="s">
        <v>444</v>
      </c>
      <c r="IS19" t="s">
        <v>444</v>
      </c>
      <c r="IT19" t="s">
        <v>444</v>
      </c>
      <c r="IU19">
        <v>0</v>
      </c>
      <c r="IV19">
        <v>100</v>
      </c>
      <c r="IW19">
        <v>100</v>
      </c>
      <c r="IX19">
        <v>4.85</v>
      </c>
      <c r="IY19">
        <v>0.0083</v>
      </c>
      <c r="IZ19">
        <v>3.68741672054385</v>
      </c>
      <c r="JA19">
        <v>0.00363161861672774</v>
      </c>
      <c r="JB19">
        <v>-2.24629326344171e-06</v>
      </c>
      <c r="JC19">
        <v>5.83607846756539e-10</v>
      </c>
      <c r="JD19">
        <v>-0.00675825458998367</v>
      </c>
      <c r="JE19">
        <v>-0.0132323152736503</v>
      </c>
      <c r="JF19">
        <v>0.00138354380881741</v>
      </c>
      <c r="JG19">
        <v>-1.65967022527567e-05</v>
      </c>
      <c r="JH19">
        <v>1</v>
      </c>
      <c r="JI19">
        <v>2181</v>
      </c>
      <c r="JJ19">
        <v>1</v>
      </c>
      <c r="JK19">
        <v>23</v>
      </c>
      <c r="JL19">
        <v>29345600</v>
      </c>
      <c r="JM19">
        <v>29345600</v>
      </c>
      <c r="JN19">
        <v>1.04492</v>
      </c>
      <c r="JO19">
        <v>2.35352</v>
      </c>
      <c r="JP19">
        <v>1.4978</v>
      </c>
      <c r="JQ19">
        <v>2.33032</v>
      </c>
      <c r="JR19">
        <v>1.54419</v>
      </c>
      <c r="JS19">
        <v>2.39258</v>
      </c>
      <c r="JT19">
        <v>34.9214</v>
      </c>
      <c r="JU19">
        <v>24.2976</v>
      </c>
      <c r="JV19">
        <v>18</v>
      </c>
      <c r="JW19">
        <v>536.661</v>
      </c>
      <c r="JX19">
        <v>416.756</v>
      </c>
      <c r="JY19">
        <v>15.3764</v>
      </c>
      <c r="JZ19">
        <v>22.2277</v>
      </c>
      <c r="KA19">
        <v>30.0002</v>
      </c>
      <c r="KB19">
        <v>22.2358</v>
      </c>
      <c r="KC19">
        <v>22.2618</v>
      </c>
      <c r="KD19">
        <v>20.9614</v>
      </c>
      <c r="KE19">
        <v>22.1361</v>
      </c>
      <c r="KF19">
        <v>13.8729</v>
      </c>
      <c r="KG19">
        <v>15.3754</v>
      </c>
      <c r="KH19">
        <v>420</v>
      </c>
      <c r="KI19">
        <v>12.2546</v>
      </c>
      <c r="KJ19">
        <v>95.8633</v>
      </c>
      <c r="KK19">
        <v>99.5287</v>
      </c>
    </row>
    <row r="20" spans="1:297">
      <c r="A20">
        <v>4</v>
      </c>
      <c r="B20">
        <v>1760736448</v>
      </c>
      <c r="C20">
        <v>794</v>
      </c>
      <c r="D20" t="s">
        <v>452</v>
      </c>
      <c r="E20" t="s">
        <v>453</v>
      </c>
      <c r="F20">
        <v>5</v>
      </c>
      <c r="G20" t="s">
        <v>454</v>
      </c>
      <c r="H20" t="s">
        <v>436</v>
      </c>
      <c r="I20">
        <v>1760736440</v>
      </c>
      <c r="J20">
        <f>(K20)/1000</f>
        <v>0</v>
      </c>
      <c r="K20">
        <f>IF(DP20, AN20, AH20)</f>
        <v>0</v>
      </c>
      <c r="L20">
        <f>IF(DP20, AI20, AG20)</f>
        <v>0</v>
      </c>
      <c r="M20">
        <f>DR20 - IF(AU20&gt;1, L20*DL20*100.0/(AW20), 0)</f>
        <v>0</v>
      </c>
      <c r="N20">
        <f>((T20-J20/2)*M20-L20)/(T20+J20/2)</f>
        <v>0</v>
      </c>
      <c r="O20">
        <f>N20*(DY20+DZ20)/1000.0</f>
        <v>0</v>
      </c>
      <c r="P20">
        <f>(DR20 - IF(AU20&gt;1, L20*DL20*100.0/(AW20), 0))*(DY20+DZ20)/1000.0</f>
        <v>0</v>
      </c>
      <c r="Q20">
        <f>2.0/((1/S20-1/R20)+SIGN(S20)*SQRT((1/S20-1/R20)*(1/S20-1/R20) + 4*DM20/((DM20+1)*(DM20+1))*(2*1/S20*1/R20-1/R20*1/R20)))</f>
        <v>0</v>
      </c>
      <c r="R20">
        <f>IF(LEFT(DN20,1)&lt;&gt;"0",IF(LEFT(DN20,1)="1",3.0,DO20),$D$5+$E$5*(EF20*DY20/($K$5*1000))+$F$5*(EF20*DY20/($K$5*1000))*MAX(MIN(DL20,$J$5),$I$5)*MAX(MIN(DL20,$J$5),$I$5)+$G$5*MAX(MIN(DL20,$J$5),$I$5)*(EF20*DY20/($K$5*1000))+$H$5*(EF20*DY20/($K$5*1000))*(EF20*DY20/($K$5*1000)))</f>
        <v>0</v>
      </c>
      <c r="S20">
        <f>J20*(1000-(1000*0.61365*exp(17.502*W20/(240.97+W20))/(DY20+DZ20)+DT20)/2)/(1000*0.61365*exp(17.502*W20/(240.97+W20))/(DY20+DZ20)-DT20)</f>
        <v>0</v>
      </c>
      <c r="T20">
        <f>1/((DM20+1)/(Q20/1.6)+1/(R20/1.37)) + DM20/((DM20+1)/(Q20/1.6) + DM20/(R20/1.37))</f>
        <v>0</v>
      </c>
      <c r="U20">
        <f>(DH20*DK20)</f>
        <v>0</v>
      </c>
      <c r="V20">
        <f>(EA20+(U20+2*0.95*5.67E-8*(((EA20+$B$7)+273)^4-(EA20+273)^4)-44100*J20)/(1.84*29.3*R20+8*0.95*5.67E-8*(EA20+273)^3))</f>
        <v>0</v>
      </c>
      <c r="W20">
        <f>($C$7*EB20+$D$7*EC20+$E$7*V20)</f>
        <v>0</v>
      </c>
      <c r="X20">
        <f>0.61365*exp(17.502*W20/(240.97+W20))</f>
        <v>0</v>
      </c>
      <c r="Y20">
        <f>(Z20/AA20*100)</f>
        <v>0</v>
      </c>
      <c r="Z20">
        <f>DT20*(DY20+DZ20)/1000</f>
        <v>0</v>
      </c>
      <c r="AA20">
        <f>0.61365*exp(17.502*EA20/(240.97+EA20))</f>
        <v>0</v>
      </c>
      <c r="AB20">
        <f>(X20-DT20*(DY20+DZ20)/1000)</f>
        <v>0</v>
      </c>
      <c r="AC20">
        <f>(-J20*44100)</f>
        <v>0</v>
      </c>
      <c r="AD20">
        <f>2*29.3*R20*0.92*(EA20-W20)</f>
        <v>0</v>
      </c>
      <c r="AE20">
        <f>2*0.95*5.67E-8*(((EA20+$B$7)+273)^4-(W20+273)^4)</f>
        <v>0</v>
      </c>
      <c r="AF20">
        <f>U20+AE20+AC20+AD20</f>
        <v>0</v>
      </c>
      <c r="AG20">
        <f>DX20*AU20*(DS20-DR20*(1000-AU20*DU20)/(1000-AU20*DT20))/(100*DL20)</f>
        <v>0</v>
      </c>
      <c r="AH20">
        <f>1000*DX20*AU20*(DT20-DU20)/(100*DL20*(1000-AU20*DT20))</f>
        <v>0</v>
      </c>
      <c r="AI20">
        <f>(AJ20 - AK20 - DY20*1E3/(8.314*(EA20+273.15)) * AM20/DX20 * AL20) * DX20/(100*DL20) * (1000 - DU20)/1000</f>
        <v>0</v>
      </c>
      <c r="AJ20">
        <v>425.017171919143</v>
      </c>
      <c r="AK20">
        <v>426.061096969697</v>
      </c>
      <c r="AL20">
        <v>0.0115433875074297</v>
      </c>
      <c r="AM20">
        <v>62.9782741434614</v>
      </c>
      <c r="AN20">
        <f>(AP20 - AO20 + DY20*1E3/(8.314*(EA20+273.15)) * AR20/DX20 * AQ20) * DX20/(100*DL20) * 1000/(1000 - AP20)</f>
        <v>0</v>
      </c>
      <c r="AO20">
        <v>11.8929331026177</v>
      </c>
      <c r="AP20">
        <v>12.348421978022</v>
      </c>
      <c r="AQ20">
        <v>4.00730928334397e-06</v>
      </c>
      <c r="AR20">
        <v>123.269467425455</v>
      </c>
      <c r="AS20">
        <v>2</v>
      </c>
      <c r="AT20">
        <v>0</v>
      </c>
      <c r="AU20">
        <f>IF(AS20*$H$13&gt;=AW20,1.0,(AW20/(AW20-AS20*$H$13)))</f>
        <v>0</v>
      </c>
      <c r="AV20">
        <f>(AU20-1)*100</f>
        <v>0</v>
      </c>
      <c r="AW20">
        <f>MAX(0,($B$13+$C$13*EF20)/(1+$D$13*EF20)*DY20/(EA20+273)*$E$13)</f>
        <v>0</v>
      </c>
      <c r="AX20" t="s">
        <v>455</v>
      </c>
      <c r="AY20">
        <v>5134.1</v>
      </c>
      <c r="AZ20">
        <v>695.068</v>
      </c>
      <c r="BA20">
        <v>2675.31</v>
      </c>
      <c r="BB20">
        <f>1-AZ20/BA20</f>
        <v>0</v>
      </c>
      <c r="BC20">
        <v>-2.00854041965221</v>
      </c>
      <c r="BD20" t="s">
        <v>438</v>
      </c>
      <c r="BE20" t="s">
        <v>438</v>
      </c>
      <c r="BF20">
        <v>0</v>
      </c>
      <c r="BG20">
        <v>0</v>
      </c>
      <c r="BH20">
        <f>1-BF20/BG20</f>
        <v>0</v>
      </c>
      <c r="BI20">
        <v>0.5</v>
      </c>
      <c r="BJ20">
        <f>DI20</f>
        <v>0</v>
      </c>
      <c r="BK20">
        <f>L20</f>
        <v>0</v>
      </c>
      <c r="BL20">
        <f>BH20*BI20*BJ20</f>
        <v>0</v>
      </c>
      <c r="BM20">
        <f>(BK20-BC20)/BJ20</f>
        <v>0</v>
      </c>
      <c r="BN20">
        <f>(BA20-BG20)/BG20</f>
        <v>0</v>
      </c>
      <c r="BO20">
        <f>AZ20/(BB20+AZ20/BG20)</f>
        <v>0</v>
      </c>
      <c r="BP20" t="s">
        <v>438</v>
      </c>
      <c r="BQ20">
        <v>0</v>
      </c>
      <c r="BR20">
        <f>IF(BQ20&lt;&gt;0, BQ20, BO20)</f>
        <v>0</v>
      </c>
      <c r="BS20">
        <f>1-BR20/BG20</f>
        <v>0</v>
      </c>
      <c r="BT20">
        <f>(BG20-BF20)/(BG20-BR20)</f>
        <v>0</v>
      </c>
      <c r="BU20">
        <f>(BA20-BG20)/(BA20-BR20)</f>
        <v>0</v>
      </c>
      <c r="BV20">
        <f>(BG20-BF20)/(BG20-AZ20)</f>
        <v>0</v>
      </c>
      <c r="BW20">
        <f>(BA20-BG20)/(BA20-AZ20)</f>
        <v>0</v>
      </c>
      <c r="BX20">
        <f>(BT20*BR20/BF20)</f>
        <v>0</v>
      </c>
      <c r="BY20">
        <f>(1-BX20)</f>
        <v>0</v>
      </c>
      <c r="DH20">
        <f>$B$11*EG20+$C$11*EH20+$F$11*ES20*(1-EV20)</f>
        <v>0</v>
      </c>
      <c r="DI20">
        <f>DH20*DJ20</f>
        <v>0</v>
      </c>
      <c r="DJ20">
        <f>($B$11*$D$9+$C$11*$D$9+$F$11*((FF20+EX20)/MAX(FF20+EX20+FG20, 0.1)*$I$9+FG20/MAX(FF20+EX20+FG20, 0.1)*$J$9))/($B$11+$C$11+$F$11)</f>
        <v>0</v>
      </c>
      <c r="DK20">
        <f>($B$11*$K$9+$C$11*$K$9+$F$11*((FF20+EX20)/MAX(FF20+EX20+FG20, 0.1)*$P$9+FG20/MAX(FF20+EX20+FG20, 0.1)*$Q$9))/($B$11+$C$11+$F$11)</f>
        <v>0</v>
      </c>
      <c r="DL20">
        <v>2.7</v>
      </c>
      <c r="DM20">
        <v>0.5</v>
      </c>
      <c r="DN20" t="s">
        <v>439</v>
      </c>
      <c r="DO20">
        <v>2</v>
      </c>
      <c r="DP20" t="b">
        <v>1</v>
      </c>
      <c r="DQ20">
        <v>1760736440</v>
      </c>
      <c r="DR20">
        <v>420.7626</v>
      </c>
      <c r="DS20">
        <v>419.991733333333</v>
      </c>
      <c r="DT20">
        <v>12.3468266666667</v>
      </c>
      <c r="DU20">
        <v>11.8928133333333</v>
      </c>
      <c r="DV20">
        <v>415.9114</v>
      </c>
      <c r="DW20">
        <v>12.3373933333333</v>
      </c>
      <c r="DX20">
        <v>500.054666666667</v>
      </c>
      <c r="DY20">
        <v>89.60318</v>
      </c>
      <c r="DZ20">
        <v>0.0251169933333333</v>
      </c>
      <c r="EA20">
        <v>19.0526133333333</v>
      </c>
      <c r="EB20">
        <v>17.9985933333333</v>
      </c>
      <c r="EC20">
        <v>999.9</v>
      </c>
      <c r="ED20">
        <v>0</v>
      </c>
      <c r="EE20">
        <v>0</v>
      </c>
      <c r="EF20">
        <v>10000.7526666667</v>
      </c>
      <c r="EG20">
        <v>0</v>
      </c>
      <c r="EH20">
        <v>0.222567</v>
      </c>
      <c r="EI20">
        <v>0.7707702</v>
      </c>
      <c r="EJ20">
        <v>426.022666666667</v>
      </c>
      <c r="EK20">
        <v>425.0468</v>
      </c>
      <c r="EL20">
        <v>0.4539952</v>
      </c>
      <c r="EM20">
        <v>419.991733333333</v>
      </c>
      <c r="EN20">
        <v>11.8928133333333</v>
      </c>
      <c r="EO20">
        <v>1.10631333333333</v>
      </c>
      <c r="EP20">
        <v>1.065634</v>
      </c>
      <c r="EQ20">
        <v>8.39721666666667</v>
      </c>
      <c r="ER20">
        <v>7.84606333333333</v>
      </c>
      <c r="ES20">
        <v>0.00500016</v>
      </c>
      <c r="ET20">
        <v>0</v>
      </c>
      <c r="EU20">
        <v>0</v>
      </c>
      <c r="EV20">
        <v>0</v>
      </c>
      <c r="EW20">
        <v>693.306666666667</v>
      </c>
      <c r="EX20">
        <v>0.00500016</v>
      </c>
      <c r="EY20">
        <v>-42.62</v>
      </c>
      <c r="EZ20">
        <v>-3.33333333333333</v>
      </c>
      <c r="FA20">
        <v>33.6291333333333</v>
      </c>
      <c r="FB20">
        <v>38.1415333333333</v>
      </c>
      <c r="FC20">
        <v>36.125</v>
      </c>
      <c r="FD20">
        <v>38.687</v>
      </c>
      <c r="FE20">
        <v>36.458</v>
      </c>
      <c r="FF20">
        <v>0</v>
      </c>
      <c r="FG20">
        <v>0</v>
      </c>
      <c r="FH20">
        <v>0</v>
      </c>
      <c r="FI20">
        <v>444.600000143051</v>
      </c>
      <c r="FJ20">
        <v>0</v>
      </c>
      <c r="FK20">
        <v>695.068</v>
      </c>
      <c r="FL20">
        <v>-0.753846516975253</v>
      </c>
      <c r="FM20">
        <v>-27.2692307356076</v>
      </c>
      <c r="FN20">
        <v>-42.308</v>
      </c>
      <c r="FO20">
        <v>15</v>
      </c>
      <c r="FP20">
        <v>0</v>
      </c>
      <c r="FQ20" t="s">
        <v>440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0.771400047619048</v>
      </c>
      <c r="GD20">
        <v>0.0519087272727269</v>
      </c>
      <c r="GE20">
        <v>0.0361338184747912</v>
      </c>
      <c r="GF20">
        <v>1</v>
      </c>
      <c r="GG20">
        <v>695.220588235294</v>
      </c>
      <c r="GH20">
        <v>-3.39037451263401</v>
      </c>
      <c r="GI20">
        <v>5.43040348472564</v>
      </c>
      <c r="GJ20">
        <v>-1</v>
      </c>
      <c r="GK20">
        <v>0.449460619047619</v>
      </c>
      <c r="GL20">
        <v>0.071386207792209</v>
      </c>
      <c r="GM20">
        <v>0.00797806493710032</v>
      </c>
      <c r="GN20">
        <v>1</v>
      </c>
      <c r="GO20">
        <v>2</v>
      </c>
      <c r="GP20">
        <v>2</v>
      </c>
      <c r="GQ20" t="s">
        <v>441</v>
      </c>
      <c r="GR20">
        <v>3.12396</v>
      </c>
      <c r="GS20">
        <v>2.6505</v>
      </c>
      <c r="GT20">
        <v>0.0896344</v>
      </c>
      <c r="GU20">
        <v>0.0902328</v>
      </c>
      <c r="GV20">
        <v>0.0631165</v>
      </c>
      <c r="GW20">
        <v>0.0612785</v>
      </c>
      <c r="GX20">
        <v>24205.7</v>
      </c>
      <c r="GY20">
        <v>22430</v>
      </c>
      <c r="GZ20">
        <v>23753.9</v>
      </c>
      <c r="HA20">
        <v>23980.5</v>
      </c>
      <c r="HB20">
        <v>37856.3</v>
      </c>
      <c r="HC20">
        <v>37209.6</v>
      </c>
      <c r="HD20">
        <v>42729.6</v>
      </c>
      <c r="HE20">
        <v>42693.1</v>
      </c>
      <c r="HF20">
        <v>1.97145</v>
      </c>
      <c r="HG20">
        <v>1.86583</v>
      </c>
      <c r="HH20">
        <v>0.00521541</v>
      </c>
      <c r="HI20">
        <v>0</v>
      </c>
      <c r="HJ20">
        <v>17.9199</v>
      </c>
      <c r="HK20">
        <v>999.9</v>
      </c>
      <c r="HL20">
        <v>32.09</v>
      </c>
      <c r="HM20">
        <v>29.638</v>
      </c>
      <c r="HN20">
        <v>14.9431</v>
      </c>
      <c r="HO20">
        <v>54.431</v>
      </c>
      <c r="HP20">
        <v>45.4127</v>
      </c>
      <c r="HQ20">
        <v>1</v>
      </c>
      <c r="HR20">
        <v>-0.402215</v>
      </c>
      <c r="HS20">
        <v>1.64156</v>
      </c>
      <c r="HT20">
        <v>20.231</v>
      </c>
      <c r="HU20">
        <v>5.23511</v>
      </c>
      <c r="HV20">
        <v>11.992</v>
      </c>
      <c r="HW20">
        <v>4.95715</v>
      </c>
      <c r="HX20">
        <v>3.30395</v>
      </c>
      <c r="HY20">
        <v>9999</v>
      </c>
      <c r="HZ20">
        <v>9999</v>
      </c>
      <c r="IA20">
        <v>999.9</v>
      </c>
      <c r="IB20">
        <v>9999</v>
      </c>
      <c r="IC20">
        <v>1.86866</v>
      </c>
      <c r="ID20">
        <v>1.86445</v>
      </c>
      <c r="IE20">
        <v>1.87196</v>
      </c>
      <c r="IF20">
        <v>1.86295</v>
      </c>
      <c r="IG20">
        <v>1.86234</v>
      </c>
      <c r="IH20">
        <v>1.86874</v>
      </c>
      <c r="II20">
        <v>1.85897</v>
      </c>
      <c r="IJ20">
        <v>1.86528</v>
      </c>
      <c r="IK20">
        <v>5</v>
      </c>
      <c r="IL20">
        <v>0</v>
      </c>
      <c r="IM20">
        <v>0</v>
      </c>
      <c r="IN20">
        <v>0</v>
      </c>
      <c r="IO20" t="s">
        <v>442</v>
      </c>
      <c r="IP20" t="s">
        <v>443</v>
      </c>
      <c r="IQ20" t="s">
        <v>444</v>
      </c>
      <c r="IR20" t="s">
        <v>444</v>
      </c>
      <c r="IS20" t="s">
        <v>444</v>
      </c>
      <c r="IT20" t="s">
        <v>444</v>
      </c>
      <c r="IU20">
        <v>0</v>
      </c>
      <c r="IV20">
        <v>100</v>
      </c>
      <c r="IW20">
        <v>100</v>
      </c>
      <c r="IX20">
        <v>4.852</v>
      </c>
      <c r="IY20">
        <v>0.0094</v>
      </c>
      <c r="IZ20">
        <v>3.68741672054385</v>
      </c>
      <c r="JA20">
        <v>0.00363161861672774</v>
      </c>
      <c r="JB20">
        <v>-2.24629326344171e-06</v>
      </c>
      <c r="JC20">
        <v>5.83607846756539e-10</v>
      </c>
      <c r="JD20">
        <v>-0.00675825458998367</v>
      </c>
      <c r="JE20">
        <v>-0.0132323152736503</v>
      </c>
      <c r="JF20">
        <v>0.00138354380881741</v>
      </c>
      <c r="JG20">
        <v>-1.65967022527567e-05</v>
      </c>
      <c r="JH20">
        <v>1</v>
      </c>
      <c r="JI20">
        <v>2181</v>
      </c>
      <c r="JJ20">
        <v>1</v>
      </c>
      <c r="JK20">
        <v>23</v>
      </c>
      <c r="JL20">
        <v>29345607.5</v>
      </c>
      <c r="JM20">
        <v>29345607.5</v>
      </c>
      <c r="JN20">
        <v>1.04492</v>
      </c>
      <c r="JO20">
        <v>2.35962</v>
      </c>
      <c r="JP20">
        <v>1.4978</v>
      </c>
      <c r="JQ20">
        <v>2.33032</v>
      </c>
      <c r="JR20">
        <v>1.54419</v>
      </c>
      <c r="JS20">
        <v>2.31445</v>
      </c>
      <c r="JT20">
        <v>35.0134</v>
      </c>
      <c r="JU20">
        <v>24.3064</v>
      </c>
      <c r="JV20">
        <v>18</v>
      </c>
      <c r="JW20">
        <v>536.948</v>
      </c>
      <c r="JX20">
        <v>416.214</v>
      </c>
      <c r="JY20">
        <v>15.8941</v>
      </c>
      <c r="JZ20">
        <v>22.1699</v>
      </c>
      <c r="KA20">
        <v>30.0002</v>
      </c>
      <c r="KB20">
        <v>22.2004</v>
      </c>
      <c r="KC20">
        <v>22.2291</v>
      </c>
      <c r="KD20">
        <v>20.9554</v>
      </c>
      <c r="KE20">
        <v>25.6391</v>
      </c>
      <c r="KF20">
        <v>14.2494</v>
      </c>
      <c r="KG20">
        <v>15.8574</v>
      </c>
      <c r="KH20">
        <v>420</v>
      </c>
      <c r="KI20">
        <v>11.9184</v>
      </c>
      <c r="KJ20">
        <v>95.8439</v>
      </c>
      <c r="KK20">
        <v>99.5586</v>
      </c>
    </row>
    <row r="21" spans="1:297">
      <c r="A21">
        <v>5</v>
      </c>
      <c r="B21">
        <v>1760736524</v>
      </c>
      <c r="C21">
        <v>870</v>
      </c>
      <c r="D21" t="s">
        <v>456</v>
      </c>
      <c r="E21" t="s">
        <v>457</v>
      </c>
      <c r="F21">
        <v>5</v>
      </c>
      <c r="G21" t="s">
        <v>454</v>
      </c>
      <c r="H21" t="s">
        <v>436</v>
      </c>
      <c r="I21">
        <v>1760736516</v>
      </c>
      <c r="J21">
        <f>(K21)/1000</f>
        <v>0</v>
      </c>
      <c r="K21">
        <f>IF(DP21, AN21, AH21)</f>
        <v>0</v>
      </c>
      <c r="L21">
        <f>IF(DP21, AI21, AG21)</f>
        <v>0</v>
      </c>
      <c r="M21">
        <f>DR21 - IF(AU21&gt;1, L21*DL21*100.0/(AW21), 0)</f>
        <v>0</v>
      </c>
      <c r="N21">
        <f>((T21-J21/2)*M21-L21)/(T21+J21/2)</f>
        <v>0</v>
      </c>
      <c r="O21">
        <f>N21*(DY21+DZ21)/1000.0</f>
        <v>0</v>
      </c>
      <c r="P21">
        <f>(DR21 - IF(AU21&gt;1, L21*DL21*100.0/(AW21), 0))*(DY21+DZ21)/1000.0</f>
        <v>0</v>
      </c>
      <c r="Q21">
        <f>2.0/((1/S21-1/R21)+SIGN(S21)*SQRT((1/S21-1/R21)*(1/S21-1/R21) + 4*DM21/((DM21+1)*(DM21+1))*(2*1/S21*1/R21-1/R21*1/R21)))</f>
        <v>0</v>
      </c>
      <c r="R21">
        <f>IF(LEFT(DN21,1)&lt;&gt;"0",IF(LEFT(DN21,1)="1",3.0,DO21),$D$5+$E$5*(EF21*DY21/($K$5*1000))+$F$5*(EF21*DY21/($K$5*1000))*MAX(MIN(DL21,$J$5),$I$5)*MAX(MIN(DL21,$J$5),$I$5)+$G$5*MAX(MIN(DL21,$J$5),$I$5)*(EF21*DY21/($K$5*1000))+$H$5*(EF21*DY21/($K$5*1000))*(EF21*DY21/($K$5*1000)))</f>
        <v>0</v>
      </c>
      <c r="S21">
        <f>J21*(1000-(1000*0.61365*exp(17.502*W21/(240.97+W21))/(DY21+DZ21)+DT21)/2)/(1000*0.61365*exp(17.502*W21/(240.97+W21))/(DY21+DZ21)-DT21)</f>
        <v>0</v>
      </c>
      <c r="T21">
        <f>1/((DM21+1)/(Q21/1.6)+1/(R21/1.37)) + DM21/((DM21+1)/(Q21/1.6) + DM21/(R21/1.37))</f>
        <v>0</v>
      </c>
      <c r="U21">
        <f>(DH21*DK21)</f>
        <v>0</v>
      </c>
      <c r="V21">
        <f>(EA21+(U21+2*0.95*5.67E-8*(((EA21+$B$7)+273)^4-(EA21+273)^4)-44100*J21)/(1.84*29.3*R21+8*0.95*5.67E-8*(EA21+273)^3))</f>
        <v>0</v>
      </c>
      <c r="W21">
        <f>($C$7*EB21+$D$7*EC21+$E$7*V21)</f>
        <v>0</v>
      </c>
      <c r="X21">
        <f>0.61365*exp(17.502*W21/(240.97+W21))</f>
        <v>0</v>
      </c>
      <c r="Y21">
        <f>(Z21/AA21*100)</f>
        <v>0</v>
      </c>
      <c r="Z21">
        <f>DT21*(DY21+DZ21)/1000</f>
        <v>0</v>
      </c>
      <c r="AA21">
        <f>0.61365*exp(17.502*EA21/(240.97+EA21))</f>
        <v>0</v>
      </c>
      <c r="AB21">
        <f>(X21-DT21*(DY21+DZ21)/1000)</f>
        <v>0</v>
      </c>
      <c r="AC21">
        <f>(-J21*44100)</f>
        <v>0</v>
      </c>
      <c r="AD21">
        <f>2*29.3*R21*0.92*(EA21-W21)</f>
        <v>0</v>
      </c>
      <c r="AE21">
        <f>2*0.95*5.67E-8*(((EA21+$B$7)+273)^4-(W21+273)^4)</f>
        <v>0</v>
      </c>
      <c r="AF21">
        <f>U21+AE21+AC21+AD21</f>
        <v>0</v>
      </c>
      <c r="AG21">
        <f>DX21*AU21*(DS21-DR21*(1000-AU21*DU21)/(1000-AU21*DT21))/(100*DL21)</f>
        <v>0</v>
      </c>
      <c r="AH21">
        <f>1000*DX21*AU21*(DT21-DU21)/(100*DL21*(1000-AU21*DT21))</f>
        <v>0</v>
      </c>
      <c r="AI21">
        <f>(AJ21 - AK21 - DY21*1E3/(8.314*(EA21+273.15)) * AM21/DX21 * AL21) * DX21/(100*DL21) * (1000 - DU21)/1000</f>
        <v>0</v>
      </c>
      <c r="AJ21">
        <v>425.124293947842</v>
      </c>
      <c r="AK21">
        <v>425.928496969697</v>
      </c>
      <c r="AL21">
        <v>0.00504886615470162</v>
      </c>
      <c r="AM21">
        <v>62.9782741434614</v>
      </c>
      <c r="AN21">
        <f>(AP21 - AO21 + DY21*1E3/(8.314*(EA21+273.15)) * AR21/DX21 * AQ21) * DX21/(100*DL21) * 1000/(1000 - AP21)</f>
        <v>0</v>
      </c>
      <c r="AO21">
        <v>11.9654079087921</v>
      </c>
      <c r="AP21">
        <v>12.3456340659341</v>
      </c>
      <c r="AQ21">
        <v>-4.91144261505409e-06</v>
      </c>
      <c r="AR21">
        <v>123.269467425455</v>
      </c>
      <c r="AS21">
        <v>2</v>
      </c>
      <c r="AT21">
        <v>0</v>
      </c>
      <c r="AU21">
        <f>IF(AS21*$H$13&gt;=AW21,1.0,(AW21/(AW21-AS21*$H$13)))</f>
        <v>0</v>
      </c>
      <c r="AV21">
        <f>(AU21-1)*100</f>
        <v>0</v>
      </c>
      <c r="AW21">
        <f>MAX(0,($B$13+$C$13*EF21)/(1+$D$13*EF21)*DY21/(EA21+273)*$E$13)</f>
        <v>0</v>
      </c>
      <c r="AX21" t="s">
        <v>458</v>
      </c>
      <c r="AY21">
        <v>5133.9</v>
      </c>
      <c r="AZ21">
        <v>807.604</v>
      </c>
      <c r="BA21">
        <v>2646.4</v>
      </c>
      <c r="BB21">
        <f>1-AZ21/BA21</f>
        <v>0</v>
      </c>
      <c r="BC21">
        <v>-1.51440686564754</v>
      </c>
      <c r="BD21" t="s">
        <v>438</v>
      </c>
      <c r="BE21" t="s">
        <v>438</v>
      </c>
      <c r="BF21">
        <v>0</v>
      </c>
      <c r="BG21">
        <v>0</v>
      </c>
      <c r="BH21">
        <f>1-BF21/BG21</f>
        <v>0</v>
      </c>
      <c r="BI21">
        <v>0.5</v>
      </c>
      <c r="BJ21">
        <f>DI21</f>
        <v>0</v>
      </c>
      <c r="BK21">
        <f>L21</f>
        <v>0</v>
      </c>
      <c r="BL21">
        <f>BH21*BI21*BJ21</f>
        <v>0</v>
      </c>
      <c r="BM21">
        <f>(BK21-BC21)/BJ21</f>
        <v>0</v>
      </c>
      <c r="BN21">
        <f>(BA21-BG21)/BG21</f>
        <v>0</v>
      </c>
      <c r="BO21">
        <f>AZ21/(BB21+AZ21/BG21)</f>
        <v>0</v>
      </c>
      <c r="BP21" t="s">
        <v>438</v>
      </c>
      <c r="BQ21">
        <v>0</v>
      </c>
      <c r="BR21">
        <f>IF(BQ21&lt;&gt;0, BQ21, BO21)</f>
        <v>0</v>
      </c>
      <c r="BS21">
        <f>1-BR21/BG21</f>
        <v>0</v>
      </c>
      <c r="BT21">
        <f>(BG21-BF21)/(BG21-BR21)</f>
        <v>0</v>
      </c>
      <c r="BU21">
        <f>(BA21-BG21)/(BA21-BR21)</f>
        <v>0</v>
      </c>
      <c r="BV21">
        <f>(BG21-BF21)/(BG21-AZ21)</f>
        <v>0</v>
      </c>
      <c r="BW21">
        <f>(BA21-BG21)/(BA21-AZ21)</f>
        <v>0</v>
      </c>
      <c r="BX21">
        <f>(BT21*BR21/BF21)</f>
        <v>0</v>
      </c>
      <c r="BY21">
        <f>(1-BX21)</f>
        <v>0</v>
      </c>
      <c r="DH21">
        <f>$B$11*EG21+$C$11*EH21+$F$11*ES21*(1-EV21)</f>
        <v>0</v>
      </c>
      <c r="DI21">
        <f>DH21*DJ21</f>
        <v>0</v>
      </c>
      <c r="DJ21">
        <f>($B$11*$D$9+$C$11*$D$9+$F$11*((FF21+EX21)/MAX(FF21+EX21+FG21, 0.1)*$I$9+FG21/MAX(FF21+EX21+FG21, 0.1)*$J$9))/($B$11+$C$11+$F$11)</f>
        <v>0</v>
      </c>
      <c r="DK21">
        <f>($B$11*$K$9+$C$11*$K$9+$F$11*((FF21+EX21)/MAX(FF21+EX21+FG21, 0.1)*$P$9+FG21/MAX(FF21+EX21+FG21, 0.1)*$Q$9))/($B$11+$C$11+$F$11)</f>
        <v>0</v>
      </c>
      <c r="DL21">
        <v>2.7</v>
      </c>
      <c r="DM21">
        <v>0.5</v>
      </c>
      <c r="DN21" t="s">
        <v>439</v>
      </c>
      <c r="DO21">
        <v>2</v>
      </c>
      <c r="DP21" t="b">
        <v>1</v>
      </c>
      <c r="DQ21">
        <v>1760736516</v>
      </c>
      <c r="DR21">
        <v>420.6604</v>
      </c>
      <c r="DS21">
        <v>420.007266666667</v>
      </c>
      <c r="DT21">
        <v>12.3497333333333</v>
      </c>
      <c r="DU21">
        <v>11.9651</v>
      </c>
      <c r="DV21">
        <v>415.809333333333</v>
      </c>
      <c r="DW21">
        <v>12.34028</v>
      </c>
      <c r="DX21">
        <v>500.014466666667</v>
      </c>
      <c r="DY21">
        <v>89.5985333333333</v>
      </c>
      <c r="DZ21">
        <v>0.02489282</v>
      </c>
      <c r="EA21">
        <v>19.0216466666667</v>
      </c>
      <c r="EB21">
        <v>17.9991266666667</v>
      </c>
      <c r="EC21">
        <v>999.9</v>
      </c>
      <c r="ED21">
        <v>0</v>
      </c>
      <c r="EE21">
        <v>0</v>
      </c>
      <c r="EF21">
        <v>10007.0833333333</v>
      </c>
      <c r="EG21">
        <v>0</v>
      </c>
      <c r="EH21">
        <v>0.222567</v>
      </c>
      <c r="EI21">
        <v>0.653088466666667</v>
      </c>
      <c r="EJ21">
        <v>425.920466666667</v>
      </c>
      <c r="EK21">
        <v>425.093533333333</v>
      </c>
      <c r="EL21">
        <v>0.384631066666667</v>
      </c>
      <c r="EM21">
        <v>420.007266666667</v>
      </c>
      <c r="EN21">
        <v>11.9651</v>
      </c>
      <c r="EO21">
        <v>1.10651733333333</v>
      </c>
      <c r="EP21">
        <v>1.07205533333333</v>
      </c>
      <c r="EQ21">
        <v>8.39993266666667</v>
      </c>
      <c r="ER21">
        <v>7.93427666666667</v>
      </c>
      <c r="ES21">
        <v>0.00500016</v>
      </c>
      <c r="ET21">
        <v>0</v>
      </c>
      <c r="EU21">
        <v>0</v>
      </c>
      <c r="EV21">
        <v>0</v>
      </c>
      <c r="EW21">
        <v>807.513333333333</v>
      </c>
      <c r="EX21">
        <v>0.00500016</v>
      </c>
      <c r="EY21">
        <v>-42.8533333333333</v>
      </c>
      <c r="EZ21">
        <v>-3.16666666666667</v>
      </c>
      <c r="FA21">
        <v>33.687</v>
      </c>
      <c r="FB21">
        <v>38.1622</v>
      </c>
      <c r="FC21">
        <v>36.1374</v>
      </c>
      <c r="FD21">
        <v>38.687</v>
      </c>
      <c r="FE21">
        <v>36.5</v>
      </c>
      <c r="FF21">
        <v>0</v>
      </c>
      <c r="FG21">
        <v>0</v>
      </c>
      <c r="FH21">
        <v>0</v>
      </c>
      <c r="FI21">
        <v>74.6000001430511</v>
      </c>
      <c r="FJ21">
        <v>0</v>
      </c>
      <c r="FK21">
        <v>807.604</v>
      </c>
      <c r="FL21">
        <v>-88.2076925039269</v>
      </c>
      <c r="FM21">
        <v>-17.738461631995</v>
      </c>
      <c r="FN21">
        <v>-42.976</v>
      </c>
      <c r="FO21">
        <v>15</v>
      </c>
      <c r="FP21">
        <v>0</v>
      </c>
      <c r="FQ21" t="s">
        <v>440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0.661769380952381</v>
      </c>
      <c r="GD21">
        <v>-0.194724077922078</v>
      </c>
      <c r="GE21">
        <v>0.0689579963031162</v>
      </c>
      <c r="GF21">
        <v>1</v>
      </c>
      <c r="GG21">
        <v>813.185294117647</v>
      </c>
      <c r="GH21">
        <v>-97.012987060271</v>
      </c>
      <c r="GI21">
        <v>10.7019825637985</v>
      </c>
      <c r="GJ21">
        <v>-1</v>
      </c>
      <c r="GK21">
        <v>0.385591333333333</v>
      </c>
      <c r="GL21">
        <v>-0.0172792207792203</v>
      </c>
      <c r="GM21">
        <v>0.00201759650346487</v>
      </c>
      <c r="GN21">
        <v>1</v>
      </c>
      <c r="GO21">
        <v>2</v>
      </c>
      <c r="GP21">
        <v>2</v>
      </c>
      <c r="GQ21" t="s">
        <v>441</v>
      </c>
      <c r="GR21">
        <v>3.1239</v>
      </c>
      <c r="GS21">
        <v>2.6507</v>
      </c>
      <c r="GT21">
        <v>0.0896003</v>
      </c>
      <c r="GU21">
        <v>0.0902346</v>
      </c>
      <c r="GV21">
        <v>0.0631059</v>
      </c>
      <c r="GW21">
        <v>0.061561</v>
      </c>
      <c r="GX21">
        <v>24206.1</v>
      </c>
      <c r="GY21">
        <v>22431.3</v>
      </c>
      <c r="GZ21">
        <v>23753.3</v>
      </c>
      <c r="HA21">
        <v>23981.8</v>
      </c>
      <c r="HB21">
        <v>37855.8</v>
      </c>
      <c r="HC21">
        <v>37200.1</v>
      </c>
      <c r="HD21">
        <v>42728.5</v>
      </c>
      <c r="HE21">
        <v>42695</v>
      </c>
      <c r="HF21">
        <v>1.9718</v>
      </c>
      <c r="HG21">
        <v>1.86598</v>
      </c>
      <c r="HH21">
        <v>0.00406057</v>
      </c>
      <c r="HI21">
        <v>0</v>
      </c>
      <c r="HJ21">
        <v>17.9231</v>
      </c>
      <c r="HK21">
        <v>999.9</v>
      </c>
      <c r="HL21">
        <v>32.017</v>
      </c>
      <c r="HM21">
        <v>29.658</v>
      </c>
      <c r="HN21">
        <v>14.9274</v>
      </c>
      <c r="HO21">
        <v>53.461</v>
      </c>
      <c r="HP21">
        <v>45.7973</v>
      </c>
      <c r="HQ21">
        <v>1</v>
      </c>
      <c r="HR21">
        <v>-0.403392</v>
      </c>
      <c r="HS21">
        <v>1.1537</v>
      </c>
      <c r="HT21">
        <v>20.2347</v>
      </c>
      <c r="HU21">
        <v>5.23556</v>
      </c>
      <c r="HV21">
        <v>11.992</v>
      </c>
      <c r="HW21">
        <v>4.95755</v>
      </c>
      <c r="HX21">
        <v>3.304</v>
      </c>
      <c r="HY21">
        <v>9999</v>
      </c>
      <c r="HZ21">
        <v>9999</v>
      </c>
      <c r="IA21">
        <v>999.9</v>
      </c>
      <c r="IB21">
        <v>9999</v>
      </c>
      <c r="IC21">
        <v>1.86865</v>
      </c>
      <c r="ID21">
        <v>1.86446</v>
      </c>
      <c r="IE21">
        <v>1.87195</v>
      </c>
      <c r="IF21">
        <v>1.86295</v>
      </c>
      <c r="IG21">
        <v>1.86234</v>
      </c>
      <c r="IH21">
        <v>1.86874</v>
      </c>
      <c r="II21">
        <v>1.85896</v>
      </c>
      <c r="IJ21">
        <v>1.86527</v>
      </c>
      <c r="IK21">
        <v>5</v>
      </c>
      <c r="IL21">
        <v>0</v>
      </c>
      <c r="IM21">
        <v>0</v>
      </c>
      <c r="IN21">
        <v>0</v>
      </c>
      <c r="IO21" t="s">
        <v>442</v>
      </c>
      <c r="IP21" t="s">
        <v>443</v>
      </c>
      <c r="IQ21" t="s">
        <v>444</v>
      </c>
      <c r="IR21" t="s">
        <v>444</v>
      </c>
      <c r="IS21" t="s">
        <v>444</v>
      </c>
      <c r="IT21" t="s">
        <v>444</v>
      </c>
      <c r="IU21">
        <v>0</v>
      </c>
      <c r="IV21">
        <v>100</v>
      </c>
      <c r="IW21">
        <v>100</v>
      </c>
      <c r="IX21">
        <v>4.851</v>
      </c>
      <c r="IY21">
        <v>0.0094</v>
      </c>
      <c r="IZ21">
        <v>3.68741672054385</v>
      </c>
      <c r="JA21">
        <v>0.00363161861672774</v>
      </c>
      <c r="JB21">
        <v>-2.24629326344171e-06</v>
      </c>
      <c r="JC21">
        <v>5.83607846756539e-10</v>
      </c>
      <c r="JD21">
        <v>-0.00675825458998367</v>
      </c>
      <c r="JE21">
        <v>-0.0132323152736503</v>
      </c>
      <c r="JF21">
        <v>0.00138354380881741</v>
      </c>
      <c r="JG21">
        <v>-1.65967022527567e-05</v>
      </c>
      <c r="JH21">
        <v>1</v>
      </c>
      <c r="JI21">
        <v>2181</v>
      </c>
      <c r="JJ21">
        <v>1</v>
      </c>
      <c r="JK21">
        <v>23</v>
      </c>
      <c r="JL21">
        <v>29345608.7</v>
      </c>
      <c r="JM21">
        <v>29345608.7</v>
      </c>
      <c r="JN21">
        <v>1.0437</v>
      </c>
      <c r="JO21">
        <v>2.37061</v>
      </c>
      <c r="JP21">
        <v>1.4978</v>
      </c>
      <c r="JQ21">
        <v>2.33032</v>
      </c>
      <c r="JR21">
        <v>1.54419</v>
      </c>
      <c r="JS21">
        <v>2.26562</v>
      </c>
      <c r="JT21">
        <v>35.0594</v>
      </c>
      <c r="JU21">
        <v>24.2976</v>
      </c>
      <c r="JV21">
        <v>18</v>
      </c>
      <c r="JW21">
        <v>537.013</v>
      </c>
      <c r="JX21">
        <v>416.163</v>
      </c>
      <c r="JY21">
        <v>15.4846</v>
      </c>
      <c r="JZ21">
        <v>22.1529</v>
      </c>
      <c r="KA21">
        <v>29.9996</v>
      </c>
      <c r="KB21">
        <v>22.1842</v>
      </c>
      <c r="KC21">
        <v>22.2124</v>
      </c>
      <c r="KD21">
        <v>20.9536</v>
      </c>
      <c r="KE21">
        <v>24.7823</v>
      </c>
      <c r="KF21">
        <v>14.2494</v>
      </c>
      <c r="KG21">
        <v>15.6668</v>
      </c>
      <c r="KH21">
        <v>420</v>
      </c>
      <c r="KI21">
        <v>12.0028</v>
      </c>
      <c r="KJ21">
        <v>95.8416</v>
      </c>
      <c r="KK21">
        <v>99.5635</v>
      </c>
    </row>
    <row r="22" spans="1:297">
      <c r="A22">
        <v>6</v>
      </c>
      <c r="B22">
        <v>1760736634</v>
      </c>
      <c r="C22">
        <v>980</v>
      </c>
      <c r="D22" t="s">
        <v>459</v>
      </c>
      <c r="E22" t="s">
        <v>460</v>
      </c>
      <c r="F22">
        <v>5</v>
      </c>
      <c r="G22" t="s">
        <v>454</v>
      </c>
      <c r="H22" t="s">
        <v>436</v>
      </c>
      <c r="I22">
        <v>1760736626</v>
      </c>
      <c r="J22">
        <f>(K22)/1000</f>
        <v>0</v>
      </c>
      <c r="K22">
        <f>IF(DP22, AN22, AH22)</f>
        <v>0</v>
      </c>
      <c r="L22">
        <f>IF(DP22, AI22, AG22)</f>
        <v>0</v>
      </c>
      <c r="M22">
        <f>DR22 - IF(AU22&gt;1, L22*DL22*100.0/(AW22), 0)</f>
        <v>0</v>
      </c>
      <c r="N22">
        <f>((T22-J22/2)*M22-L22)/(T22+J22/2)</f>
        <v>0</v>
      </c>
      <c r="O22">
        <f>N22*(DY22+DZ22)/1000.0</f>
        <v>0</v>
      </c>
      <c r="P22">
        <f>(DR22 - IF(AU22&gt;1, L22*DL22*100.0/(AW22), 0))*(DY22+DZ22)/1000.0</f>
        <v>0</v>
      </c>
      <c r="Q22">
        <f>2.0/((1/S22-1/R22)+SIGN(S22)*SQRT((1/S22-1/R22)*(1/S22-1/R22) + 4*DM22/((DM22+1)*(DM22+1))*(2*1/S22*1/R22-1/R22*1/R22)))</f>
        <v>0</v>
      </c>
      <c r="R22">
        <f>IF(LEFT(DN22,1)&lt;&gt;"0",IF(LEFT(DN22,1)="1",3.0,DO22),$D$5+$E$5*(EF22*DY22/($K$5*1000))+$F$5*(EF22*DY22/($K$5*1000))*MAX(MIN(DL22,$J$5),$I$5)*MAX(MIN(DL22,$J$5),$I$5)+$G$5*MAX(MIN(DL22,$J$5),$I$5)*(EF22*DY22/($K$5*1000))+$H$5*(EF22*DY22/($K$5*1000))*(EF22*DY22/($K$5*1000)))</f>
        <v>0</v>
      </c>
      <c r="S22">
        <f>J22*(1000-(1000*0.61365*exp(17.502*W22/(240.97+W22))/(DY22+DZ22)+DT22)/2)/(1000*0.61365*exp(17.502*W22/(240.97+W22))/(DY22+DZ22)-DT22)</f>
        <v>0</v>
      </c>
      <c r="T22">
        <f>1/((DM22+1)/(Q22/1.6)+1/(R22/1.37)) + DM22/((DM22+1)/(Q22/1.6) + DM22/(R22/1.37))</f>
        <v>0</v>
      </c>
      <c r="U22">
        <f>(DH22*DK22)</f>
        <v>0</v>
      </c>
      <c r="V22">
        <f>(EA22+(U22+2*0.95*5.67E-8*(((EA22+$B$7)+273)^4-(EA22+273)^4)-44100*J22)/(1.84*29.3*R22+8*0.95*5.67E-8*(EA22+273)^3))</f>
        <v>0</v>
      </c>
      <c r="W22">
        <f>($C$7*EB22+$D$7*EC22+$E$7*V22)</f>
        <v>0</v>
      </c>
      <c r="X22">
        <f>0.61365*exp(17.502*W22/(240.97+W22))</f>
        <v>0</v>
      </c>
      <c r="Y22">
        <f>(Z22/AA22*100)</f>
        <v>0</v>
      </c>
      <c r="Z22">
        <f>DT22*(DY22+DZ22)/1000</f>
        <v>0</v>
      </c>
      <c r="AA22">
        <f>0.61365*exp(17.502*EA22/(240.97+EA22))</f>
        <v>0</v>
      </c>
      <c r="AB22">
        <f>(X22-DT22*(DY22+DZ22)/1000)</f>
        <v>0</v>
      </c>
      <c r="AC22">
        <f>(-J22*44100)</f>
        <v>0</v>
      </c>
      <c r="AD22">
        <f>2*29.3*R22*0.92*(EA22-W22)</f>
        <v>0</v>
      </c>
      <c r="AE22">
        <f>2*0.95*5.67E-8*(((EA22+$B$7)+273)^4-(W22+273)^4)</f>
        <v>0</v>
      </c>
      <c r="AF22">
        <f>U22+AE22+AC22+AD22</f>
        <v>0</v>
      </c>
      <c r="AG22">
        <f>DX22*AU22*(DS22-DR22*(1000-AU22*DU22)/(1000-AU22*DT22))/(100*DL22)</f>
        <v>0</v>
      </c>
      <c r="AH22">
        <f>1000*DX22*AU22*(DT22-DU22)/(100*DL22*(1000-AU22*DT22))</f>
        <v>0</v>
      </c>
      <c r="AI22">
        <f>(AJ22 - AK22 - DY22*1E3/(8.314*(EA22+273.15)) * AM22/DX22 * AL22) * DX22/(100*DL22) * (1000 - DU22)/1000</f>
        <v>0</v>
      </c>
      <c r="AJ22">
        <v>425.12423325982</v>
      </c>
      <c r="AK22">
        <v>425.941103030303</v>
      </c>
      <c r="AL22">
        <v>-0.000918908067990293</v>
      </c>
      <c r="AM22">
        <v>62.9782741434614</v>
      </c>
      <c r="AN22">
        <f>(AP22 - AO22 + DY22*1E3/(8.314*(EA22+273.15)) * AR22/DX22 * AQ22) * DX22/(100*DL22) * 1000/(1000 - AP22)</f>
        <v>0</v>
      </c>
      <c r="AO22">
        <v>11.9673166506024</v>
      </c>
      <c r="AP22">
        <v>12.2860934065934</v>
      </c>
      <c r="AQ22">
        <v>-6.79044185917239e-06</v>
      </c>
      <c r="AR22">
        <v>123.269467425455</v>
      </c>
      <c r="AS22">
        <v>2</v>
      </c>
      <c r="AT22">
        <v>0</v>
      </c>
      <c r="AU22">
        <f>IF(AS22*$H$13&gt;=AW22,1.0,(AW22/(AW22-AS22*$H$13)))</f>
        <v>0</v>
      </c>
      <c r="AV22">
        <f>(AU22-1)*100</f>
        <v>0</v>
      </c>
      <c r="AW22">
        <f>MAX(0,($B$13+$C$13*EF22)/(1+$D$13*EF22)*DY22/(EA22+273)*$E$13)</f>
        <v>0</v>
      </c>
      <c r="AX22" t="s">
        <v>461</v>
      </c>
      <c r="AY22">
        <v>5133.63</v>
      </c>
      <c r="AZ22">
        <v>763.434615384615</v>
      </c>
      <c r="BA22">
        <v>2615.7</v>
      </c>
      <c r="BB22">
        <f>1-AZ22/BA22</f>
        <v>0</v>
      </c>
      <c r="BC22">
        <v>-1.4867766782742</v>
      </c>
      <c r="BD22" t="s">
        <v>438</v>
      </c>
      <c r="BE22" t="s">
        <v>438</v>
      </c>
      <c r="BF22">
        <v>0</v>
      </c>
      <c r="BG22">
        <v>0</v>
      </c>
      <c r="BH22">
        <f>1-BF22/BG22</f>
        <v>0</v>
      </c>
      <c r="BI22">
        <v>0.5</v>
      </c>
      <c r="BJ22">
        <f>DI22</f>
        <v>0</v>
      </c>
      <c r="BK22">
        <f>L22</f>
        <v>0</v>
      </c>
      <c r="BL22">
        <f>BH22*BI22*BJ22</f>
        <v>0</v>
      </c>
      <c r="BM22">
        <f>(BK22-BC22)/BJ22</f>
        <v>0</v>
      </c>
      <c r="BN22">
        <f>(BA22-BG22)/BG22</f>
        <v>0</v>
      </c>
      <c r="BO22">
        <f>AZ22/(BB22+AZ22/BG22)</f>
        <v>0</v>
      </c>
      <c r="BP22" t="s">
        <v>438</v>
      </c>
      <c r="BQ22">
        <v>0</v>
      </c>
      <c r="BR22">
        <f>IF(BQ22&lt;&gt;0, BQ22, BO22)</f>
        <v>0</v>
      </c>
      <c r="BS22">
        <f>1-BR22/BG22</f>
        <v>0</v>
      </c>
      <c r="BT22">
        <f>(BG22-BF22)/(BG22-BR22)</f>
        <v>0</v>
      </c>
      <c r="BU22">
        <f>(BA22-BG22)/(BA22-BR22)</f>
        <v>0</v>
      </c>
      <c r="BV22">
        <f>(BG22-BF22)/(BG22-AZ22)</f>
        <v>0</v>
      </c>
      <c r="BW22">
        <f>(BA22-BG22)/(BA22-AZ22)</f>
        <v>0</v>
      </c>
      <c r="BX22">
        <f>(BT22*BR22/BF22)</f>
        <v>0</v>
      </c>
      <c r="BY22">
        <f>(1-BX22)</f>
        <v>0</v>
      </c>
      <c r="DH22">
        <f>$B$11*EG22+$C$11*EH22+$F$11*ES22*(1-EV22)</f>
        <v>0</v>
      </c>
      <c r="DI22">
        <f>DH22*DJ22</f>
        <v>0</v>
      </c>
      <c r="DJ22">
        <f>($B$11*$D$9+$C$11*$D$9+$F$11*((FF22+EX22)/MAX(FF22+EX22+FG22, 0.1)*$I$9+FG22/MAX(FF22+EX22+FG22, 0.1)*$J$9))/($B$11+$C$11+$F$11)</f>
        <v>0</v>
      </c>
      <c r="DK22">
        <f>($B$11*$K$9+$C$11*$K$9+$F$11*((FF22+EX22)/MAX(FF22+EX22+FG22, 0.1)*$P$9+FG22/MAX(FF22+EX22+FG22, 0.1)*$Q$9))/($B$11+$C$11+$F$11)</f>
        <v>0</v>
      </c>
      <c r="DL22">
        <v>2.7</v>
      </c>
      <c r="DM22">
        <v>0.5</v>
      </c>
      <c r="DN22" t="s">
        <v>439</v>
      </c>
      <c r="DO22">
        <v>2</v>
      </c>
      <c r="DP22" t="b">
        <v>1</v>
      </c>
      <c r="DQ22">
        <v>1760736626</v>
      </c>
      <c r="DR22">
        <v>420.6878</v>
      </c>
      <c r="DS22">
        <v>420.013333333333</v>
      </c>
      <c r="DT22">
        <v>12.29202</v>
      </c>
      <c r="DU22">
        <v>11.9670133333333</v>
      </c>
      <c r="DV22">
        <v>415.836733333333</v>
      </c>
      <c r="DW22">
        <v>12.2833133333333</v>
      </c>
      <c r="DX22">
        <v>499.989866666667</v>
      </c>
      <c r="DY22">
        <v>89.5946733333333</v>
      </c>
      <c r="DZ22">
        <v>0.02488866</v>
      </c>
      <c r="EA22">
        <v>18.9804066666667</v>
      </c>
      <c r="EB22">
        <v>17.9924933333333</v>
      </c>
      <c r="EC22">
        <v>999.9</v>
      </c>
      <c r="ED22">
        <v>0</v>
      </c>
      <c r="EE22">
        <v>0</v>
      </c>
      <c r="EF22">
        <v>10004.99</v>
      </c>
      <c r="EG22">
        <v>0</v>
      </c>
      <c r="EH22">
        <v>0.222567</v>
      </c>
      <c r="EI22">
        <v>0.674570733333333</v>
      </c>
      <c r="EJ22">
        <v>425.9234</v>
      </c>
      <c r="EK22">
        <v>425.100466666667</v>
      </c>
      <c r="EL22">
        <v>0.325013</v>
      </c>
      <c r="EM22">
        <v>420.013333333333</v>
      </c>
      <c r="EN22">
        <v>11.9670133333333</v>
      </c>
      <c r="EO22">
        <v>1.10130066666667</v>
      </c>
      <c r="EP22">
        <v>1.07217933333333</v>
      </c>
      <c r="EQ22">
        <v>8.330256</v>
      </c>
      <c r="ER22">
        <v>7.93598933333333</v>
      </c>
      <c r="ES22">
        <v>0.00500016</v>
      </c>
      <c r="ET22">
        <v>0</v>
      </c>
      <c r="EU22">
        <v>0</v>
      </c>
      <c r="EV22">
        <v>0</v>
      </c>
      <c r="EW22">
        <v>764.333333333333</v>
      </c>
      <c r="EX22">
        <v>0.00500016</v>
      </c>
      <c r="EY22">
        <v>-41.72</v>
      </c>
      <c r="EZ22">
        <v>-3.09333333333333</v>
      </c>
      <c r="FA22">
        <v>33.6954</v>
      </c>
      <c r="FB22">
        <v>38.187</v>
      </c>
      <c r="FC22">
        <v>36.1787333333333</v>
      </c>
      <c r="FD22">
        <v>38.687</v>
      </c>
      <c r="FE22">
        <v>36.5</v>
      </c>
      <c r="FF22">
        <v>0</v>
      </c>
      <c r="FG22">
        <v>0</v>
      </c>
      <c r="FH22">
        <v>0</v>
      </c>
      <c r="FI22">
        <v>108.800000190735</v>
      </c>
      <c r="FJ22">
        <v>0</v>
      </c>
      <c r="FK22">
        <v>763.434615384615</v>
      </c>
      <c r="FL22">
        <v>-54.9846150747087</v>
      </c>
      <c r="FM22">
        <v>3.94188026333749</v>
      </c>
      <c r="FN22">
        <v>-40.9730769230769</v>
      </c>
      <c r="FO22">
        <v>15</v>
      </c>
      <c r="FP22">
        <v>0</v>
      </c>
      <c r="FQ22" t="s">
        <v>440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0.675493523809524</v>
      </c>
      <c r="GD22">
        <v>-0.0355197662337652</v>
      </c>
      <c r="GE22">
        <v>0.0446033375108475</v>
      </c>
      <c r="GF22">
        <v>1</v>
      </c>
      <c r="GG22">
        <v>766.429411764706</v>
      </c>
      <c r="GH22">
        <v>-49.692895194296</v>
      </c>
      <c r="GI22">
        <v>6.50649130221074</v>
      </c>
      <c r="GJ22">
        <v>-1</v>
      </c>
      <c r="GK22">
        <v>0.326658</v>
      </c>
      <c r="GL22">
        <v>-0.0381805714285714</v>
      </c>
      <c r="GM22">
        <v>0.00402724760079328</v>
      </c>
      <c r="GN22">
        <v>1</v>
      </c>
      <c r="GO22">
        <v>2</v>
      </c>
      <c r="GP22">
        <v>2</v>
      </c>
      <c r="GQ22" t="s">
        <v>441</v>
      </c>
      <c r="GR22">
        <v>3.12417</v>
      </c>
      <c r="GS22">
        <v>2.65027</v>
      </c>
      <c r="GT22">
        <v>0.0896072</v>
      </c>
      <c r="GU22">
        <v>0.0902342</v>
      </c>
      <c r="GV22">
        <v>0.0628732</v>
      </c>
      <c r="GW22">
        <v>0.061564</v>
      </c>
      <c r="GX22">
        <v>24205</v>
      </c>
      <c r="GY22">
        <v>22432.6</v>
      </c>
      <c r="GZ22">
        <v>23752.4</v>
      </c>
      <c r="HA22">
        <v>23983.1</v>
      </c>
      <c r="HB22">
        <v>37863.7</v>
      </c>
      <c r="HC22">
        <v>37202</v>
      </c>
      <c r="HD22">
        <v>42726.8</v>
      </c>
      <c r="HE22">
        <v>42697.3</v>
      </c>
      <c r="HF22">
        <v>1.97238</v>
      </c>
      <c r="HG22">
        <v>1.86545</v>
      </c>
      <c r="HH22">
        <v>0.00500679</v>
      </c>
      <c r="HI22">
        <v>0</v>
      </c>
      <c r="HJ22">
        <v>17.901</v>
      </c>
      <c r="HK22">
        <v>999.9</v>
      </c>
      <c r="HL22">
        <v>31.968</v>
      </c>
      <c r="HM22">
        <v>29.709</v>
      </c>
      <c r="HN22">
        <v>14.95</v>
      </c>
      <c r="HO22">
        <v>54.221</v>
      </c>
      <c r="HP22">
        <v>45.6851</v>
      </c>
      <c r="HQ22">
        <v>1</v>
      </c>
      <c r="HR22">
        <v>-0.404164</v>
      </c>
      <c r="HS22">
        <v>1.80059</v>
      </c>
      <c r="HT22">
        <v>20.2294</v>
      </c>
      <c r="HU22">
        <v>5.23766</v>
      </c>
      <c r="HV22">
        <v>11.9915</v>
      </c>
      <c r="HW22">
        <v>4.95765</v>
      </c>
      <c r="HX22">
        <v>3.30398</v>
      </c>
      <c r="HY22">
        <v>9999</v>
      </c>
      <c r="HZ22">
        <v>9999</v>
      </c>
      <c r="IA22">
        <v>999.9</v>
      </c>
      <c r="IB22">
        <v>9999</v>
      </c>
      <c r="IC22">
        <v>1.86867</v>
      </c>
      <c r="ID22">
        <v>1.86441</v>
      </c>
      <c r="IE22">
        <v>1.87195</v>
      </c>
      <c r="IF22">
        <v>1.86295</v>
      </c>
      <c r="IG22">
        <v>1.86234</v>
      </c>
      <c r="IH22">
        <v>1.86874</v>
      </c>
      <c r="II22">
        <v>1.85893</v>
      </c>
      <c r="IJ22">
        <v>1.86527</v>
      </c>
      <c r="IK22">
        <v>5</v>
      </c>
      <c r="IL22">
        <v>0</v>
      </c>
      <c r="IM22">
        <v>0</v>
      </c>
      <c r="IN22">
        <v>0</v>
      </c>
      <c r="IO22" t="s">
        <v>442</v>
      </c>
      <c r="IP22" t="s">
        <v>443</v>
      </c>
      <c r="IQ22" t="s">
        <v>444</v>
      </c>
      <c r="IR22" t="s">
        <v>444</v>
      </c>
      <c r="IS22" t="s">
        <v>444</v>
      </c>
      <c r="IT22" t="s">
        <v>444</v>
      </c>
      <c r="IU22">
        <v>0</v>
      </c>
      <c r="IV22">
        <v>100</v>
      </c>
      <c r="IW22">
        <v>100</v>
      </c>
      <c r="IX22">
        <v>4.851</v>
      </c>
      <c r="IY22">
        <v>0.0086</v>
      </c>
      <c r="IZ22">
        <v>3.68741672054385</v>
      </c>
      <c r="JA22">
        <v>0.00363161861672774</v>
      </c>
      <c r="JB22">
        <v>-2.24629326344171e-06</v>
      </c>
      <c r="JC22">
        <v>5.83607846756539e-10</v>
      </c>
      <c r="JD22">
        <v>-0.00675825458998367</v>
      </c>
      <c r="JE22">
        <v>-0.0132323152736503</v>
      </c>
      <c r="JF22">
        <v>0.00138354380881741</v>
      </c>
      <c r="JG22">
        <v>-1.65967022527567e-05</v>
      </c>
      <c r="JH22">
        <v>1</v>
      </c>
      <c r="JI22">
        <v>2181</v>
      </c>
      <c r="JJ22">
        <v>1</v>
      </c>
      <c r="JK22">
        <v>23</v>
      </c>
      <c r="JL22">
        <v>29345610.6</v>
      </c>
      <c r="JM22">
        <v>29345610.6</v>
      </c>
      <c r="JN22">
        <v>1.0437</v>
      </c>
      <c r="JO22">
        <v>2.35596</v>
      </c>
      <c r="JP22">
        <v>1.4978</v>
      </c>
      <c r="JQ22">
        <v>2.33276</v>
      </c>
      <c r="JR22">
        <v>1.54419</v>
      </c>
      <c r="JS22">
        <v>2.34009</v>
      </c>
      <c r="JT22">
        <v>35.1286</v>
      </c>
      <c r="JU22">
        <v>24.3064</v>
      </c>
      <c r="JV22">
        <v>18</v>
      </c>
      <c r="JW22">
        <v>537.179</v>
      </c>
      <c r="JX22">
        <v>415.707</v>
      </c>
      <c r="JY22">
        <v>15.5721</v>
      </c>
      <c r="JZ22">
        <v>22.1343</v>
      </c>
      <c r="KA22">
        <v>30.0002</v>
      </c>
      <c r="KB22">
        <v>22.1642</v>
      </c>
      <c r="KC22">
        <v>22.192</v>
      </c>
      <c r="KD22">
        <v>20.9517</v>
      </c>
      <c r="KE22">
        <v>24.7823</v>
      </c>
      <c r="KF22">
        <v>14.2494</v>
      </c>
      <c r="KG22">
        <v>15.5779</v>
      </c>
      <c r="KH22">
        <v>420</v>
      </c>
      <c r="KI22">
        <v>12.0116</v>
      </c>
      <c r="KJ22">
        <v>95.8377</v>
      </c>
      <c r="KK22">
        <v>99.5688</v>
      </c>
    </row>
    <row r="23" spans="1:297">
      <c r="A23">
        <v>7</v>
      </c>
      <c r="B23">
        <v>1760737121.1</v>
      </c>
      <c r="C23">
        <v>1467.09999990463</v>
      </c>
      <c r="D23" t="s">
        <v>462</v>
      </c>
      <c r="E23" t="s">
        <v>463</v>
      </c>
      <c r="F23">
        <v>5</v>
      </c>
      <c r="G23" t="s">
        <v>464</v>
      </c>
      <c r="H23" t="s">
        <v>436</v>
      </c>
      <c r="I23">
        <v>1760737112.6</v>
      </c>
      <c r="J23">
        <f>(K23)/1000</f>
        <v>0</v>
      </c>
      <c r="K23">
        <f>IF(DP23, AN23, AH23)</f>
        <v>0</v>
      </c>
      <c r="L23">
        <f>IF(DP23, AI23, AG23)</f>
        <v>0</v>
      </c>
      <c r="M23">
        <f>DR23 - IF(AU23&gt;1, L23*DL23*100.0/(AW23), 0)</f>
        <v>0</v>
      </c>
      <c r="N23">
        <f>((T23-J23/2)*M23-L23)/(T23+J23/2)</f>
        <v>0</v>
      </c>
      <c r="O23">
        <f>N23*(DY23+DZ23)/1000.0</f>
        <v>0</v>
      </c>
      <c r="P23">
        <f>(DR23 - IF(AU23&gt;1, L23*DL23*100.0/(AW23), 0))*(DY23+DZ23)/1000.0</f>
        <v>0</v>
      </c>
      <c r="Q23">
        <f>2.0/((1/S23-1/R23)+SIGN(S23)*SQRT((1/S23-1/R23)*(1/S23-1/R23) + 4*DM23/((DM23+1)*(DM23+1))*(2*1/S23*1/R23-1/R23*1/R23)))</f>
        <v>0</v>
      </c>
      <c r="R23">
        <f>IF(LEFT(DN23,1)&lt;&gt;"0",IF(LEFT(DN23,1)="1",3.0,DO23),$D$5+$E$5*(EF23*DY23/($K$5*1000))+$F$5*(EF23*DY23/($K$5*1000))*MAX(MIN(DL23,$J$5),$I$5)*MAX(MIN(DL23,$J$5),$I$5)+$G$5*MAX(MIN(DL23,$J$5),$I$5)*(EF23*DY23/($K$5*1000))+$H$5*(EF23*DY23/($K$5*1000))*(EF23*DY23/($K$5*1000)))</f>
        <v>0</v>
      </c>
      <c r="S23">
        <f>J23*(1000-(1000*0.61365*exp(17.502*W23/(240.97+W23))/(DY23+DZ23)+DT23)/2)/(1000*0.61365*exp(17.502*W23/(240.97+W23))/(DY23+DZ23)-DT23)</f>
        <v>0</v>
      </c>
      <c r="T23">
        <f>1/((DM23+1)/(Q23/1.6)+1/(R23/1.37)) + DM23/((DM23+1)/(Q23/1.6) + DM23/(R23/1.37))</f>
        <v>0</v>
      </c>
      <c r="U23">
        <f>(DH23*DK23)</f>
        <v>0</v>
      </c>
      <c r="V23">
        <f>(EA23+(U23+2*0.95*5.67E-8*(((EA23+$B$7)+273)^4-(EA23+273)^4)-44100*J23)/(1.84*29.3*R23+8*0.95*5.67E-8*(EA23+273)^3))</f>
        <v>0</v>
      </c>
      <c r="W23">
        <f>($C$7*EB23+$D$7*EC23+$E$7*V23)</f>
        <v>0</v>
      </c>
      <c r="X23">
        <f>0.61365*exp(17.502*W23/(240.97+W23))</f>
        <v>0</v>
      </c>
      <c r="Y23">
        <f>(Z23/AA23*100)</f>
        <v>0</v>
      </c>
      <c r="Z23">
        <f>DT23*(DY23+DZ23)/1000</f>
        <v>0</v>
      </c>
      <c r="AA23">
        <f>0.61365*exp(17.502*EA23/(240.97+EA23))</f>
        <v>0</v>
      </c>
      <c r="AB23">
        <f>(X23-DT23*(DY23+DZ23)/1000)</f>
        <v>0</v>
      </c>
      <c r="AC23">
        <f>(-J23*44100)</f>
        <v>0</v>
      </c>
      <c r="AD23">
        <f>2*29.3*R23*0.92*(EA23-W23)</f>
        <v>0</v>
      </c>
      <c r="AE23">
        <f>2*0.95*5.67E-8*(((EA23+$B$7)+273)^4-(W23+273)^4)</f>
        <v>0</v>
      </c>
      <c r="AF23">
        <f>U23+AE23+AC23+AD23</f>
        <v>0</v>
      </c>
      <c r="AG23">
        <f>DX23*AU23*(DS23-DR23*(1000-AU23*DU23)/(1000-AU23*DT23))/(100*DL23)</f>
        <v>0</v>
      </c>
      <c r="AH23">
        <f>1000*DX23*AU23*(DT23-DU23)/(100*DL23*(1000-AU23*DT23))</f>
        <v>0</v>
      </c>
      <c r="AI23">
        <f>(AJ23 - AK23 - DY23*1E3/(8.314*(EA23+273.15)) * AM23/DX23 * AL23) * DX23/(100*DL23) * (1000 - DU23)/1000</f>
        <v>0</v>
      </c>
      <c r="AJ23">
        <v>424.960075128012</v>
      </c>
      <c r="AK23">
        <v>425.211660606061</v>
      </c>
      <c r="AL23">
        <v>-0.00381227212287541</v>
      </c>
      <c r="AM23">
        <v>62.9782741434614</v>
      </c>
      <c r="AN23">
        <f>(AP23 - AO23 + DY23*1E3/(8.314*(EA23+273.15)) * AR23/DX23 * AQ23) * DX23/(100*DL23) * 1000/(1000 - AP23)</f>
        <v>0</v>
      </c>
      <c r="AO23">
        <v>11.7347047761424</v>
      </c>
      <c r="AP23">
        <v>12.1480428571429</v>
      </c>
      <c r="AQ23">
        <v>-6.66889136194304e-06</v>
      </c>
      <c r="AR23">
        <v>123.269467425455</v>
      </c>
      <c r="AS23">
        <v>2</v>
      </c>
      <c r="AT23">
        <v>0</v>
      </c>
      <c r="AU23">
        <f>IF(AS23*$H$13&gt;=AW23,1.0,(AW23/(AW23-AS23*$H$13)))</f>
        <v>0</v>
      </c>
      <c r="AV23">
        <f>(AU23-1)*100</f>
        <v>0</v>
      </c>
      <c r="AW23">
        <f>MAX(0,($B$13+$C$13*EF23)/(1+$D$13*EF23)*DY23/(EA23+273)*$E$13)</f>
        <v>0</v>
      </c>
      <c r="AX23" t="s">
        <v>465</v>
      </c>
      <c r="AY23">
        <v>5135.94</v>
      </c>
      <c r="AZ23">
        <v>736.307692307692</v>
      </c>
      <c r="BA23">
        <v>2802.63</v>
      </c>
      <c r="BB23">
        <f>1-AZ23/BA23</f>
        <v>0</v>
      </c>
      <c r="BC23">
        <v>-0.428054170555649</v>
      </c>
      <c r="BD23" t="s">
        <v>438</v>
      </c>
      <c r="BE23" t="s">
        <v>438</v>
      </c>
      <c r="BF23">
        <v>0</v>
      </c>
      <c r="BG23">
        <v>0</v>
      </c>
      <c r="BH23">
        <f>1-BF23/BG23</f>
        <v>0</v>
      </c>
      <c r="BI23">
        <v>0.5</v>
      </c>
      <c r="BJ23">
        <f>DI23</f>
        <v>0</v>
      </c>
      <c r="BK23">
        <f>L23</f>
        <v>0</v>
      </c>
      <c r="BL23">
        <f>BH23*BI23*BJ23</f>
        <v>0</v>
      </c>
      <c r="BM23">
        <f>(BK23-BC23)/BJ23</f>
        <v>0</v>
      </c>
      <c r="BN23">
        <f>(BA23-BG23)/BG23</f>
        <v>0</v>
      </c>
      <c r="BO23">
        <f>AZ23/(BB23+AZ23/BG23)</f>
        <v>0</v>
      </c>
      <c r="BP23" t="s">
        <v>438</v>
      </c>
      <c r="BQ23">
        <v>0</v>
      </c>
      <c r="BR23">
        <f>IF(BQ23&lt;&gt;0, BQ23, BO23)</f>
        <v>0</v>
      </c>
      <c r="BS23">
        <f>1-BR23/BG23</f>
        <v>0</v>
      </c>
      <c r="BT23">
        <f>(BG23-BF23)/(BG23-BR23)</f>
        <v>0</v>
      </c>
      <c r="BU23">
        <f>(BA23-BG23)/(BA23-BR23)</f>
        <v>0</v>
      </c>
      <c r="BV23">
        <f>(BG23-BF23)/(BG23-AZ23)</f>
        <v>0</v>
      </c>
      <c r="BW23">
        <f>(BA23-BG23)/(BA23-AZ23)</f>
        <v>0</v>
      </c>
      <c r="BX23">
        <f>(BT23*BR23/BF23)</f>
        <v>0</v>
      </c>
      <c r="BY23">
        <f>(1-BX23)</f>
        <v>0</v>
      </c>
      <c r="DH23">
        <f>$B$11*EG23+$C$11*EH23+$F$11*ES23*(1-EV23)</f>
        <v>0</v>
      </c>
      <c r="DI23">
        <f>DH23*DJ23</f>
        <v>0</v>
      </c>
      <c r="DJ23">
        <f>($B$11*$D$9+$C$11*$D$9+$F$11*((FF23+EX23)/MAX(FF23+EX23+FG23, 0.1)*$I$9+FG23/MAX(FF23+EX23+FG23, 0.1)*$J$9))/($B$11+$C$11+$F$11)</f>
        <v>0</v>
      </c>
      <c r="DK23">
        <f>($B$11*$K$9+$C$11*$K$9+$F$11*((FF23+EX23)/MAX(FF23+EX23+FG23, 0.1)*$P$9+FG23/MAX(FF23+EX23+FG23, 0.1)*$Q$9))/($B$11+$C$11+$F$11)</f>
        <v>0</v>
      </c>
      <c r="DL23">
        <v>2.7</v>
      </c>
      <c r="DM23">
        <v>0.5</v>
      </c>
      <c r="DN23" t="s">
        <v>439</v>
      </c>
      <c r="DO23">
        <v>2</v>
      </c>
      <c r="DP23" t="b">
        <v>1</v>
      </c>
      <c r="DQ23">
        <v>1760737112.6</v>
      </c>
      <c r="DR23">
        <v>420.084125</v>
      </c>
      <c r="DS23">
        <v>420.007375</v>
      </c>
      <c r="DT23">
        <v>12.1515375</v>
      </c>
      <c r="DU23">
        <v>11.73435625</v>
      </c>
      <c r="DV23">
        <v>415.2341875</v>
      </c>
      <c r="DW23">
        <v>12.1446625</v>
      </c>
      <c r="DX23">
        <v>500.0576875</v>
      </c>
      <c r="DY23">
        <v>89.58986875</v>
      </c>
      <c r="DZ23">
        <v>0.024502325</v>
      </c>
      <c r="EA23">
        <v>18.84381875</v>
      </c>
      <c r="EB23">
        <v>18.00353125</v>
      </c>
      <c r="EC23">
        <v>999.9</v>
      </c>
      <c r="ED23">
        <v>0</v>
      </c>
      <c r="EE23">
        <v>0</v>
      </c>
      <c r="EF23">
        <v>10004.6125</v>
      </c>
      <c r="EG23">
        <v>0</v>
      </c>
      <c r="EH23">
        <v>0.222567</v>
      </c>
      <c r="EI23">
        <v>0.076620131875</v>
      </c>
      <c r="EJ23">
        <v>425.2514375</v>
      </c>
      <c r="EK23">
        <v>424.9944375</v>
      </c>
      <c r="EL23">
        <v>0.417189125</v>
      </c>
      <c r="EM23">
        <v>420.007375</v>
      </c>
      <c r="EN23">
        <v>11.73435625</v>
      </c>
      <c r="EO23">
        <v>1.088655625</v>
      </c>
      <c r="EP23">
        <v>1.05128</v>
      </c>
      <c r="EQ23">
        <v>8.160196875</v>
      </c>
      <c r="ER23">
        <v>7.6471325</v>
      </c>
      <c r="ES23">
        <v>0.00500016</v>
      </c>
      <c r="ET23">
        <v>0</v>
      </c>
      <c r="EU23">
        <v>0</v>
      </c>
      <c r="EV23">
        <v>0</v>
      </c>
      <c r="EW23">
        <v>736.18125</v>
      </c>
      <c r="EX23">
        <v>0.00500016</v>
      </c>
      <c r="EY23">
        <v>-41.36875</v>
      </c>
      <c r="EZ23">
        <v>-3.4125</v>
      </c>
      <c r="FA23">
        <v>33.636625</v>
      </c>
      <c r="FB23">
        <v>38.187</v>
      </c>
      <c r="FC23">
        <v>36.136625</v>
      </c>
      <c r="FD23">
        <v>38.6909375</v>
      </c>
      <c r="FE23">
        <v>36.437</v>
      </c>
      <c r="FF23">
        <v>0</v>
      </c>
      <c r="FG23">
        <v>0</v>
      </c>
      <c r="FH23">
        <v>0</v>
      </c>
      <c r="FI23">
        <v>485.800000190735</v>
      </c>
      <c r="FJ23">
        <v>0</v>
      </c>
      <c r="FK23">
        <v>736.307692307692</v>
      </c>
      <c r="FL23">
        <v>-16.7316239273592</v>
      </c>
      <c r="FM23">
        <v>-17.4974359294551</v>
      </c>
      <c r="FN23">
        <v>-41.6538461538462</v>
      </c>
      <c r="FO23">
        <v>15</v>
      </c>
      <c r="FP23">
        <v>0</v>
      </c>
      <c r="FQ23" t="s">
        <v>440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0.0862644761904762</v>
      </c>
      <c r="GD23">
        <v>-0.00707654805194785</v>
      </c>
      <c r="GE23">
        <v>0.0291148309683097</v>
      </c>
      <c r="GF23">
        <v>1</v>
      </c>
      <c r="GG23">
        <v>735.967647058823</v>
      </c>
      <c r="GH23">
        <v>-6.76699766835038</v>
      </c>
      <c r="GI23">
        <v>4.72407604338328</v>
      </c>
      <c r="GJ23">
        <v>-1</v>
      </c>
      <c r="GK23">
        <v>0.419028761904762</v>
      </c>
      <c r="GL23">
        <v>-0.0349120519480518</v>
      </c>
      <c r="GM23">
        <v>0.00364090122156801</v>
      </c>
      <c r="GN23">
        <v>1</v>
      </c>
      <c r="GO23">
        <v>2</v>
      </c>
      <c r="GP23">
        <v>2</v>
      </c>
      <c r="GQ23" t="s">
        <v>441</v>
      </c>
      <c r="GR23">
        <v>3.12382</v>
      </c>
      <c r="GS23">
        <v>2.65018</v>
      </c>
      <c r="GT23">
        <v>0.0895108</v>
      </c>
      <c r="GU23">
        <v>0.0902347</v>
      </c>
      <c r="GV23">
        <v>0.0623425</v>
      </c>
      <c r="GW23">
        <v>0.0606557</v>
      </c>
      <c r="GX23">
        <v>24200</v>
      </c>
      <c r="GY23">
        <v>22435.3</v>
      </c>
      <c r="GZ23">
        <v>23744.9</v>
      </c>
      <c r="HA23">
        <v>23985.9</v>
      </c>
      <c r="HB23">
        <v>37873.2</v>
      </c>
      <c r="HC23">
        <v>37243.3</v>
      </c>
      <c r="HD23">
        <v>42713.1</v>
      </c>
      <c r="HE23">
        <v>42703.3</v>
      </c>
      <c r="HF23">
        <v>1.9722</v>
      </c>
      <c r="HG23">
        <v>1.86493</v>
      </c>
      <c r="HH23">
        <v>0.00968575</v>
      </c>
      <c r="HI23">
        <v>0</v>
      </c>
      <c r="HJ23">
        <v>17.843</v>
      </c>
      <c r="HK23">
        <v>999.9</v>
      </c>
      <c r="HL23">
        <v>31.614</v>
      </c>
      <c r="HM23">
        <v>29.85</v>
      </c>
      <c r="HN23">
        <v>14.9054</v>
      </c>
      <c r="HO23">
        <v>53.3792</v>
      </c>
      <c r="HP23">
        <v>45.633</v>
      </c>
      <c r="HQ23">
        <v>1</v>
      </c>
      <c r="HR23">
        <v>-0.405833</v>
      </c>
      <c r="HS23">
        <v>1.93743</v>
      </c>
      <c r="HT23">
        <v>20.228</v>
      </c>
      <c r="HU23">
        <v>5.23571</v>
      </c>
      <c r="HV23">
        <v>11.9918</v>
      </c>
      <c r="HW23">
        <v>4.9576</v>
      </c>
      <c r="HX23">
        <v>3.304</v>
      </c>
      <c r="HY23">
        <v>9999</v>
      </c>
      <c r="HZ23">
        <v>9999</v>
      </c>
      <c r="IA23">
        <v>999.9</v>
      </c>
      <c r="IB23">
        <v>9999</v>
      </c>
      <c r="IC23">
        <v>1.86871</v>
      </c>
      <c r="ID23">
        <v>1.86443</v>
      </c>
      <c r="IE23">
        <v>1.87195</v>
      </c>
      <c r="IF23">
        <v>1.86295</v>
      </c>
      <c r="IG23">
        <v>1.86233</v>
      </c>
      <c r="IH23">
        <v>1.86874</v>
      </c>
      <c r="II23">
        <v>1.85895</v>
      </c>
      <c r="IJ23">
        <v>1.86528</v>
      </c>
      <c r="IK23">
        <v>5</v>
      </c>
      <c r="IL23">
        <v>0</v>
      </c>
      <c r="IM23">
        <v>0</v>
      </c>
      <c r="IN23">
        <v>0</v>
      </c>
      <c r="IO23" t="s">
        <v>442</v>
      </c>
      <c r="IP23" t="s">
        <v>443</v>
      </c>
      <c r="IQ23" t="s">
        <v>444</v>
      </c>
      <c r="IR23" t="s">
        <v>444</v>
      </c>
      <c r="IS23" t="s">
        <v>444</v>
      </c>
      <c r="IT23" t="s">
        <v>444</v>
      </c>
      <c r="IU23">
        <v>0</v>
      </c>
      <c r="IV23">
        <v>100</v>
      </c>
      <c r="IW23">
        <v>100</v>
      </c>
      <c r="IX23">
        <v>4.849</v>
      </c>
      <c r="IY23">
        <v>0.0068</v>
      </c>
      <c r="IZ23">
        <v>3.68741672054385</v>
      </c>
      <c r="JA23">
        <v>0.00363161861672774</v>
      </c>
      <c r="JB23">
        <v>-2.24629326344171e-06</v>
      </c>
      <c r="JC23">
        <v>5.83607846756539e-10</v>
      </c>
      <c r="JD23">
        <v>-0.00675825458998367</v>
      </c>
      <c r="JE23">
        <v>-0.0132323152736503</v>
      </c>
      <c r="JF23">
        <v>0.00138354380881741</v>
      </c>
      <c r="JG23">
        <v>-1.65967022527567e-05</v>
      </c>
      <c r="JH23">
        <v>1</v>
      </c>
      <c r="JI23">
        <v>2181</v>
      </c>
      <c r="JJ23">
        <v>1</v>
      </c>
      <c r="JK23">
        <v>23</v>
      </c>
      <c r="JL23">
        <v>29345618.7</v>
      </c>
      <c r="JM23">
        <v>29345618.7</v>
      </c>
      <c r="JN23">
        <v>1.0437</v>
      </c>
      <c r="JO23">
        <v>2.37671</v>
      </c>
      <c r="JP23">
        <v>1.4978</v>
      </c>
      <c r="JQ23">
        <v>2.33276</v>
      </c>
      <c r="JR23">
        <v>1.54419</v>
      </c>
      <c r="JS23">
        <v>2.23877</v>
      </c>
      <c r="JT23">
        <v>35.2209</v>
      </c>
      <c r="JU23">
        <v>24.2889</v>
      </c>
      <c r="JV23">
        <v>18</v>
      </c>
      <c r="JW23">
        <v>536.691</v>
      </c>
      <c r="JX23">
        <v>415.087</v>
      </c>
      <c r="JY23">
        <v>15.3461</v>
      </c>
      <c r="JZ23">
        <v>22.1044</v>
      </c>
      <c r="KA23">
        <v>30.0002</v>
      </c>
      <c r="KB23">
        <v>22.1235</v>
      </c>
      <c r="KC23">
        <v>22.1512</v>
      </c>
      <c r="KD23">
        <v>20.9493</v>
      </c>
      <c r="KE23">
        <v>27.0001</v>
      </c>
      <c r="KF23">
        <v>14.2494</v>
      </c>
      <c r="KG23">
        <v>15.3458</v>
      </c>
      <c r="KH23">
        <v>420</v>
      </c>
      <c r="KI23">
        <v>11.7572</v>
      </c>
      <c r="KJ23">
        <v>95.8071</v>
      </c>
      <c r="KK23">
        <v>99.5819</v>
      </c>
    </row>
    <row r="24" spans="1:297">
      <c r="A24">
        <v>8</v>
      </c>
      <c r="B24">
        <v>1760737452.1</v>
      </c>
      <c r="C24">
        <v>1798.09999990463</v>
      </c>
      <c r="D24" t="s">
        <v>466</v>
      </c>
      <c r="E24" t="s">
        <v>467</v>
      </c>
      <c r="F24">
        <v>5</v>
      </c>
      <c r="G24" t="s">
        <v>464</v>
      </c>
      <c r="H24" t="s">
        <v>436</v>
      </c>
      <c r="I24">
        <v>1760737443.6</v>
      </c>
      <c r="J24">
        <f>(K24)/1000</f>
        <v>0</v>
      </c>
      <c r="K24">
        <f>IF(DP24, AN24, AH24)</f>
        <v>0</v>
      </c>
      <c r="L24">
        <f>IF(DP24, AI24, AG24)</f>
        <v>0</v>
      </c>
      <c r="M24">
        <f>DR24 - IF(AU24&gt;1, L24*DL24*100.0/(AW24), 0)</f>
        <v>0</v>
      </c>
      <c r="N24">
        <f>((T24-J24/2)*M24-L24)/(T24+J24/2)</f>
        <v>0</v>
      </c>
      <c r="O24">
        <f>N24*(DY24+DZ24)/1000.0</f>
        <v>0</v>
      </c>
      <c r="P24">
        <f>(DR24 - IF(AU24&gt;1, L24*DL24*100.0/(AW24), 0))*(DY24+DZ24)/1000.0</f>
        <v>0</v>
      </c>
      <c r="Q24">
        <f>2.0/((1/S24-1/R24)+SIGN(S24)*SQRT((1/S24-1/R24)*(1/S24-1/R24) + 4*DM24/((DM24+1)*(DM24+1))*(2*1/S24*1/R24-1/R24*1/R24)))</f>
        <v>0</v>
      </c>
      <c r="R24">
        <f>IF(LEFT(DN24,1)&lt;&gt;"0",IF(LEFT(DN24,1)="1",3.0,DO24),$D$5+$E$5*(EF24*DY24/($K$5*1000))+$F$5*(EF24*DY24/($K$5*1000))*MAX(MIN(DL24,$J$5),$I$5)*MAX(MIN(DL24,$J$5),$I$5)+$G$5*MAX(MIN(DL24,$J$5),$I$5)*(EF24*DY24/($K$5*1000))+$H$5*(EF24*DY24/($K$5*1000))*(EF24*DY24/($K$5*1000)))</f>
        <v>0</v>
      </c>
      <c r="S24">
        <f>J24*(1000-(1000*0.61365*exp(17.502*W24/(240.97+W24))/(DY24+DZ24)+DT24)/2)/(1000*0.61365*exp(17.502*W24/(240.97+W24))/(DY24+DZ24)-DT24)</f>
        <v>0</v>
      </c>
      <c r="T24">
        <f>1/((DM24+1)/(Q24/1.6)+1/(R24/1.37)) + DM24/((DM24+1)/(Q24/1.6) + DM24/(R24/1.37))</f>
        <v>0</v>
      </c>
      <c r="U24">
        <f>(DH24*DK24)</f>
        <v>0</v>
      </c>
      <c r="V24">
        <f>(EA24+(U24+2*0.95*5.67E-8*(((EA24+$B$7)+273)^4-(EA24+273)^4)-44100*J24)/(1.84*29.3*R24+8*0.95*5.67E-8*(EA24+273)^3))</f>
        <v>0</v>
      </c>
      <c r="W24">
        <f>($C$7*EB24+$D$7*EC24+$E$7*V24)</f>
        <v>0</v>
      </c>
      <c r="X24">
        <f>0.61365*exp(17.502*W24/(240.97+W24))</f>
        <v>0</v>
      </c>
      <c r="Y24">
        <f>(Z24/AA24*100)</f>
        <v>0</v>
      </c>
      <c r="Z24">
        <f>DT24*(DY24+DZ24)/1000</f>
        <v>0</v>
      </c>
      <c r="AA24">
        <f>0.61365*exp(17.502*EA24/(240.97+EA24))</f>
        <v>0</v>
      </c>
      <c r="AB24">
        <f>(X24-DT24*(DY24+DZ24)/1000)</f>
        <v>0</v>
      </c>
      <c r="AC24">
        <f>(-J24*44100)</f>
        <v>0</v>
      </c>
      <c r="AD24">
        <f>2*29.3*R24*0.92*(EA24-W24)</f>
        <v>0</v>
      </c>
      <c r="AE24">
        <f>2*0.95*5.67E-8*(((EA24+$B$7)+273)^4-(W24+273)^4)</f>
        <v>0</v>
      </c>
      <c r="AF24">
        <f>U24+AE24+AC24+AD24</f>
        <v>0</v>
      </c>
      <c r="AG24">
        <f>DX24*AU24*(DS24-DR24*(1000-AU24*DU24)/(1000-AU24*DT24))/(100*DL24)</f>
        <v>0</v>
      </c>
      <c r="AH24">
        <f>1000*DX24*AU24*(DT24-DU24)/(100*DL24*(1000-AU24*DT24))</f>
        <v>0</v>
      </c>
      <c r="AI24">
        <f>(AJ24 - AK24 - DY24*1E3/(8.314*(EA24+273.15)) * AM24/DX24 * AL24) * DX24/(100*DL24) * (1000 - DU24)/1000</f>
        <v>0</v>
      </c>
      <c r="AJ24">
        <v>425.089042870621</v>
      </c>
      <c r="AK24">
        <v>425.276690909091</v>
      </c>
      <c r="AL24">
        <v>0.00307918783741552</v>
      </c>
      <c r="AM24">
        <v>62.9782741434614</v>
      </c>
      <c r="AN24">
        <f>(AP24 - AO24 + DY24*1E3/(8.314*(EA24+273.15)) * AR24/DX24 * AQ24) * DX24/(100*DL24) * 1000/(1000 - AP24)</f>
        <v>0</v>
      </c>
      <c r="AO24">
        <v>11.9223463875479</v>
      </c>
      <c r="AP24">
        <v>12.1635582417582</v>
      </c>
      <c r="AQ24">
        <v>-2.89634359337423e-07</v>
      </c>
      <c r="AR24">
        <v>123.269467425455</v>
      </c>
      <c r="AS24">
        <v>2</v>
      </c>
      <c r="AT24">
        <v>0</v>
      </c>
      <c r="AU24">
        <f>IF(AS24*$H$13&gt;=AW24,1.0,(AW24/(AW24-AS24*$H$13)))</f>
        <v>0</v>
      </c>
      <c r="AV24">
        <f>(AU24-1)*100</f>
        <v>0</v>
      </c>
      <c r="AW24">
        <f>MAX(0,($B$13+$C$13*EF24)/(1+$D$13*EF24)*DY24/(EA24+273)*$E$13)</f>
        <v>0</v>
      </c>
      <c r="AX24" t="s">
        <v>468</v>
      </c>
      <c r="AY24">
        <v>5135.58</v>
      </c>
      <c r="AZ24">
        <v>760.276</v>
      </c>
      <c r="BA24">
        <v>2752.35</v>
      </c>
      <c r="BB24">
        <f>1-AZ24/BA24</f>
        <v>0</v>
      </c>
      <c r="BC24">
        <v>-0.369543310052061</v>
      </c>
      <c r="BD24" t="s">
        <v>438</v>
      </c>
      <c r="BE24" t="s">
        <v>438</v>
      </c>
      <c r="BF24">
        <v>0</v>
      </c>
      <c r="BG24">
        <v>0</v>
      </c>
      <c r="BH24">
        <f>1-BF24/BG24</f>
        <v>0</v>
      </c>
      <c r="BI24">
        <v>0.5</v>
      </c>
      <c r="BJ24">
        <f>DI24</f>
        <v>0</v>
      </c>
      <c r="BK24">
        <f>L24</f>
        <v>0</v>
      </c>
      <c r="BL24">
        <f>BH24*BI24*BJ24</f>
        <v>0</v>
      </c>
      <c r="BM24">
        <f>(BK24-BC24)/BJ24</f>
        <v>0</v>
      </c>
      <c r="BN24">
        <f>(BA24-BG24)/BG24</f>
        <v>0</v>
      </c>
      <c r="BO24">
        <f>AZ24/(BB24+AZ24/BG24)</f>
        <v>0</v>
      </c>
      <c r="BP24" t="s">
        <v>438</v>
      </c>
      <c r="BQ24">
        <v>0</v>
      </c>
      <c r="BR24">
        <f>IF(BQ24&lt;&gt;0, BQ24, BO24)</f>
        <v>0</v>
      </c>
      <c r="BS24">
        <f>1-BR24/BG24</f>
        <v>0</v>
      </c>
      <c r="BT24">
        <f>(BG24-BF24)/(BG24-BR24)</f>
        <v>0</v>
      </c>
      <c r="BU24">
        <f>(BA24-BG24)/(BA24-BR24)</f>
        <v>0</v>
      </c>
      <c r="BV24">
        <f>(BG24-BF24)/(BG24-AZ24)</f>
        <v>0</v>
      </c>
      <c r="BW24">
        <f>(BA24-BG24)/(BA24-AZ24)</f>
        <v>0</v>
      </c>
      <c r="BX24">
        <f>(BT24*BR24/BF24)</f>
        <v>0</v>
      </c>
      <c r="BY24">
        <f>(1-BX24)</f>
        <v>0</v>
      </c>
      <c r="DH24">
        <f>$B$11*EG24+$C$11*EH24+$F$11*ES24*(1-EV24)</f>
        <v>0</v>
      </c>
      <c r="DI24">
        <f>DH24*DJ24</f>
        <v>0</v>
      </c>
      <c r="DJ24">
        <f>($B$11*$D$9+$C$11*$D$9+$F$11*((FF24+EX24)/MAX(FF24+EX24+FG24, 0.1)*$I$9+FG24/MAX(FF24+EX24+FG24, 0.1)*$J$9))/($B$11+$C$11+$F$11)</f>
        <v>0</v>
      </c>
      <c r="DK24">
        <f>($B$11*$K$9+$C$11*$K$9+$F$11*((FF24+EX24)/MAX(FF24+EX24+FG24, 0.1)*$P$9+FG24/MAX(FF24+EX24+FG24, 0.1)*$Q$9))/($B$11+$C$11+$F$11)</f>
        <v>0</v>
      </c>
      <c r="DL24">
        <v>2.7</v>
      </c>
      <c r="DM24">
        <v>0.5</v>
      </c>
      <c r="DN24" t="s">
        <v>439</v>
      </c>
      <c r="DO24">
        <v>2</v>
      </c>
      <c r="DP24" t="b">
        <v>1</v>
      </c>
      <c r="DQ24">
        <v>1760737443.6</v>
      </c>
      <c r="DR24">
        <v>420.060875</v>
      </c>
      <c r="DS24">
        <v>420.0029375</v>
      </c>
      <c r="DT24">
        <v>12.164625</v>
      </c>
      <c r="DU24">
        <v>11.9223875</v>
      </c>
      <c r="DV24">
        <v>415.211125</v>
      </c>
      <c r="DW24">
        <v>12.15760625</v>
      </c>
      <c r="DX24">
        <v>499.9926875</v>
      </c>
      <c r="DY24">
        <v>89.58975</v>
      </c>
      <c r="DZ24">
        <v>0.0248819375</v>
      </c>
      <c r="EA24">
        <v>18.7841875</v>
      </c>
      <c r="EB24">
        <v>18.0043625</v>
      </c>
      <c r="EC24">
        <v>999.9</v>
      </c>
      <c r="ED24">
        <v>0</v>
      </c>
      <c r="EE24">
        <v>0</v>
      </c>
      <c r="EF24">
        <v>10002.37375</v>
      </c>
      <c r="EG24">
        <v>0</v>
      </c>
      <c r="EH24">
        <v>0.222567</v>
      </c>
      <c r="EI24">
        <v>0.0581341244375</v>
      </c>
      <c r="EJ24">
        <v>425.2338125</v>
      </c>
      <c r="EK24">
        <v>425.0706875</v>
      </c>
      <c r="EL24">
        <v>0.24225025</v>
      </c>
      <c r="EM24">
        <v>420.0029375</v>
      </c>
      <c r="EN24">
        <v>11.9223875</v>
      </c>
      <c r="EO24">
        <v>1.089826875</v>
      </c>
      <c r="EP24">
        <v>1.068124375</v>
      </c>
      <c r="EQ24">
        <v>8.176029375</v>
      </c>
      <c r="ER24">
        <v>7.88031875</v>
      </c>
      <c r="ES24">
        <v>0.00500016</v>
      </c>
      <c r="ET24">
        <v>0</v>
      </c>
      <c r="EU24">
        <v>0</v>
      </c>
      <c r="EV24">
        <v>0</v>
      </c>
      <c r="EW24">
        <v>760.71875</v>
      </c>
      <c r="EX24">
        <v>0.00500016</v>
      </c>
      <c r="EY24">
        <v>-42.475</v>
      </c>
      <c r="EZ24">
        <v>-3.0125</v>
      </c>
      <c r="FA24">
        <v>33.687</v>
      </c>
      <c r="FB24">
        <v>38.187</v>
      </c>
      <c r="FC24">
        <v>36.187</v>
      </c>
      <c r="FD24">
        <v>38.7460625</v>
      </c>
      <c r="FE24">
        <v>36.4685</v>
      </c>
      <c r="FF24">
        <v>0</v>
      </c>
      <c r="FG24">
        <v>0</v>
      </c>
      <c r="FH24">
        <v>0</v>
      </c>
      <c r="FI24">
        <v>329.599999904633</v>
      </c>
      <c r="FJ24">
        <v>0</v>
      </c>
      <c r="FK24">
        <v>760.276</v>
      </c>
      <c r="FL24">
        <v>5.70000005715995</v>
      </c>
      <c r="FM24">
        <v>-3.14615361246135</v>
      </c>
      <c r="FN24">
        <v>-43.04</v>
      </c>
      <c r="FO24">
        <v>15</v>
      </c>
      <c r="FP24">
        <v>0</v>
      </c>
      <c r="FQ24" t="s">
        <v>440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0.03764954455</v>
      </c>
      <c r="GD24">
        <v>0.163894181909774</v>
      </c>
      <c r="GE24">
        <v>0.0448323449360293</v>
      </c>
      <c r="GF24">
        <v>1</v>
      </c>
      <c r="GG24">
        <v>759.5</v>
      </c>
      <c r="GH24">
        <v>12.3391903354408</v>
      </c>
      <c r="GI24">
        <v>5.31014567209069</v>
      </c>
      <c r="GJ24">
        <v>-1</v>
      </c>
      <c r="GK24">
        <v>0.24290565</v>
      </c>
      <c r="GL24">
        <v>-0.011725939849624</v>
      </c>
      <c r="GM24">
        <v>0.00138842879813838</v>
      </c>
      <c r="GN24">
        <v>1</v>
      </c>
      <c r="GO24">
        <v>2</v>
      </c>
      <c r="GP24">
        <v>2</v>
      </c>
      <c r="GQ24" t="s">
        <v>441</v>
      </c>
      <c r="GR24">
        <v>3.12407</v>
      </c>
      <c r="GS24">
        <v>2.65022</v>
      </c>
      <c r="GT24">
        <v>0.0895118</v>
      </c>
      <c r="GU24">
        <v>0.0902253</v>
      </c>
      <c r="GV24">
        <v>0.0623976</v>
      </c>
      <c r="GW24">
        <v>0.0613946</v>
      </c>
      <c r="GX24">
        <v>24191.2</v>
      </c>
      <c r="GY24">
        <v>22434.3</v>
      </c>
      <c r="GZ24">
        <v>23736.3</v>
      </c>
      <c r="HA24">
        <v>23984.8</v>
      </c>
      <c r="HB24">
        <v>37857.6</v>
      </c>
      <c r="HC24">
        <v>37213.2</v>
      </c>
      <c r="HD24">
        <v>42698.1</v>
      </c>
      <c r="HE24">
        <v>42702.5</v>
      </c>
      <c r="HF24">
        <v>1.9717</v>
      </c>
      <c r="HG24">
        <v>1.86327</v>
      </c>
      <c r="HH24">
        <v>0.00766665</v>
      </c>
      <c r="HI24">
        <v>0</v>
      </c>
      <c r="HJ24">
        <v>17.8791</v>
      </c>
      <c r="HK24">
        <v>999.9</v>
      </c>
      <c r="HL24">
        <v>31.467</v>
      </c>
      <c r="HM24">
        <v>29.96</v>
      </c>
      <c r="HN24">
        <v>14.9297</v>
      </c>
      <c r="HO24">
        <v>53.7291</v>
      </c>
      <c r="HP24">
        <v>45.4928</v>
      </c>
      <c r="HQ24">
        <v>1</v>
      </c>
      <c r="HR24">
        <v>-0.402251</v>
      </c>
      <c r="HS24">
        <v>2.10061</v>
      </c>
      <c r="HT24">
        <v>20.2262</v>
      </c>
      <c r="HU24">
        <v>5.23511</v>
      </c>
      <c r="HV24">
        <v>11.9918</v>
      </c>
      <c r="HW24">
        <v>4.95755</v>
      </c>
      <c r="HX24">
        <v>3.304</v>
      </c>
      <c r="HY24">
        <v>9999</v>
      </c>
      <c r="HZ24">
        <v>9999</v>
      </c>
      <c r="IA24">
        <v>999.9</v>
      </c>
      <c r="IB24">
        <v>9999</v>
      </c>
      <c r="IC24">
        <v>1.8687</v>
      </c>
      <c r="ID24">
        <v>1.86443</v>
      </c>
      <c r="IE24">
        <v>1.87195</v>
      </c>
      <c r="IF24">
        <v>1.86295</v>
      </c>
      <c r="IG24">
        <v>1.86234</v>
      </c>
      <c r="IH24">
        <v>1.86874</v>
      </c>
      <c r="II24">
        <v>1.85895</v>
      </c>
      <c r="IJ24">
        <v>1.86527</v>
      </c>
      <c r="IK24">
        <v>5</v>
      </c>
      <c r="IL24">
        <v>0</v>
      </c>
      <c r="IM24">
        <v>0</v>
      </c>
      <c r="IN24">
        <v>0</v>
      </c>
      <c r="IO24" t="s">
        <v>442</v>
      </c>
      <c r="IP24" t="s">
        <v>443</v>
      </c>
      <c r="IQ24" t="s">
        <v>444</v>
      </c>
      <c r="IR24" t="s">
        <v>444</v>
      </c>
      <c r="IS24" t="s">
        <v>444</v>
      </c>
      <c r="IT24" t="s">
        <v>444</v>
      </c>
      <c r="IU24">
        <v>0</v>
      </c>
      <c r="IV24">
        <v>100</v>
      </c>
      <c r="IW24">
        <v>100</v>
      </c>
      <c r="IX24">
        <v>4.85</v>
      </c>
      <c r="IY24">
        <v>0.0071</v>
      </c>
      <c r="IZ24">
        <v>3.68741672054385</v>
      </c>
      <c r="JA24">
        <v>0.00363161861672774</v>
      </c>
      <c r="JB24">
        <v>-2.24629326344171e-06</v>
      </c>
      <c r="JC24">
        <v>5.83607846756539e-10</v>
      </c>
      <c r="JD24">
        <v>-0.00675825458998367</v>
      </c>
      <c r="JE24">
        <v>-0.0132323152736503</v>
      </c>
      <c r="JF24">
        <v>0.00138354380881741</v>
      </c>
      <c r="JG24">
        <v>-1.65967022527567e-05</v>
      </c>
      <c r="JH24">
        <v>1</v>
      </c>
      <c r="JI24">
        <v>2181</v>
      </c>
      <c r="JJ24">
        <v>1</v>
      </c>
      <c r="JK24">
        <v>23</v>
      </c>
      <c r="JL24">
        <v>29345624.2</v>
      </c>
      <c r="JM24">
        <v>29345624.2</v>
      </c>
      <c r="JN24">
        <v>1.04492</v>
      </c>
      <c r="JO24">
        <v>2.36694</v>
      </c>
      <c r="JP24">
        <v>1.49902</v>
      </c>
      <c r="JQ24">
        <v>2.33154</v>
      </c>
      <c r="JR24">
        <v>1.54419</v>
      </c>
      <c r="JS24">
        <v>2.29126</v>
      </c>
      <c r="JT24">
        <v>35.3365</v>
      </c>
      <c r="JU24">
        <v>24.2976</v>
      </c>
      <c r="JV24">
        <v>18</v>
      </c>
      <c r="JW24">
        <v>536.607</v>
      </c>
      <c r="JX24">
        <v>414.352</v>
      </c>
      <c r="JY24">
        <v>15.0888</v>
      </c>
      <c r="JZ24">
        <v>22.1417</v>
      </c>
      <c r="KA24">
        <v>30.0001</v>
      </c>
      <c r="KB24">
        <v>22.1475</v>
      </c>
      <c r="KC24">
        <v>22.1734</v>
      </c>
      <c r="KD24">
        <v>20.9487</v>
      </c>
      <c r="KE24">
        <v>25.3189</v>
      </c>
      <c r="KF24">
        <v>14.2494</v>
      </c>
      <c r="KG24">
        <v>15.0903</v>
      </c>
      <c r="KH24">
        <v>420</v>
      </c>
      <c r="KI24">
        <v>11.947</v>
      </c>
      <c r="KJ24">
        <v>95.7732</v>
      </c>
      <c r="KK24">
        <v>99.579</v>
      </c>
    </row>
    <row r="25" spans="1:297">
      <c r="A25">
        <v>9</v>
      </c>
      <c r="B25">
        <v>1760737583.1</v>
      </c>
      <c r="C25">
        <v>1929.09999990463</v>
      </c>
      <c r="D25" t="s">
        <v>469</v>
      </c>
      <c r="E25" t="s">
        <v>470</v>
      </c>
      <c r="F25">
        <v>5</v>
      </c>
      <c r="G25" t="s">
        <v>464</v>
      </c>
      <c r="H25" t="s">
        <v>436</v>
      </c>
      <c r="I25">
        <v>1760737574.6</v>
      </c>
      <c r="J25">
        <f>(K25)/1000</f>
        <v>0</v>
      </c>
      <c r="K25">
        <f>IF(DP25, AN25, AH25)</f>
        <v>0</v>
      </c>
      <c r="L25">
        <f>IF(DP25, AI25, AG25)</f>
        <v>0</v>
      </c>
      <c r="M25">
        <f>DR25 - IF(AU25&gt;1, L25*DL25*100.0/(AW25), 0)</f>
        <v>0</v>
      </c>
      <c r="N25">
        <f>((T25-J25/2)*M25-L25)/(T25+J25/2)</f>
        <v>0</v>
      </c>
      <c r="O25">
        <f>N25*(DY25+DZ25)/1000.0</f>
        <v>0</v>
      </c>
      <c r="P25">
        <f>(DR25 - IF(AU25&gt;1, L25*DL25*100.0/(AW25), 0))*(DY25+DZ25)/1000.0</f>
        <v>0</v>
      </c>
      <c r="Q25">
        <f>2.0/((1/S25-1/R25)+SIGN(S25)*SQRT((1/S25-1/R25)*(1/S25-1/R25) + 4*DM25/((DM25+1)*(DM25+1))*(2*1/S25*1/R25-1/R25*1/R25)))</f>
        <v>0</v>
      </c>
      <c r="R25">
        <f>IF(LEFT(DN25,1)&lt;&gt;"0",IF(LEFT(DN25,1)="1",3.0,DO25),$D$5+$E$5*(EF25*DY25/($K$5*1000))+$F$5*(EF25*DY25/($K$5*1000))*MAX(MIN(DL25,$J$5),$I$5)*MAX(MIN(DL25,$J$5),$I$5)+$G$5*MAX(MIN(DL25,$J$5),$I$5)*(EF25*DY25/($K$5*1000))+$H$5*(EF25*DY25/($K$5*1000))*(EF25*DY25/($K$5*1000)))</f>
        <v>0</v>
      </c>
      <c r="S25">
        <f>J25*(1000-(1000*0.61365*exp(17.502*W25/(240.97+W25))/(DY25+DZ25)+DT25)/2)/(1000*0.61365*exp(17.502*W25/(240.97+W25))/(DY25+DZ25)-DT25)</f>
        <v>0</v>
      </c>
      <c r="T25">
        <f>1/((DM25+1)/(Q25/1.6)+1/(R25/1.37)) + DM25/((DM25+1)/(Q25/1.6) + DM25/(R25/1.37))</f>
        <v>0</v>
      </c>
      <c r="U25">
        <f>(DH25*DK25)</f>
        <v>0</v>
      </c>
      <c r="V25">
        <f>(EA25+(U25+2*0.95*5.67E-8*(((EA25+$B$7)+273)^4-(EA25+273)^4)-44100*J25)/(1.84*29.3*R25+8*0.95*5.67E-8*(EA25+273)^3))</f>
        <v>0</v>
      </c>
      <c r="W25">
        <f>($C$7*EB25+$D$7*EC25+$E$7*V25)</f>
        <v>0</v>
      </c>
      <c r="X25">
        <f>0.61365*exp(17.502*W25/(240.97+W25))</f>
        <v>0</v>
      </c>
      <c r="Y25">
        <f>(Z25/AA25*100)</f>
        <v>0</v>
      </c>
      <c r="Z25">
        <f>DT25*(DY25+DZ25)/1000</f>
        <v>0</v>
      </c>
      <c r="AA25">
        <f>0.61365*exp(17.502*EA25/(240.97+EA25))</f>
        <v>0</v>
      </c>
      <c r="AB25">
        <f>(X25-DT25*(DY25+DZ25)/1000)</f>
        <v>0</v>
      </c>
      <c r="AC25">
        <f>(-J25*44100)</f>
        <v>0</v>
      </c>
      <c r="AD25">
        <f>2*29.3*R25*0.92*(EA25-W25)</f>
        <v>0</v>
      </c>
      <c r="AE25">
        <f>2*0.95*5.67E-8*(((EA25+$B$7)+273)^4-(W25+273)^4)</f>
        <v>0</v>
      </c>
      <c r="AF25">
        <f>U25+AE25+AC25+AD25</f>
        <v>0</v>
      </c>
      <c r="AG25">
        <f>DX25*AU25*(DS25-DR25*(1000-AU25*DU25)/(1000-AU25*DT25))/(100*DL25)</f>
        <v>0</v>
      </c>
      <c r="AH25">
        <f>1000*DX25*AU25*(DT25-DU25)/(100*DL25*(1000-AU25*DT25))</f>
        <v>0</v>
      </c>
      <c r="AI25">
        <f>(AJ25 - AK25 - DY25*1E3/(8.314*(EA25+273.15)) * AM25/DX25 * AL25) * DX25/(100*DL25) * (1000 - DU25)/1000</f>
        <v>0</v>
      </c>
      <c r="AJ25">
        <v>425.092696861566</v>
      </c>
      <c r="AK25">
        <v>425.162660606061</v>
      </c>
      <c r="AL25">
        <v>0.00059237880601135</v>
      </c>
      <c r="AM25">
        <v>62.9782741434614</v>
      </c>
      <c r="AN25">
        <f>(AP25 - AO25 + DY25*1E3/(8.314*(EA25+273.15)) * AR25/DX25 * AQ25) * DX25/(100*DL25) * 1000/(1000 - AP25)</f>
        <v>0</v>
      </c>
      <c r="AO25">
        <v>11.9374050192491</v>
      </c>
      <c r="AP25">
        <v>12.1347747252747</v>
      </c>
      <c r="AQ25">
        <v>-1.03823045483153e-06</v>
      </c>
      <c r="AR25">
        <v>123.269467425455</v>
      </c>
      <c r="AS25">
        <v>2</v>
      </c>
      <c r="AT25">
        <v>0</v>
      </c>
      <c r="AU25">
        <f>IF(AS25*$H$13&gt;=AW25,1.0,(AW25/(AW25-AS25*$H$13)))</f>
        <v>0</v>
      </c>
      <c r="AV25">
        <f>(AU25-1)*100</f>
        <v>0</v>
      </c>
      <c r="AW25">
        <f>MAX(0,($B$13+$C$13*EF25)/(1+$D$13*EF25)*DY25/(EA25+273)*$E$13)</f>
        <v>0</v>
      </c>
      <c r="AX25" t="s">
        <v>471</v>
      </c>
      <c r="AY25">
        <v>5135.35</v>
      </c>
      <c r="AZ25">
        <v>804.434615384615</v>
      </c>
      <c r="BA25">
        <v>2713.25</v>
      </c>
      <c r="BB25">
        <f>1-AZ25/BA25</f>
        <v>0</v>
      </c>
      <c r="BC25">
        <v>-0.133057030740429</v>
      </c>
      <c r="BD25" t="s">
        <v>438</v>
      </c>
      <c r="BE25" t="s">
        <v>438</v>
      </c>
      <c r="BF25">
        <v>0</v>
      </c>
      <c r="BG25">
        <v>0</v>
      </c>
      <c r="BH25">
        <f>1-BF25/BG25</f>
        <v>0</v>
      </c>
      <c r="BI25">
        <v>0.5</v>
      </c>
      <c r="BJ25">
        <f>DI25</f>
        <v>0</v>
      </c>
      <c r="BK25">
        <f>L25</f>
        <v>0</v>
      </c>
      <c r="BL25">
        <f>BH25*BI25*BJ25</f>
        <v>0</v>
      </c>
      <c r="BM25">
        <f>(BK25-BC25)/BJ25</f>
        <v>0</v>
      </c>
      <c r="BN25">
        <f>(BA25-BG25)/BG25</f>
        <v>0</v>
      </c>
      <c r="BO25">
        <f>AZ25/(BB25+AZ25/BG25)</f>
        <v>0</v>
      </c>
      <c r="BP25" t="s">
        <v>438</v>
      </c>
      <c r="BQ25">
        <v>0</v>
      </c>
      <c r="BR25">
        <f>IF(BQ25&lt;&gt;0, BQ25, BO25)</f>
        <v>0</v>
      </c>
      <c r="BS25">
        <f>1-BR25/BG25</f>
        <v>0</v>
      </c>
      <c r="BT25">
        <f>(BG25-BF25)/(BG25-BR25)</f>
        <v>0</v>
      </c>
      <c r="BU25">
        <f>(BA25-BG25)/(BA25-BR25)</f>
        <v>0</v>
      </c>
      <c r="BV25">
        <f>(BG25-BF25)/(BG25-AZ25)</f>
        <v>0</v>
      </c>
      <c r="BW25">
        <f>(BA25-BG25)/(BA25-AZ25)</f>
        <v>0</v>
      </c>
      <c r="BX25">
        <f>(BT25*BR25/BF25)</f>
        <v>0</v>
      </c>
      <c r="BY25">
        <f>(1-BX25)</f>
        <v>0</v>
      </c>
      <c r="DH25">
        <f>$B$11*EG25+$C$11*EH25+$F$11*ES25*(1-EV25)</f>
        <v>0</v>
      </c>
      <c r="DI25">
        <f>DH25*DJ25</f>
        <v>0</v>
      </c>
      <c r="DJ25">
        <f>($B$11*$D$9+$C$11*$D$9+$F$11*((FF25+EX25)/MAX(FF25+EX25+FG25, 0.1)*$I$9+FG25/MAX(FF25+EX25+FG25, 0.1)*$J$9))/($B$11+$C$11+$F$11)</f>
        <v>0</v>
      </c>
      <c r="DK25">
        <f>($B$11*$K$9+$C$11*$K$9+$F$11*((FF25+EX25)/MAX(FF25+EX25+FG25, 0.1)*$P$9+FG25/MAX(FF25+EX25+FG25, 0.1)*$Q$9))/($B$11+$C$11+$F$11)</f>
        <v>0</v>
      </c>
      <c r="DL25">
        <v>2.7</v>
      </c>
      <c r="DM25">
        <v>0.5</v>
      </c>
      <c r="DN25" t="s">
        <v>439</v>
      </c>
      <c r="DO25">
        <v>2</v>
      </c>
      <c r="DP25" t="b">
        <v>1</v>
      </c>
      <c r="DQ25">
        <v>1760737574.6</v>
      </c>
      <c r="DR25">
        <v>419.997125</v>
      </c>
      <c r="DS25">
        <v>419.9955</v>
      </c>
      <c r="DT25">
        <v>12.13685</v>
      </c>
      <c r="DU25">
        <v>11.93695625</v>
      </c>
      <c r="DV25">
        <v>415.1474375</v>
      </c>
      <c r="DW25">
        <v>12.13018125</v>
      </c>
      <c r="DX25">
        <v>500.006375</v>
      </c>
      <c r="DY25">
        <v>89.58406875</v>
      </c>
      <c r="DZ25">
        <v>0.0245403625</v>
      </c>
      <c r="EA25">
        <v>18.757525</v>
      </c>
      <c r="EB25">
        <v>17.987625</v>
      </c>
      <c r="EC25">
        <v>999.9</v>
      </c>
      <c r="ED25">
        <v>0</v>
      </c>
      <c r="EE25">
        <v>0</v>
      </c>
      <c r="EF25">
        <v>9994.6775</v>
      </c>
      <c r="EG25">
        <v>0</v>
      </c>
      <c r="EH25">
        <v>0.222567</v>
      </c>
      <c r="EI25">
        <v>0.001493451875</v>
      </c>
      <c r="EJ25">
        <v>425.15725</v>
      </c>
      <c r="EK25">
        <v>425.0696875</v>
      </c>
      <c r="EL25">
        <v>0.1999190625</v>
      </c>
      <c r="EM25">
        <v>419.9955</v>
      </c>
      <c r="EN25">
        <v>11.93695625</v>
      </c>
      <c r="EO25">
        <v>1.08727</v>
      </c>
      <c r="EP25">
        <v>1.069360625</v>
      </c>
      <c r="EQ25">
        <v>8.141451875</v>
      </c>
      <c r="ER25">
        <v>7.897300625</v>
      </c>
      <c r="ES25">
        <v>0.00500016</v>
      </c>
      <c r="ET25">
        <v>0</v>
      </c>
      <c r="EU25">
        <v>0</v>
      </c>
      <c r="EV25">
        <v>0</v>
      </c>
      <c r="EW25">
        <v>805.375</v>
      </c>
      <c r="EX25">
        <v>0.00500016</v>
      </c>
      <c r="EY25">
        <v>-41.9375</v>
      </c>
      <c r="EZ25">
        <v>-3.1625</v>
      </c>
      <c r="FA25">
        <v>33.742125</v>
      </c>
      <c r="FB25">
        <v>38.1988125</v>
      </c>
      <c r="FC25">
        <v>36.187</v>
      </c>
      <c r="FD25">
        <v>38.761625</v>
      </c>
      <c r="FE25">
        <v>36.5</v>
      </c>
      <c r="FF25">
        <v>0</v>
      </c>
      <c r="FG25">
        <v>0</v>
      </c>
      <c r="FH25">
        <v>0</v>
      </c>
      <c r="FI25">
        <v>129.700000047684</v>
      </c>
      <c r="FJ25">
        <v>0</v>
      </c>
      <c r="FK25">
        <v>804.434615384615</v>
      </c>
      <c r="FL25">
        <v>-28.4888891359717</v>
      </c>
      <c r="FM25">
        <v>-6.51965819548398</v>
      </c>
      <c r="FN25">
        <v>-41.6730769230769</v>
      </c>
      <c r="FO25">
        <v>15</v>
      </c>
      <c r="FP25">
        <v>0</v>
      </c>
      <c r="FQ25" t="s">
        <v>440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-0.00326102380952381</v>
      </c>
      <c r="GD25">
        <v>0.0329923044155844</v>
      </c>
      <c r="GE25">
        <v>0.0269075743571939</v>
      </c>
      <c r="GF25">
        <v>1</v>
      </c>
      <c r="GG25">
        <v>806.808823529412</v>
      </c>
      <c r="GH25">
        <v>-31.1275784710968</v>
      </c>
      <c r="GI25">
        <v>5.38529411764706</v>
      </c>
      <c r="GJ25">
        <v>-1</v>
      </c>
      <c r="GK25">
        <v>0.200569333333333</v>
      </c>
      <c r="GL25">
        <v>-0.0133825714285715</v>
      </c>
      <c r="GM25">
        <v>0.00146375558502723</v>
      </c>
      <c r="GN25">
        <v>1</v>
      </c>
      <c r="GO25">
        <v>2</v>
      </c>
      <c r="GP25">
        <v>2</v>
      </c>
      <c r="GQ25" t="s">
        <v>441</v>
      </c>
      <c r="GR25">
        <v>3.12391</v>
      </c>
      <c r="GS25">
        <v>2.65062</v>
      </c>
      <c r="GT25">
        <v>0.0894852</v>
      </c>
      <c r="GU25">
        <v>0.0902236</v>
      </c>
      <c r="GV25">
        <v>0.0622811</v>
      </c>
      <c r="GW25">
        <v>0.0614425</v>
      </c>
      <c r="GX25">
        <v>24187.6</v>
      </c>
      <c r="GY25">
        <v>22433.4</v>
      </c>
      <c r="GZ25">
        <v>23732.3</v>
      </c>
      <c r="HA25">
        <v>23983.9</v>
      </c>
      <c r="HB25">
        <v>37856.7</v>
      </c>
      <c r="HC25">
        <v>37210.1</v>
      </c>
      <c r="HD25">
        <v>42691.7</v>
      </c>
      <c r="HE25">
        <v>42701.2</v>
      </c>
      <c r="HF25">
        <v>1.97117</v>
      </c>
      <c r="HG25">
        <v>1.86295</v>
      </c>
      <c r="HH25">
        <v>0.00691041</v>
      </c>
      <c r="HI25">
        <v>0</v>
      </c>
      <c r="HJ25">
        <v>17.8743</v>
      </c>
      <c r="HK25">
        <v>999.9</v>
      </c>
      <c r="HL25">
        <v>31.443</v>
      </c>
      <c r="HM25">
        <v>30.001</v>
      </c>
      <c r="HN25">
        <v>14.9552</v>
      </c>
      <c r="HO25">
        <v>54.2191</v>
      </c>
      <c r="HP25">
        <v>45.4728</v>
      </c>
      <c r="HQ25">
        <v>1</v>
      </c>
      <c r="HR25">
        <v>-0.400295</v>
      </c>
      <c r="HS25">
        <v>2.01642</v>
      </c>
      <c r="HT25">
        <v>20.2271</v>
      </c>
      <c r="HU25">
        <v>5.23496</v>
      </c>
      <c r="HV25">
        <v>11.992</v>
      </c>
      <c r="HW25">
        <v>4.9576</v>
      </c>
      <c r="HX25">
        <v>3.304</v>
      </c>
      <c r="HY25">
        <v>9999</v>
      </c>
      <c r="HZ25">
        <v>9999</v>
      </c>
      <c r="IA25">
        <v>999.9</v>
      </c>
      <c r="IB25">
        <v>9999</v>
      </c>
      <c r="IC25">
        <v>1.8687</v>
      </c>
      <c r="ID25">
        <v>1.86446</v>
      </c>
      <c r="IE25">
        <v>1.87195</v>
      </c>
      <c r="IF25">
        <v>1.86295</v>
      </c>
      <c r="IG25">
        <v>1.86234</v>
      </c>
      <c r="IH25">
        <v>1.86874</v>
      </c>
      <c r="II25">
        <v>1.85897</v>
      </c>
      <c r="IJ25">
        <v>1.86525</v>
      </c>
      <c r="IK25">
        <v>5</v>
      </c>
      <c r="IL25">
        <v>0</v>
      </c>
      <c r="IM25">
        <v>0</v>
      </c>
      <c r="IN25">
        <v>0</v>
      </c>
      <c r="IO25" t="s">
        <v>442</v>
      </c>
      <c r="IP25" t="s">
        <v>443</v>
      </c>
      <c r="IQ25" t="s">
        <v>444</v>
      </c>
      <c r="IR25" t="s">
        <v>444</v>
      </c>
      <c r="IS25" t="s">
        <v>444</v>
      </c>
      <c r="IT25" t="s">
        <v>444</v>
      </c>
      <c r="IU25">
        <v>0</v>
      </c>
      <c r="IV25">
        <v>100</v>
      </c>
      <c r="IW25">
        <v>100</v>
      </c>
      <c r="IX25">
        <v>4.85</v>
      </c>
      <c r="IY25">
        <v>0.0066</v>
      </c>
      <c r="IZ25">
        <v>3.68741672054385</v>
      </c>
      <c r="JA25">
        <v>0.00363161861672774</v>
      </c>
      <c r="JB25">
        <v>-2.24629326344171e-06</v>
      </c>
      <c r="JC25">
        <v>5.83607846756539e-10</v>
      </c>
      <c r="JD25">
        <v>-0.00675825458998367</v>
      </c>
      <c r="JE25">
        <v>-0.0132323152736503</v>
      </c>
      <c r="JF25">
        <v>0.00138354380881741</v>
      </c>
      <c r="JG25">
        <v>-1.65967022527567e-05</v>
      </c>
      <c r="JH25">
        <v>1</v>
      </c>
      <c r="JI25">
        <v>2181</v>
      </c>
      <c r="JJ25">
        <v>1</v>
      </c>
      <c r="JK25">
        <v>23</v>
      </c>
      <c r="JL25">
        <v>29345626.4</v>
      </c>
      <c r="JM25">
        <v>29345626.4</v>
      </c>
      <c r="JN25">
        <v>1.0437</v>
      </c>
      <c r="JO25">
        <v>2.34741</v>
      </c>
      <c r="JP25">
        <v>1.4978</v>
      </c>
      <c r="JQ25">
        <v>2.33154</v>
      </c>
      <c r="JR25">
        <v>1.54419</v>
      </c>
      <c r="JS25">
        <v>2.38159</v>
      </c>
      <c r="JT25">
        <v>35.4059</v>
      </c>
      <c r="JU25">
        <v>24.3064</v>
      </c>
      <c r="JV25">
        <v>18</v>
      </c>
      <c r="JW25">
        <v>536.473</v>
      </c>
      <c r="JX25">
        <v>414.333</v>
      </c>
      <c r="JY25">
        <v>15.0867</v>
      </c>
      <c r="JZ25">
        <v>22.1678</v>
      </c>
      <c r="KA25">
        <v>30.0002</v>
      </c>
      <c r="KB25">
        <v>22.1679</v>
      </c>
      <c r="KC25">
        <v>22.1935</v>
      </c>
      <c r="KD25">
        <v>20.9477</v>
      </c>
      <c r="KE25">
        <v>25.3189</v>
      </c>
      <c r="KF25">
        <v>14.2494</v>
      </c>
      <c r="KG25">
        <v>15.0945</v>
      </c>
      <c r="KH25">
        <v>420</v>
      </c>
      <c r="KI25">
        <v>11.9571</v>
      </c>
      <c r="KJ25">
        <v>95.7581</v>
      </c>
      <c r="KK25">
        <v>99.5757</v>
      </c>
    </row>
    <row r="26" spans="1:297">
      <c r="A26">
        <v>10</v>
      </c>
      <c r="B26">
        <v>1760737961.1</v>
      </c>
      <c r="C26">
        <v>2307.09999990463</v>
      </c>
      <c r="D26" t="s">
        <v>472</v>
      </c>
      <c r="E26" t="s">
        <v>473</v>
      </c>
      <c r="F26">
        <v>5</v>
      </c>
      <c r="G26" t="s">
        <v>464</v>
      </c>
      <c r="H26" t="s">
        <v>436</v>
      </c>
      <c r="I26">
        <v>1760737953.1</v>
      </c>
      <c r="J26">
        <f>(K26)/1000</f>
        <v>0</v>
      </c>
      <c r="K26">
        <f>IF(DP26, AN26, AH26)</f>
        <v>0</v>
      </c>
      <c r="L26">
        <f>IF(DP26, AI26, AG26)</f>
        <v>0</v>
      </c>
      <c r="M26">
        <f>DR26 - IF(AU26&gt;1, L26*DL26*100.0/(AW26), 0)</f>
        <v>0</v>
      </c>
      <c r="N26">
        <f>((T26-J26/2)*M26-L26)/(T26+J26/2)</f>
        <v>0</v>
      </c>
      <c r="O26">
        <f>N26*(DY26+DZ26)/1000.0</f>
        <v>0</v>
      </c>
      <c r="P26">
        <f>(DR26 - IF(AU26&gt;1, L26*DL26*100.0/(AW26), 0))*(DY26+DZ26)/1000.0</f>
        <v>0</v>
      </c>
      <c r="Q26">
        <f>2.0/((1/S26-1/R26)+SIGN(S26)*SQRT((1/S26-1/R26)*(1/S26-1/R26) + 4*DM26/((DM26+1)*(DM26+1))*(2*1/S26*1/R26-1/R26*1/R26)))</f>
        <v>0</v>
      </c>
      <c r="R26">
        <f>IF(LEFT(DN26,1)&lt;&gt;"0",IF(LEFT(DN26,1)="1",3.0,DO26),$D$5+$E$5*(EF26*DY26/($K$5*1000))+$F$5*(EF26*DY26/($K$5*1000))*MAX(MIN(DL26,$J$5),$I$5)*MAX(MIN(DL26,$J$5),$I$5)+$G$5*MAX(MIN(DL26,$J$5),$I$5)*(EF26*DY26/($K$5*1000))+$H$5*(EF26*DY26/($K$5*1000))*(EF26*DY26/($K$5*1000)))</f>
        <v>0</v>
      </c>
      <c r="S26">
        <f>J26*(1000-(1000*0.61365*exp(17.502*W26/(240.97+W26))/(DY26+DZ26)+DT26)/2)/(1000*0.61365*exp(17.502*W26/(240.97+W26))/(DY26+DZ26)-DT26)</f>
        <v>0</v>
      </c>
      <c r="T26">
        <f>1/((DM26+1)/(Q26/1.6)+1/(R26/1.37)) + DM26/((DM26+1)/(Q26/1.6) + DM26/(R26/1.37))</f>
        <v>0</v>
      </c>
      <c r="U26">
        <f>(DH26*DK26)</f>
        <v>0</v>
      </c>
      <c r="V26">
        <f>(EA26+(U26+2*0.95*5.67E-8*(((EA26+$B$7)+273)^4-(EA26+273)^4)-44100*J26)/(1.84*29.3*R26+8*0.95*5.67E-8*(EA26+273)^3))</f>
        <v>0</v>
      </c>
      <c r="W26">
        <f>($C$7*EB26+$D$7*EC26+$E$7*V26)</f>
        <v>0</v>
      </c>
      <c r="X26">
        <f>0.61365*exp(17.502*W26/(240.97+W26))</f>
        <v>0</v>
      </c>
      <c r="Y26">
        <f>(Z26/AA26*100)</f>
        <v>0</v>
      </c>
      <c r="Z26">
        <f>DT26*(DY26+DZ26)/1000</f>
        <v>0</v>
      </c>
      <c r="AA26">
        <f>0.61365*exp(17.502*EA26/(240.97+EA26))</f>
        <v>0</v>
      </c>
      <c r="AB26">
        <f>(X26-DT26*(DY26+DZ26)/1000)</f>
        <v>0</v>
      </c>
      <c r="AC26">
        <f>(-J26*44100)</f>
        <v>0</v>
      </c>
      <c r="AD26">
        <f>2*29.3*R26*0.92*(EA26-W26)</f>
        <v>0</v>
      </c>
      <c r="AE26">
        <f>2*0.95*5.67E-8*(((EA26+$B$7)+273)^4-(W26+273)^4)</f>
        <v>0</v>
      </c>
      <c r="AF26">
        <f>U26+AE26+AC26+AD26</f>
        <v>0</v>
      </c>
      <c r="AG26">
        <f>DX26*AU26*(DS26-DR26*(1000-AU26*DU26)/(1000-AU26*DT26))/(100*DL26)</f>
        <v>0</v>
      </c>
      <c r="AH26">
        <f>1000*DX26*AU26*(DT26-DU26)/(100*DL26*(1000-AU26*DT26))</f>
        <v>0</v>
      </c>
      <c r="AI26">
        <f>(AJ26 - AK26 - DY26*1E3/(8.314*(EA26+273.15)) * AM26/DX26 * AL26) * DX26/(100*DL26) * (1000 - DU26)/1000</f>
        <v>0</v>
      </c>
      <c r="AJ26">
        <v>425.070641064071</v>
      </c>
      <c r="AK26">
        <v>425.212345454545</v>
      </c>
      <c r="AL26">
        <v>-0.0038325757882268</v>
      </c>
      <c r="AM26">
        <v>62.9782741434614</v>
      </c>
      <c r="AN26">
        <f>(AP26 - AO26 + DY26*1E3/(8.314*(EA26+273.15)) * AR26/DX26 * AQ26) * DX26/(100*DL26) * 1000/(1000 - AP26)</f>
        <v>0</v>
      </c>
      <c r="AO26">
        <v>12.014048551224</v>
      </c>
      <c r="AP26">
        <v>12.1133252747253</v>
      </c>
      <c r="AQ26">
        <v>5.4061138210235e-07</v>
      </c>
      <c r="AR26">
        <v>123.269467425455</v>
      </c>
      <c r="AS26">
        <v>2</v>
      </c>
      <c r="AT26">
        <v>0</v>
      </c>
      <c r="AU26">
        <f>IF(AS26*$H$13&gt;=AW26,1.0,(AW26/(AW26-AS26*$H$13)))</f>
        <v>0</v>
      </c>
      <c r="AV26">
        <f>(AU26-1)*100</f>
        <v>0</v>
      </c>
      <c r="AW26">
        <f>MAX(0,($B$13+$C$13*EF26)/(1+$D$13*EF26)*DY26/(EA26+273)*$E$13)</f>
        <v>0</v>
      </c>
      <c r="AX26" t="s">
        <v>474</v>
      </c>
      <c r="AY26">
        <v>5135.24</v>
      </c>
      <c r="AZ26">
        <v>750.376923076923</v>
      </c>
      <c r="BA26">
        <v>2702.45</v>
      </c>
      <c r="BB26">
        <f>1-AZ26/BA26</f>
        <v>0</v>
      </c>
      <c r="BC26">
        <v>-0.226656144099195</v>
      </c>
      <c r="BD26" t="s">
        <v>438</v>
      </c>
      <c r="BE26" t="s">
        <v>438</v>
      </c>
      <c r="BF26">
        <v>0</v>
      </c>
      <c r="BG26">
        <v>0</v>
      </c>
      <c r="BH26">
        <f>1-BF26/BG26</f>
        <v>0</v>
      </c>
      <c r="BI26">
        <v>0.5</v>
      </c>
      <c r="BJ26">
        <f>DI26</f>
        <v>0</v>
      </c>
      <c r="BK26">
        <f>L26</f>
        <v>0</v>
      </c>
      <c r="BL26">
        <f>BH26*BI26*BJ26</f>
        <v>0</v>
      </c>
      <c r="BM26">
        <f>(BK26-BC26)/BJ26</f>
        <v>0</v>
      </c>
      <c r="BN26">
        <f>(BA26-BG26)/BG26</f>
        <v>0</v>
      </c>
      <c r="BO26">
        <f>AZ26/(BB26+AZ26/BG26)</f>
        <v>0</v>
      </c>
      <c r="BP26" t="s">
        <v>438</v>
      </c>
      <c r="BQ26">
        <v>0</v>
      </c>
      <c r="BR26">
        <f>IF(BQ26&lt;&gt;0, BQ26, BO26)</f>
        <v>0</v>
      </c>
      <c r="BS26">
        <f>1-BR26/BG26</f>
        <v>0</v>
      </c>
      <c r="BT26">
        <f>(BG26-BF26)/(BG26-BR26)</f>
        <v>0</v>
      </c>
      <c r="BU26">
        <f>(BA26-BG26)/(BA26-BR26)</f>
        <v>0</v>
      </c>
      <c r="BV26">
        <f>(BG26-BF26)/(BG26-AZ26)</f>
        <v>0</v>
      </c>
      <c r="BW26">
        <f>(BA26-BG26)/(BA26-AZ26)</f>
        <v>0</v>
      </c>
      <c r="BX26">
        <f>(BT26*BR26/BF26)</f>
        <v>0</v>
      </c>
      <c r="BY26">
        <f>(1-BX26)</f>
        <v>0</v>
      </c>
      <c r="DH26">
        <f>$B$11*EG26+$C$11*EH26+$F$11*ES26*(1-EV26)</f>
        <v>0</v>
      </c>
      <c r="DI26">
        <f>DH26*DJ26</f>
        <v>0</v>
      </c>
      <c r="DJ26">
        <f>($B$11*$D$9+$C$11*$D$9+$F$11*((FF26+EX26)/MAX(FF26+EX26+FG26, 0.1)*$I$9+FG26/MAX(FF26+EX26+FG26, 0.1)*$J$9))/($B$11+$C$11+$F$11)</f>
        <v>0</v>
      </c>
      <c r="DK26">
        <f>($B$11*$K$9+$C$11*$K$9+$F$11*((FF26+EX26)/MAX(FF26+EX26+FG26, 0.1)*$P$9+FG26/MAX(FF26+EX26+FG26, 0.1)*$Q$9))/($B$11+$C$11+$F$11)</f>
        <v>0</v>
      </c>
      <c r="DL26">
        <v>2.7</v>
      </c>
      <c r="DM26">
        <v>0.5</v>
      </c>
      <c r="DN26" t="s">
        <v>439</v>
      </c>
      <c r="DO26">
        <v>2</v>
      </c>
      <c r="DP26" t="b">
        <v>1</v>
      </c>
      <c r="DQ26">
        <v>1760737953.1</v>
      </c>
      <c r="DR26">
        <v>420.069133333333</v>
      </c>
      <c r="DS26">
        <v>419.983066666667</v>
      </c>
      <c r="DT26">
        <v>12.1117866666667</v>
      </c>
      <c r="DU26">
        <v>12.0137266666667</v>
      </c>
      <c r="DV26">
        <v>415.2192</v>
      </c>
      <c r="DW26">
        <v>12.1054333333333</v>
      </c>
      <c r="DX26">
        <v>499.9904</v>
      </c>
      <c r="DY26">
        <v>89.5817533333333</v>
      </c>
      <c r="DZ26">
        <v>0.02457154</v>
      </c>
      <c r="EA26">
        <v>18.7514466666667</v>
      </c>
      <c r="EB26">
        <v>17.9961866666667</v>
      </c>
      <c r="EC26">
        <v>999.9</v>
      </c>
      <c r="ED26">
        <v>0</v>
      </c>
      <c r="EE26">
        <v>0</v>
      </c>
      <c r="EF26">
        <v>9994.786</v>
      </c>
      <c r="EG26">
        <v>0</v>
      </c>
      <c r="EH26">
        <v>0.222567</v>
      </c>
      <c r="EI26">
        <v>0.0860595526666667</v>
      </c>
      <c r="EJ26">
        <v>425.219333333333</v>
      </c>
      <c r="EK26">
        <v>425.09</v>
      </c>
      <c r="EL26">
        <v>0.0980452866666667</v>
      </c>
      <c r="EM26">
        <v>419.983066666667</v>
      </c>
      <c r="EN26">
        <v>12.0137266666667</v>
      </c>
      <c r="EO26">
        <v>1.084994</v>
      </c>
      <c r="EP26">
        <v>1.07621333333333</v>
      </c>
      <c r="EQ26">
        <v>8.11064066666667</v>
      </c>
      <c r="ER26">
        <v>7.99113133333333</v>
      </c>
      <c r="ES26">
        <v>0.00500016</v>
      </c>
      <c r="ET26">
        <v>0</v>
      </c>
      <c r="EU26">
        <v>0</v>
      </c>
      <c r="EV26">
        <v>0</v>
      </c>
      <c r="EW26">
        <v>751.193333333333</v>
      </c>
      <c r="EX26">
        <v>0.00500016</v>
      </c>
      <c r="EY26">
        <v>-41.2066666666667</v>
      </c>
      <c r="EZ26">
        <v>-3.08</v>
      </c>
      <c r="FA26">
        <v>33.75</v>
      </c>
      <c r="FB26">
        <v>38.25</v>
      </c>
      <c r="FC26">
        <v>36.25</v>
      </c>
      <c r="FD26">
        <v>38.812</v>
      </c>
      <c r="FE26">
        <v>36.5082666666667</v>
      </c>
      <c r="FF26">
        <v>0</v>
      </c>
      <c r="FG26">
        <v>0</v>
      </c>
      <c r="FH26">
        <v>0</v>
      </c>
      <c r="FI26">
        <v>376.599999904633</v>
      </c>
      <c r="FJ26">
        <v>0</v>
      </c>
      <c r="FK26">
        <v>750.376923076923</v>
      </c>
      <c r="FL26">
        <v>3.36410262125523</v>
      </c>
      <c r="FM26">
        <v>4.08888866065458</v>
      </c>
      <c r="FN26">
        <v>-40.8230769230769</v>
      </c>
      <c r="FO26">
        <v>15</v>
      </c>
      <c r="FP26">
        <v>0</v>
      </c>
      <c r="FQ26" t="s">
        <v>440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0.0810272095</v>
      </c>
      <c r="GD26">
        <v>0.159912665413534</v>
      </c>
      <c r="GE26">
        <v>0.0469441342117001</v>
      </c>
      <c r="GF26">
        <v>1</v>
      </c>
      <c r="GG26">
        <v>751.035294117647</v>
      </c>
      <c r="GH26">
        <v>1.43009933471145</v>
      </c>
      <c r="GI26">
        <v>5.17413717461473</v>
      </c>
      <c r="GJ26">
        <v>-1</v>
      </c>
      <c r="GK26">
        <v>0.097519065</v>
      </c>
      <c r="GL26">
        <v>0.0101985789473683</v>
      </c>
      <c r="GM26">
        <v>0.00121608383192731</v>
      </c>
      <c r="GN26">
        <v>1</v>
      </c>
      <c r="GO26">
        <v>2</v>
      </c>
      <c r="GP26">
        <v>2</v>
      </c>
      <c r="GQ26" t="s">
        <v>441</v>
      </c>
      <c r="GR26">
        <v>3.12411</v>
      </c>
      <c r="GS26">
        <v>2.65029</v>
      </c>
      <c r="GT26">
        <v>0.0894703</v>
      </c>
      <c r="GU26">
        <v>0.0902037</v>
      </c>
      <c r="GV26">
        <v>0.0621952</v>
      </c>
      <c r="GW26">
        <v>0.061732</v>
      </c>
      <c r="GX26">
        <v>24177.4</v>
      </c>
      <c r="GY26">
        <v>22431.7</v>
      </c>
      <c r="GZ26">
        <v>23722.1</v>
      </c>
      <c r="HA26">
        <v>23981.9</v>
      </c>
      <c r="HB26">
        <v>37845.1</v>
      </c>
      <c r="HC26">
        <v>37196.7</v>
      </c>
      <c r="HD26">
        <v>42674.8</v>
      </c>
      <c r="HE26">
        <v>42699.1</v>
      </c>
      <c r="HF26">
        <v>1.9704</v>
      </c>
      <c r="HG26">
        <v>1.8607</v>
      </c>
      <c r="HH26">
        <v>0.00674278</v>
      </c>
      <c r="HI26">
        <v>0</v>
      </c>
      <c r="HJ26">
        <v>17.8837</v>
      </c>
      <c r="HK26">
        <v>999.9</v>
      </c>
      <c r="HL26">
        <v>31.266</v>
      </c>
      <c r="HM26">
        <v>30.132</v>
      </c>
      <c r="HN26">
        <v>14.9831</v>
      </c>
      <c r="HO26">
        <v>53.5591</v>
      </c>
      <c r="HP26">
        <v>45.3846</v>
      </c>
      <c r="HQ26">
        <v>1</v>
      </c>
      <c r="HR26">
        <v>-0.394975</v>
      </c>
      <c r="HS26">
        <v>2.12085</v>
      </c>
      <c r="HT26">
        <v>20.226</v>
      </c>
      <c r="HU26">
        <v>5.23541</v>
      </c>
      <c r="HV26">
        <v>11.992</v>
      </c>
      <c r="HW26">
        <v>4.95745</v>
      </c>
      <c r="HX26">
        <v>3.304</v>
      </c>
      <c r="HY26">
        <v>9999</v>
      </c>
      <c r="HZ26">
        <v>9999</v>
      </c>
      <c r="IA26">
        <v>999.9</v>
      </c>
      <c r="IB26">
        <v>9999</v>
      </c>
      <c r="IC26">
        <v>1.86873</v>
      </c>
      <c r="ID26">
        <v>1.86441</v>
      </c>
      <c r="IE26">
        <v>1.87195</v>
      </c>
      <c r="IF26">
        <v>1.86295</v>
      </c>
      <c r="IG26">
        <v>1.86234</v>
      </c>
      <c r="IH26">
        <v>1.86874</v>
      </c>
      <c r="II26">
        <v>1.85896</v>
      </c>
      <c r="IJ26">
        <v>1.86527</v>
      </c>
      <c r="IK26">
        <v>5</v>
      </c>
      <c r="IL26">
        <v>0</v>
      </c>
      <c r="IM26">
        <v>0</v>
      </c>
      <c r="IN26">
        <v>0</v>
      </c>
      <c r="IO26" t="s">
        <v>442</v>
      </c>
      <c r="IP26" t="s">
        <v>443</v>
      </c>
      <c r="IQ26" t="s">
        <v>444</v>
      </c>
      <c r="IR26" t="s">
        <v>444</v>
      </c>
      <c r="IS26" t="s">
        <v>444</v>
      </c>
      <c r="IT26" t="s">
        <v>444</v>
      </c>
      <c r="IU26">
        <v>0</v>
      </c>
      <c r="IV26">
        <v>100</v>
      </c>
      <c r="IW26">
        <v>100</v>
      </c>
      <c r="IX26">
        <v>4.849</v>
      </c>
      <c r="IY26">
        <v>0.0065</v>
      </c>
      <c r="IZ26">
        <v>3.68741672054385</v>
      </c>
      <c r="JA26">
        <v>0.00363161861672774</v>
      </c>
      <c r="JB26">
        <v>-2.24629326344171e-06</v>
      </c>
      <c r="JC26">
        <v>5.83607846756539e-10</v>
      </c>
      <c r="JD26">
        <v>-0.00675825458998367</v>
      </c>
      <c r="JE26">
        <v>-0.0132323152736503</v>
      </c>
      <c r="JF26">
        <v>0.00138354380881741</v>
      </c>
      <c r="JG26">
        <v>-1.65967022527567e-05</v>
      </c>
      <c r="JH26">
        <v>1</v>
      </c>
      <c r="JI26">
        <v>2181</v>
      </c>
      <c r="JJ26">
        <v>1</v>
      </c>
      <c r="JK26">
        <v>23</v>
      </c>
      <c r="JL26">
        <v>29345632.7</v>
      </c>
      <c r="JM26">
        <v>29345632.7</v>
      </c>
      <c r="JN26">
        <v>1.0437</v>
      </c>
      <c r="JO26">
        <v>2.35107</v>
      </c>
      <c r="JP26">
        <v>1.4978</v>
      </c>
      <c r="JQ26">
        <v>2.33154</v>
      </c>
      <c r="JR26">
        <v>1.54419</v>
      </c>
      <c r="JS26">
        <v>2.39258</v>
      </c>
      <c r="JT26">
        <v>35.5218</v>
      </c>
      <c r="JU26">
        <v>24.3064</v>
      </c>
      <c r="JV26">
        <v>18</v>
      </c>
      <c r="JW26">
        <v>536.584</v>
      </c>
      <c r="JX26">
        <v>413.582</v>
      </c>
      <c r="JY26">
        <v>15.0181</v>
      </c>
      <c r="JZ26">
        <v>22.2341</v>
      </c>
      <c r="KA26">
        <v>30.0001</v>
      </c>
      <c r="KB26">
        <v>22.2308</v>
      </c>
      <c r="KC26">
        <v>22.2551</v>
      </c>
      <c r="KD26">
        <v>20.9512</v>
      </c>
      <c r="KE26">
        <v>24.484</v>
      </c>
      <c r="KF26">
        <v>14.2494</v>
      </c>
      <c r="KG26">
        <v>15.0211</v>
      </c>
      <c r="KH26">
        <v>420</v>
      </c>
      <c r="KI26">
        <v>12.04</v>
      </c>
      <c r="KJ26">
        <v>95.7192</v>
      </c>
      <c r="KK26">
        <v>99.5695</v>
      </c>
    </row>
    <row r="27" spans="1:297">
      <c r="A27">
        <v>11</v>
      </c>
      <c r="B27">
        <v>1760738132.1</v>
      </c>
      <c r="C27">
        <v>2478.09999990463</v>
      </c>
      <c r="D27" t="s">
        <v>475</v>
      </c>
      <c r="E27" t="s">
        <v>476</v>
      </c>
      <c r="F27">
        <v>5</v>
      </c>
      <c r="G27" t="s">
        <v>464</v>
      </c>
      <c r="H27" t="s">
        <v>436</v>
      </c>
      <c r="I27">
        <v>1760738124.1</v>
      </c>
      <c r="J27">
        <f>(K27)/1000</f>
        <v>0</v>
      </c>
      <c r="K27">
        <f>IF(DP27, AN27, AH27)</f>
        <v>0</v>
      </c>
      <c r="L27">
        <f>IF(DP27, AI27, AG27)</f>
        <v>0</v>
      </c>
      <c r="M27">
        <f>DR27 - IF(AU27&gt;1, L27*DL27*100.0/(AW27), 0)</f>
        <v>0</v>
      </c>
      <c r="N27">
        <f>((T27-J27/2)*M27-L27)/(T27+J27/2)</f>
        <v>0</v>
      </c>
      <c r="O27">
        <f>N27*(DY27+DZ27)/1000.0</f>
        <v>0</v>
      </c>
      <c r="P27">
        <f>(DR27 - IF(AU27&gt;1, L27*DL27*100.0/(AW27), 0))*(DY27+DZ27)/1000.0</f>
        <v>0</v>
      </c>
      <c r="Q27">
        <f>2.0/((1/S27-1/R27)+SIGN(S27)*SQRT((1/S27-1/R27)*(1/S27-1/R27) + 4*DM27/((DM27+1)*(DM27+1))*(2*1/S27*1/R27-1/R27*1/R27)))</f>
        <v>0</v>
      </c>
      <c r="R27">
        <f>IF(LEFT(DN27,1)&lt;&gt;"0",IF(LEFT(DN27,1)="1",3.0,DO27),$D$5+$E$5*(EF27*DY27/($K$5*1000))+$F$5*(EF27*DY27/($K$5*1000))*MAX(MIN(DL27,$J$5),$I$5)*MAX(MIN(DL27,$J$5),$I$5)+$G$5*MAX(MIN(DL27,$J$5),$I$5)*(EF27*DY27/($K$5*1000))+$H$5*(EF27*DY27/($K$5*1000))*(EF27*DY27/($K$5*1000)))</f>
        <v>0</v>
      </c>
      <c r="S27">
        <f>J27*(1000-(1000*0.61365*exp(17.502*W27/(240.97+W27))/(DY27+DZ27)+DT27)/2)/(1000*0.61365*exp(17.502*W27/(240.97+W27))/(DY27+DZ27)-DT27)</f>
        <v>0</v>
      </c>
      <c r="T27">
        <f>1/((DM27+1)/(Q27/1.6)+1/(R27/1.37)) + DM27/((DM27+1)/(Q27/1.6) + DM27/(R27/1.37))</f>
        <v>0</v>
      </c>
      <c r="U27">
        <f>(DH27*DK27)</f>
        <v>0</v>
      </c>
      <c r="V27">
        <f>(EA27+(U27+2*0.95*5.67E-8*(((EA27+$B$7)+273)^4-(EA27+273)^4)-44100*J27)/(1.84*29.3*R27+8*0.95*5.67E-8*(EA27+273)^3))</f>
        <v>0</v>
      </c>
      <c r="W27">
        <f>($C$7*EB27+$D$7*EC27+$E$7*V27)</f>
        <v>0</v>
      </c>
      <c r="X27">
        <f>0.61365*exp(17.502*W27/(240.97+W27))</f>
        <v>0</v>
      </c>
      <c r="Y27">
        <f>(Z27/AA27*100)</f>
        <v>0</v>
      </c>
      <c r="Z27">
        <f>DT27*(DY27+DZ27)/1000</f>
        <v>0</v>
      </c>
      <c r="AA27">
        <f>0.61365*exp(17.502*EA27/(240.97+EA27))</f>
        <v>0</v>
      </c>
      <c r="AB27">
        <f>(X27-DT27*(DY27+DZ27)/1000)</f>
        <v>0</v>
      </c>
      <c r="AC27">
        <f>(-J27*44100)</f>
        <v>0</v>
      </c>
      <c r="AD27">
        <f>2*29.3*R27*0.92*(EA27-W27)</f>
        <v>0</v>
      </c>
      <c r="AE27">
        <f>2*0.95*5.67E-8*(((EA27+$B$7)+273)^4-(W27+273)^4)</f>
        <v>0</v>
      </c>
      <c r="AF27">
        <f>U27+AE27+AC27+AD27</f>
        <v>0</v>
      </c>
      <c r="AG27">
        <f>DX27*AU27*(DS27-DR27*(1000-AU27*DU27)/(1000-AU27*DT27))/(100*DL27)</f>
        <v>0</v>
      </c>
      <c r="AH27">
        <f>1000*DX27*AU27*(DT27-DU27)/(100*DL27*(1000-AU27*DT27))</f>
        <v>0</v>
      </c>
      <c r="AI27">
        <f>(AJ27 - AK27 - DY27*1E3/(8.314*(EA27+273.15)) * AM27/DX27 * AL27) * DX27/(100*DL27) * (1000 - DU27)/1000</f>
        <v>0</v>
      </c>
      <c r="AJ27">
        <v>425.143625108638</v>
      </c>
      <c r="AK27">
        <v>425.236206060606</v>
      </c>
      <c r="AL27">
        <v>-0.00459038007918626</v>
      </c>
      <c r="AM27">
        <v>62.9782741434614</v>
      </c>
      <c r="AN27">
        <f>(AP27 - AO27 + DY27*1E3/(8.314*(EA27+273.15)) * AR27/DX27 * AQ27) * DX27/(100*DL27) * 1000/(1000 - AP27)</f>
        <v>0</v>
      </c>
      <c r="AO27">
        <v>12.0196562812736</v>
      </c>
      <c r="AP27">
        <v>12.1008296703297</v>
      </c>
      <c r="AQ27">
        <v>-6.4117333321253e-08</v>
      </c>
      <c r="AR27">
        <v>123.269467425455</v>
      </c>
      <c r="AS27">
        <v>2</v>
      </c>
      <c r="AT27">
        <v>0</v>
      </c>
      <c r="AU27">
        <f>IF(AS27*$H$13&gt;=AW27,1.0,(AW27/(AW27-AS27*$H$13)))</f>
        <v>0</v>
      </c>
      <c r="AV27">
        <f>(AU27-1)*100</f>
        <v>0</v>
      </c>
      <c r="AW27">
        <f>MAX(0,($B$13+$C$13*EF27)/(1+$D$13*EF27)*DY27/(EA27+273)*$E$13)</f>
        <v>0</v>
      </c>
      <c r="AX27" t="s">
        <v>477</v>
      </c>
      <c r="AY27">
        <v>5135.08</v>
      </c>
      <c r="AZ27">
        <v>781.165384615385</v>
      </c>
      <c r="BA27">
        <v>2673.79</v>
      </c>
      <c r="BB27">
        <f>1-AZ27/BA27</f>
        <v>0</v>
      </c>
      <c r="BC27">
        <v>-0.130332430739101</v>
      </c>
      <c r="BD27" t="s">
        <v>438</v>
      </c>
      <c r="BE27" t="s">
        <v>438</v>
      </c>
      <c r="BF27">
        <v>0</v>
      </c>
      <c r="BG27">
        <v>0</v>
      </c>
      <c r="BH27">
        <f>1-BF27/BG27</f>
        <v>0</v>
      </c>
      <c r="BI27">
        <v>0.5</v>
      </c>
      <c r="BJ27">
        <f>DI27</f>
        <v>0</v>
      </c>
      <c r="BK27">
        <f>L27</f>
        <v>0</v>
      </c>
      <c r="BL27">
        <f>BH27*BI27*BJ27</f>
        <v>0</v>
      </c>
      <c r="BM27">
        <f>(BK27-BC27)/BJ27</f>
        <v>0</v>
      </c>
      <c r="BN27">
        <f>(BA27-BG27)/BG27</f>
        <v>0</v>
      </c>
      <c r="BO27">
        <f>AZ27/(BB27+AZ27/BG27)</f>
        <v>0</v>
      </c>
      <c r="BP27" t="s">
        <v>438</v>
      </c>
      <c r="BQ27">
        <v>0</v>
      </c>
      <c r="BR27">
        <f>IF(BQ27&lt;&gt;0, BQ27, BO27)</f>
        <v>0</v>
      </c>
      <c r="BS27">
        <f>1-BR27/BG27</f>
        <v>0</v>
      </c>
      <c r="BT27">
        <f>(BG27-BF27)/(BG27-BR27)</f>
        <v>0</v>
      </c>
      <c r="BU27">
        <f>(BA27-BG27)/(BA27-BR27)</f>
        <v>0</v>
      </c>
      <c r="BV27">
        <f>(BG27-BF27)/(BG27-AZ27)</f>
        <v>0</v>
      </c>
      <c r="BW27">
        <f>(BA27-BG27)/(BA27-AZ27)</f>
        <v>0</v>
      </c>
      <c r="BX27">
        <f>(BT27*BR27/BF27)</f>
        <v>0</v>
      </c>
      <c r="BY27">
        <f>(1-BX27)</f>
        <v>0</v>
      </c>
      <c r="DH27">
        <f>$B$11*EG27+$C$11*EH27+$F$11*ES27*(1-EV27)</f>
        <v>0</v>
      </c>
      <c r="DI27">
        <f>DH27*DJ27</f>
        <v>0</v>
      </c>
      <c r="DJ27">
        <f>($B$11*$D$9+$C$11*$D$9+$F$11*((FF27+EX27)/MAX(FF27+EX27+FG27, 0.1)*$I$9+FG27/MAX(FF27+EX27+FG27, 0.1)*$J$9))/($B$11+$C$11+$F$11)</f>
        <v>0</v>
      </c>
      <c r="DK27">
        <f>($B$11*$K$9+$C$11*$K$9+$F$11*((FF27+EX27)/MAX(FF27+EX27+FG27, 0.1)*$P$9+FG27/MAX(FF27+EX27+FG27, 0.1)*$Q$9))/($B$11+$C$11+$F$11)</f>
        <v>0</v>
      </c>
      <c r="DL27">
        <v>2.7</v>
      </c>
      <c r="DM27">
        <v>0.5</v>
      </c>
      <c r="DN27" t="s">
        <v>439</v>
      </c>
      <c r="DO27">
        <v>2</v>
      </c>
      <c r="DP27" t="b">
        <v>1</v>
      </c>
      <c r="DQ27">
        <v>1760738124.1</v>
      </c>
      <c r="DR27">
        <v>420.050333333333</v>
      </c>
      <c r="DS27">
        <v>420.003733333333</v>
      </c>
      <c r="DT27">
        <v>12.1010866666667</v>
      </c>
      <c r="DU27">
        <v>12.0199</v>
      </c>
      <c r="DV27">
        <v>415.200466666667</v>
      </c>
      <c r="DW27">
        <v>12.0948733333333</v>
      </c>
      <c r="DX27">
        <v>499.987733333333</v>
      </c>
      <c r="DY27">
        <v>89.5819533333333</v>
      </c>
      <c r="DZ27">
        <v>0.0250490533333333</v>
      </c>
      <c r="EA27">
        <v>18.7445866666667</v>
      </c>
      <c r="EB27">
        <v>18</v>
      </c>
      <c r="EC27">
        <v>999.9</v>
      </c>
      <c r="ED27">
        <v>0</v>
      </c>
      <c r="EE27">
        <v>0</v>
      </c>
      <c r="EF27">
        <v>9998.924</v>
      </c>
      <c r="EG27">
        <v>0</v>
      </c>
      <c r="EH27">
        <v>0.222567</v>
      </c>
      <c r="EI27">
        <v>0.046600374</v>
      </c>
      <c r="EJ27">
        <v>425.1956</v>
      </c>
      <c r="EK27">
        <v>425.113466666667</v>
      </c>
      <c r="EL27">
        <v>0.0811863133333333</v>
      </c>
      <c r="EM27">
        <v>420.003733333333</v>
      </c>
      <c r="EN27">
        <v>12.0199</v>
      </c>
      <c r="EO27">
        <v>1.08404</v>
      </c>
      <c r="EP27">
        <v>1.076768</v>
      </c>
      <c r="EQ27">
        <v>8.09769133333333</v>
      </c>
      <c r="ER27">
        <v>7.99871466666667</v>
      </c>
      <c r="ES27">
        <v>0.00500016</v>
      </c>
      <c r="ET27">
        <v>0</v>
      </c>
      <c r="EU27">
        <v>0</v>
      </c>
      <c r="EV27">
        <v>0</v>
      </c>
      <c r="EW27">
        <v>782.44</v>
      </c>
      <c r="EX27">
        <v>0.00500016</v>
      </c>
      <c r="EY27">
        <v>-42.5333333333333</v>
      </c>
      <c r="EZ27">
        <v>-2.9</v>
      </c>
      <c r="FA27">
        <v>33.7624</v>
      </c>
      <c r="FB27">
        <v>38.2830666666667</v>
      </c>
      <c r="FC27">
        <v>36.2541333333333</v>
      </c>
      <c r="FD27">
        <v>38.8414</v>
      </c>
      <c r="FE27">
        <v>36.562</v>
      </c>
      <c r="FF27">
        <v>0</v>
      </c>
      <c r="FG27">
        <v>0</v>
      </c>
      <c r="FH27">
        <v>0</v>
      </c>
      <c r="FI27">
        <v>170</v>
      </c>
      <c r="FJ27">
        <v>0</v>
      </c>
      <c r="FK27">
        <v>781.165384615385</v>
      </c>
      <c r="FL27">
        <v>-27.1282052186652</v>
      </c>
      <c r="FM27">
        <v>2.13333329518348</v>
      </c>
      <c r="FN27">
        <v>-42.5461538461538</v>
      </c>
      <c r="FO27">
        <v>15</v>
      </c>
      <c r="FP27">
        <v>0</v>
      </c>
      <c r="FQ27" t="s">
        <v>440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0.0483413195238095</v>
      </c>
      <c r="GD27">
        <v>0.146039982857143</v>
      </c>
      <c r="GE27">
        <v>0.0437613932639741</v>
      </c>
      <c r="GF27">
        <v>1</v>
      </c>
      <c r="GG27">
        <v>783.429411764706</v>
      </c>
      <c r="GH27">
        <v>-35.4377388330218</v>
      </c>
      <c r="GI27">
        <v>5.76186904989144</v>
      </c>
      <c r="GJ27">
        <v>-1</v>
      </c>
      <c r="GK27">
        <v>0.0811955285714286</v>
      </c>
      <c r="GL27">
        <v>0.00394307532467541</v>
      </c>
      <c r="GM27">
        <v>0.00099036578194161</v>
      </c>
      <c r="GN27">
        <v>1</v>
      </c>
      <c r="GO27">
        <v>2</v>
      </c>
      <c r="GP27">
        <v>2</v>
      </c>
      <c r="GQ27" t="s">
        <v>441</v>
      </c>
      <c r="GR27">
        <v>3.12414</v>
      </c>
      <c r="GS27">
        <v>2.65065</v>
      </c>
      <c r="GT27">
        <v>0.0894797</v>
      </c>
      <c r="GU27">
        <v>0.0901958</v>
      </c>
      <c r="GV27">
        <v>0.0621244</v>
      </c>
      <c r="GW27">
        <v>0.0617425</v>
      </c>
      <c r="GX27">
        <v>24173.3</v>
      </c>
      <c r="GY27">
        <v>22431.1</v>
      </c>
      <c r="GZ27">
        <v>23718.5</v>
      </c>
      <c r="HA27">
        <v>23981.1</v>
      </c>
      <c r="HB27">
        <v>37842</v>
      </c>
      <c r="HC27">
        <v>37195.7</v>
      </c>
      <c r="HD27">
        <v>42668</v>
      </c>
      <c r="HE27">
        <v>42698.5</v>
      </c>
      <c r="HF27">
        <v>1.9703</v>
      </c>
      <c r="HG27">
        <v>1.85955</v>
      </c>
      <c r="HH27">
        <v>0.00687316</v>
      </c>
      <c r="HI27">
        <v>0</v>
      </c>
      <c r="HJ27">
        <v>17.8806</v>
      </c>
      <c r="HK27">
        <v>999.9</v>
      </c>
      <c r="HL27">
        <v>31.144</v>
      </c>
      <c r="HM27">
        <v>30.162</v>
      </c>
      <c r="HN27">
        <v>14.949</v>
      </c>
      <c r="HO27">
        <v>54.1591</v>
      </c>
      <c r="HP27">
        <v>45.2444</v>
      </c>
      <c r="HQ27">
        <v>1</v>
      </c>
      <c r="HR27">
        <v>-0.393026</v>
      </c>
      <c r="HS27">
        <v>2.14531</v>
      </c>
      <c r="HT27">
        <v>20.2257</v>
      </c>
      <c r="HU27">
        <v>5.23451</v>
      </c>
      <c r="HV27">
        <v>11.992</v>
      </c>
      <c r="HW27">
        <v>4.95755</v>
      </c>
      <c r="HX27">
        <v>3.30385</v>
      </c>
      <c r="HY27">
        <v>9999</v>
      </c>
      <c r="HZ27">
        <v>9999</v>
      </c>
      <c r="IA27">
        <v>999.9</v>
      </c>
      <c r="IB27">
        <v>9999</v>
      </c>
      <c r="IC27">
        <v>1.86873</v>
      </c>
      <c r="ID27">
        <v>1.86441</v>
      </c>
      <c r="IE27">
        <v>1.87195</v>
      </c>
      <c r="IF27">
        <v>1.86295</v>
      </c>
      <c r="IG27">
        <v>1.86234</v>
      </c>
      <c r="IH27">
        <v>1.86874</v>
      </c>
      <c r="II27">
        <v>1.85895</v>
      </c>
      <c r="IJ27">
        <v>1.8653</v>
      </c>
      <c r="IK27">
        <v>5</v>
      </c>
      <c r="IL27">
        <v>0</v>
      </c>
      <c r="IM27">
        <v>0</v>
      </c>
      <c r="IN27">
        <v>0</v>
      </c>
      <c r="IO27" t="s">
        <v>442</v>
      </c>
      <c r="IP27" t="s">
        <v>443</v>
      </c>
      <c r="IQ27" t="s">
        <v>444</v>
      </c>
      <c r="IR27" t="s">
        <v>444</v>
      </c>
      <c r="IS27" t="s">
        <v>444</v>
      </c>
      <c r="IT27" t="s">
        <v>444</v>
      </c>
      <c r="IU27">
        <v>0</v>
      </c>
      <c r="IV27">
        <v>100</v>
      </c>
      <c r="IW27">
        <v>100</v>
      </c>
      <c r="IX27">
        <v>4.85</v>
      </c>
      <c r="IY27">
        <v>0.0062</v>
      </c>
      <c r="IZ27">
        <v>3.68741672054385</v>
      </c>
      <c r="JA27">
        <v>0.00363161861672774</v>
      </c>
      <c r="JB27">
        <v>-2.24629326344171e-06</v>
      </c>
      <c r="JC27">
        <v>5.83607846756539e-10</v>
      </c>
      <c r="JD27">
        <v>-0.00675825458998367</v>
      </c>
      <c r="JE27">
        <v>-0.0132323152736503</v>
      </c>
      <c r="JF27">
        <v>0.00138354380881741</v>
      </c>
      <c r="JG27">
        <v>-1.65967022527567e-05</v>
      </c>
      <c r="JH27">
        <v>1</v>
      </c>
      <c r="JI27">
        <v>2181</v>
      </c>
      <c r="JJ27">
        <v>1</v>
      </c>
      <c r="JK27">
        <v>23</v>
      </c>
      <c r="JL27">
        <v>29345635.5</v>
      </c>
      <c r="JM27">
        <v>29345635.5</v>
      </c>
      <c r="JN27">
        <v>1.0437</v>
      </c>
      <c r="JO27">
        <v>2.35718</v>
      </c>
      <c r="JP27">
        <v>1.4978</v>
      </c>
      <c r="JQ27">
        <v>2.33154</v>
      </c>
      <c r="JR27">
        <v>1.54419</v>
      </c>
      <c r="JS27">
        <v>2.24487</v>
      </c>
      <c r="JT27">
        <v>35.5451</v>
      </c>
      <c r="JU27">
        <v>24.2976</v>
      </c>
      <c r="JV27">
        <v>18</v>
      </c>
      <c r="JW27">
        <v>536.765</v>
      </c>
      <c r="JX27">
        <v>413.163</v>
      </c>
      <c r="JY27">
        <v>14.9916</v>
      </c>
      <c r="JZ27">
        <v>22.2596</v>
      </c>
      <c r="KA27">
        <v>30.0001</v>
      </c>
      <c r="KB27">
        <v>22.2568</v>
      </c>
      <c r="KC27">
        <v>22.2822</v>
      </c>
      <c r="KD27">
        <v>20.9506</v>
      </c>
      <c r="KE27">
        <v>24.197</v>
      </c>
      <c r="KF27">
        <v>14.2494</v>
      </c>
      <c r="KG27">
        <v>14.9931</v>
      </c>
      <c r="KH27">
        <v>420</v>
      </c>
      <c r="KI27">
        <v>12.0589</v>
      </c>
      <c r="KJ27">
        <v>95.7041</v>
      </c>
      <c r="KK27">
        <v>99.5676</v>
      </c>
    </row>
    <row r="28" spans="1:297">
      <c r="A28">
        <v>12</v>
      </c>
      <c r="B28">
        <v>1760738306.1</v>
      </c>
      <c r="C28">
        <v>2652.09999990463</v>
      </c>
      <c r="D28" t="s">
        <v>478</v>
      </c>
      <c r="E28" t="s">
        <v>479</v>
      </c>
      <c r="F28">
        <v>5</v>
      </c>
      <c r="G28" t="s">
        <v>464</v>
      </c>
      <c r="H28" t="s">
        <v>436</v>
      </c>
      <c r="I28">
        <v>1760738298.1</v>
      </c>
      <c r="J28">
        <f>(K28)/1000</f>
        <v>0</v>
      </c>
      <c r="K28">
        <f>IF(DP28, AN28, AH28)</f>
        <v>0</v>
      </c>
      <c r="L28">
        <f>IF(DP28, AI28, AG28)</f>
        <v>0</v>
      </c>
      <c r="M28">
        <f>DR28 - IF(AU28&gt;1, L28*DL28*100.0/(AW28), 0)</f>
        <v>0</v>
      </c>
      <c r="N28">
        <f>((T28-J28/2)*M28-L28)/(T28+J28/2)</f>
        <v>0</v>
      </c>
      <c r="O28">
        <f>N28*(DY28+DZ28)/1000.0</f>
        <v>0</v>
      </c>
      <c r="P28">
        <f>(DR28 - IF(AU28&gt;1, L28*DL28*100.0/(AW28), 0))*(DY28+DZ28)/1000.0</f>
        <v>0</v>
      </c>
      <c r="Q28">
        <f>2.0/((1/S28-1/R28)+SIGN(S28)*SQRT((1/S28-1/R28)*(1/S28-1/R28) + 4*DM28/((DM28+1)*(DM28+1))*(2*1/S28*1/R28-1/R28*1/R28)))</f>
        <v>0</v>
      </c>
      <c r="R28">
        <f>IF(LEFT(DN28,1)&lt;&gt;"0",IF(LEFT(DN28,1)="1",3.0,DO28),$D$5+$E$5*(EF28*DY28/($K$5*1000))+$F$5*(EF28*DY28/($K$5*1000))*MAX(MIN(DL28,$J$5),$I$5)*MAX(MIN(DL28,$J$5),$I$5)+$G$5*MAX(MIN(DL28,$J$5),$I$5)*(EF28*DY28/($K$5*1000))+$H$5*(EF28*DY28/($K$5*1000))*(EF28*DY28/($K$5*1000)))</f>
        <v>0</v>
      </c>
      <c r="S28">
        <f>J28*(1000-(1000*0.61365*exp(17.502*W28/(240.97+W28))/(DY28+DZ28)+DT28)/2)/(1000*0.61365*exp(17.502*W28/(240.97+W28))/(DY28+DZ28)-DT28)</f>
        <v>0</v>
      </c>
      <c r="T28">
        <f>1/((DM28+1)/(Q28/1.6)+1/(R28/1.37)) + DM28/((DM28+1)/(Q28/1.6) + DM28/(R28/1.37))</f>
        <v>0</v>
      </c>
      <c r="U28">
        <f>(DH28*DK28)</f>
        <v>0</v>
      </c>
      <c r="V28">
        <f>(EA28+(U28+2*0.95*5.67E-8*(((EA28+$B$7)+273)^4-(EA28+273)^4)-44100*J28)/(1.84*29.3*R28+8*0.95*5.67E-8*(EA28+273)^3))</f>
        <v>0</v>
      </c>
      <c r="W28">
        <f>($C$7*EB28+$D$7*EC28+$E$7*V28)</f>
        <v>0</v>
      </c>
      <c r="X28">
        <f>0.61365*exp(17.502*W28/(240.97+W28))</f>
        <v>0</v>
      </c>
      <c r="Y28">
        <f>(Z28/AA28*100)</f>
        <v>0</v>
      </c>
      <c r="Z28">
        <f>DT28*(DY28+DZ28)/1000</f>
        <v>0</v>
      </c>
      <c r="AA28">
        <f>0.61365*exp(17.502*EA28/(240.97+EA28))</f>
        <v>0</v>
      </c>
      <c r="AB28">
        <f>(X28-DT28*(DY28+DZ28)/1000)</f>
        <v>0</v>
      </c>
      <c r="AC28">
        <f>(-J28*44100)</f>
        <v>0</v>
      </c>
      <c r="AD28">
        <f>2*29.3*R28*0.92*(EA28-W28)</f>
        <v>0</v>
      </c>
      <c r="AE28">
        <f>2*0.95*5.67E-8*(((EA28+$B$7)+273)^4-(W28+273)^4)</f>
        <v>0</v>
      </c>
      <c r="AF28">
        <f>U28+AE28+AC28+AD28</f>
        <v>0</v>
      </c>
      <c r="AG28">
        <f>DX28*AU28*(DS28-DR28*(1000-AU28*DU28)/(1000-AU28*DT28))/(100*DL28)</f>
        <v>0</v>
      </c>
      <c r="AH28">
        <f>1000*DX28*AU28*(DT28-DU28)/(100*DL28*(1000-AU28*DT28))</f>
        <v>0</v>
      </c>
      <c r="AI28">
        <f>(AJ28 - AK28 - DY28*1E3/(8.314*(EA28+273.15)) * AM28/DX28 * AL28) * DX28/(100*DL28) * (1000 - DU28)/1000</f>
        <v>0</v>
      </c>
      <c r="AJ28">
        <v>425.117804497162</v>
      </c>
      <c r="AK28">
        <v>425.172024242424</v>
      </c>
      <c r="AL28">
        <v>0.00293260323936508</v>
      </c>
      <c r="AM28">
        <v>62.9782741434614</v>
      </c>
      <c r="AN28">
        <f>(AP28 - AO28 + DY28*1E3/(8.314*(EA28+273.15)) * AR28/DX28 * AQ28) * DX28/(100*DL28) * 1000/(1000 - AP28)</f>
        <v>0</v>
      </c>
      <c r="AO28">
        <v>12.0389241778454</v>
      </c>
      <c r="AP28">
        <v>12.1008362637363</v>
      </c>
      <c r="AQ28">
        <v>8.35550596361219e-07</v>
      </c>
      <c r="AR28">
        <v>123.269467425455</v>
      </c>
      <c r="AS28">
        <v>2</v>
      </c>
      <c r="AT28">
        <v>0</v>
      </c>
      <c r="AU28">
        <f>IF(AS28*$H$13&gt;=AW28,1.0,(AW28/(AW28-AS28*$H$13)))</f>
        <v>0</v>
      </c>
      <c r="AV28">
        <f>(AU28-1)*100</f>
        <v>0</v>
      </c>
      <c r="AW28">
        <f>MAX(0,($B$13+$C$13*EF28)/(1+$D$13*EF28)*DY28/(EA28+273)*$E$13)</f>
        <v>0</v>
      </c>
      <c r="AX28" t="s">
        <v>480</v>
      </c>
      <c r="AY28">
        <v>5135.01</v>
      </c>
      <c r="AZ28">
        <v>777.18</v>
      </c>
      <c r="BA28">
        <v>2663.82</v>
      </c>
      <c r="BB28">
        <f>1-AZ28/BA28</f>
        <v>0</v>
      </c>
      <c r="BC28">
        <v>-0.124145226506944</v>
      </c>
      <c r="BD28" t="s">
        <v>438</v>
      </c>
      <c r="BE28" t="s">
        <v>438</v>
      </c>
      <c r="BF28">
        <v>0</v>
      </c>
      <c r="BG28">
        <v>0</v>
      </c>
      <c r="BH28">
        <f>1-BF28/BG28</f>
        <v>0</v>
      </c>
      <c r="BI28">
        <v>0.5</v>
      </c>
      <c r="BJ28">
        <f>DI28</f>
        <v>0</v>
      </c>
      <c r="BK28">
        <f>L28</f>
        <v>0</v>
      </c>
      <c r="BL28">
        <f>BH28*BI28*BJ28</f>
        <v>0</v>
      </c>
      <c r="BM28">
        <f>(BK28-BC28)/BJ28</f>
        <v>0</v>
      </c>
      <c r="BN28">
        <f>(BA28-BG28)/BG28</f>
        <v>0</v>
      </c>
      <c r="BO28">
        <f>AZ28/(BB28+AZ28/BG28)</f>
        <v>0</v>
      </c>
      <c r="BP28" t="s">
        <v>438</v>
      </c>
      <c r="BQ28">
        <v>0</v>
      </c>
      <c r="BR28">
        <f>IF(BQ28&lt;&gt;0, BQ28, BO28)</f>
        <v>0</v>
      </c>
      <c r="BS28">
        <f>1-BR28/BG28</f>
        <v>0</v>
      </c>
      <c r="BT28">
        <f>(BG28-BF28)/(BG28-BR28)</f>
        <v>0</v>
      </c>
      <c r="BU28">
        <f>(BA28-BG28)/(BA28-BR28)</f>
        <v>0</v>
      </c>
      <c r="BV28">
        <f>(BG28-BF28)/(BG28-AZ28)</f>
        <v>0</v>
      </c>
      <c r="BW28">
        <f>(BA28-BG28)/(BA28-AZ28)</f>
        <v>0</v>
      </c>
      <c r="BX28">
        <f>(BT28*BR28/BF28)</f>
        <v>0</v>
      </c>
      <c r="BY28">
        <f>(1-BX28)</f>
        <v>0</v>
      </c>
      <c r="DH28">
        <f>$B$11*EG28+$C$11*EH28+$F$11*ES28*(1-EV28)</f>
        <v>0</v>
      </c>
      <c r="DI28">
        <f>DH28*DJ28</f>
        <v>0</v>
      </c>
      <c r="DJ28">
        <f>($B$11*$D$9+$C$11*$D$9+$F$11*((FF28+EX28)/MAX(FF28+EX28+FG28, 0.1)*$I$9+FG28/MAX(FF28+EX28+FG28, 0.1)*$J$9))/($B$11+$C$11+$F$11)</f>
        <v>0</v>
      </c>
      <c r="DK28">
        <f>($B$11*$K$9+$C$11*$K$9+$F$11*((FF28+EX28)/MAX(FF28+EX28+FG28, 0.1)*$P$9+FG28/MAX(FF28+EX28+FG28, 0.1)*$Q$9))/($B$11+$C$11+$F$11)</f>
        <v>0</v>
      </c>
      <c r="DL28">
        <v>2.7</v>
      </c>
      <c r="DM28">
        <v>0.5</v>
      </c>
      <c r="DN28" t="s">
        <v>439</v>
      </c>
      <c r="DO28">
        <v>2</v>
      </c>
      <c r="DP28" t="b">
        <v>1</v>
      </c>
      <c r="DQ28">
        <v>1760738298.1</v>
      </c>
      <c r="DR28">
        <v>420.030866666667</v>
      </c>
      <c r="DS28">
        <v>420.0028</v>
      </c>
      <c r="DT28">
        <v>12.0986333333333</v>
      </c>
      <c r="DU28">
        <v>12.0394666666667</v>
      </c>
      <c r="DV28">
        <v>415.181066666667</v>
      </c>
      <c r="DW28">
        <v>12.0924333333333</v>
      </c>
      <c r="DX28">
        <v>500.007533333333</v>
      </c>
      <c r="DY28">
        <v>89.57988</v>
      </c>
      <c r="DZ28">
        <v>0.02504522</v>
      </c>
      <c r="EA28">
        <v>18.7443333333333</v>
      </c>
      <c r="EB28">
        <v>17.9943533333333</v>
      </c>
      <c r="EC28">
        <v>999.9</v>
      </c>
      <c r="ED28">
        <v>0</v>
      </c>
      <c r="EE28">
        <v>0</v>
      </c>
      <c r="EF28">
        <v>9991.456</v>
      </c>
      <c r="EG28">
        <v>0</v>
      </c>
      <c r="EH28">
        <v>0.222567</v>
      </c>
      <c r="EI28">
        <v>0.02813516</v>
      </c>
      <c r="EJ28">
        <v>425.174866666667</v>
      </c>
      <c r="EK28">
        <v>425.121</v>
      </c>
      <c r="EL28">
        <v>0.0591744133333333</v>
      </c>
      <c r="EM28">
        <v>420.0028</v>
      </c>
      <c r="EN28">
        <v>12.0394666666667</v>
      </c>
      <c r="EO28">
        <v>1.08379466666667</v>
      </c>
      <c r="EP28">
        <v>1.078494</v>
      </c>
      <c r="EQ28">
        <v>8.09436466666667</v>
      </c>
      <c r="ER28">
        <v>8.02226933333333</v>
      </c>
      <c r="ES28">
        <v>0.00500016</v>
      </c>
      <c r="ET28">
        <v>0</v>
      </c>
      <c r="EU28">
        <v>0</v>
      </c>
      <c r="EV28">
        <v>0</v>
      </c>
      <c r="EW28">
        <v>777.293333333333</v>
      </c>
      <c r="EX28">
        <v>0.00500016</v>
      </c>
      <c r="EY28">
        <v>-42.7133333333333</v>
      </c>
      <c r="EZ28">
        <v>-3.3</v>
      </c>
      <c r="FA28">
        <v>33.812</v>
      </c>
      <c r="FB28">
        <v>38.312</v>
      </c>
      <c r="FC28">
        <v>36.312</v>
      </c>
      <c r="FD28">
        <v>38.875</v>
      </c>
      <c r="FE28">
        <v>36.5662</v>
      </c>
      <c r="FF28">
        <v>0</v>
      </c>
      <c r="FG28">
        <v>0</v>
      </c>
      <c r="FH28">
        <v>0</v>
      </c>
      <c r="FI28">
        <v>172.799999952316</v>
      </c>
      <c r="FJ28">
        <v>0</v>
      </c>
      <c r="FK28">
        <v>777.18</v>
      </c>
      <c r="FL28">
        <v>-34.5230770095129</v>
      </c>
      <c r="FM28">
        <v>4.11538455512175</v>
      </c>
      <c r="FN28">
        <v>-42.028</v>
      </c>
      <c r="FO28">
        <v>15</v>
      </c>
      <c r="FP28">
        <v>0</v>
      </c>
      <c r="FQ28" t="s">
        <v>440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0.0350692685</v>
      </c>
      <c r="GD28">
        <v>-0.145767141203007</v>
      </c>
      <c r="GE28">
        <v>0.0353062786649988</v>
      </c>
      <c r="GF28">
        <v>1</v>
      </c>
      <c r="GG28">
        <v>778.923529411765</v>
      </c>
      <c r="GH28">
        <v>-25.851795204963</v>
      </c>
      <c r="GI28">
        <v>5.66246978039097</v>
      </c>
      <c r="GJ28">
        <v>-1</v>
      </c>
      <c r="GK28">
        <v>0.057680035</v>
      </c>
      <c r="GL28">
        <v>0.0291507022556392</v>
      </c>
      <c r="GM28">
        <v>0.00387786460262281</v>
      </c>
      <c r="GN28">
        <v>1</v>
      </c>
      <c r="GO28">
        <v>2</v>
      </c>
      <c r="GP28">
        <v>2</v>
      </c>
      <c r="GQ28" t="s">
        <v>441</v>
      </c>
      <c r="GR28">
        <v>3.12391</v>
      </c>
      <c r="GS28">
        <v>2.6508</v>
      </c>
      <c r="GT28">
        <v>0.0894595</v>
      </c>
      <c r="GU28">
        <v>0.0901931</v>
      </c>
      <c r="GV28">
        <v>0.0621269</v>
      </c>
      <c r="GW28">
        <v>0.0618124</v>
      </c>
      <c r="GX28">
        <v>24169.4</v>
      </c>
      <c r="GY28">
        <v>22431.1</v>
      </c>
      <c r="GZ28">
        <v>23714.2</v>
      </c>
      <c r="HA28">
        <v>23981.1</v>
      </c>
      <c r="HB28">
        <v>37835.8</v>
      </c>
      <c r="HC28">
        <v>37192.9</v>
      </c>
      <c r="HD28">
        <v>42661.1</v>
      </c>
      <c r="HE28">
        <v>42698.5</v>
      </c>
      <c r="HF28">
        <v>1.96968</v>
      </c>
      <c r="HG28">
        <v>1.85947</v>
      </c>
      <c r="HH28">
        <v>0.00691041</v>
      </c>
      <c r="HI28">
        <v>0</v>
      </c>
      <c r="HJ28">
        <v>17.88</v>
      </c>
      <c r="HK28">
        <v>999.9</v>
      </c>
      <c r="HL28">
        <v>30.967</v>
      </c>
      <c r="HM28">
        <v>30.202</v>
      </c>
      <c r="HN28">
        <v>14.8992</v>
      </c>
      <c r="HO28">
        <v>53.1691</v>
      </c>
      <c r="HP28">
        <v>45.2764</v>
      </c>
      <c r="HQ28">
        <v>1</v>
      </c>
      <c r="HR28">
        <v>-0.391514</v>
      </c>
      <c r="HS28">
        <v>2.12026</v>
      </c>
      <c r="HT28">
        <v>20.2261</v>
      </c>
      <c r="HU28">
        <v>5.23481</v>
      </c>
      <c r="HV28">
        <v>11.992</v>
      </c>
      <c r="HW28">
        <v>4.9574</v>
      </c>
      <c r="HX28">
        <v>3.304</v>
      </c>
      <c r="HY28">
        <v>9999</v>
      </c>
      <c r="HZ28">
        <v>9999</v>
      </c>
      <c r="IA28">
        <v>999.9</v>
      </c>
      <c r="IB28">
        <v>9999</v>
      </c>
      <c r="IC28">
        <v>1.86871</v>
      </c>
      <c r="ID28">
        <v>1.86442</v>
      </c>
      <c r="IE28">
        <v>1.87195</v>
      </c>
      <c r="IF28">
        <v>1.86295</v>
      </c>
      <c r="IG28">
        <v>1.86234</v>
      </c>
      <c r="IH28">
        <v>1.86874</v>
      </c>
      <c r="II28">
        <v>1.85897</v>
      </c>
      <c r="IJ28">
        <v>1.86528</v>
      </c>
      <c r="IK28">
        <v>5</v>
      </c>
      <c r="IL28">
        <v>0</v>
      </c>
      <c r="IM28">
        <v>0</v>
      </c>
      <c r="IN28">
        <v>0</v>
      </c>
      <c r="IO28" t="s">
        <v>442</v>
      </c>
      <c r="IP28" t="s">
        <v>443</v>
      </c>
      <c r="IQ28" t="s">
        <v>444</v>
      </c>
      <c r="IR28" t="s">
        <v>444</v>
      </c>
      <c r="IS28" t="s">
        <v>444</v>
      </c>
      <c r="IT28" t="s">
        <v>444</v>
      </c>
      <c r="IU28">
        <v>0</v>
      </c>
      <c r="IV28">
        <v>100</v>
      </c>
      <c r="IW28">
        <v>100</v>
      </c>
      <c r="IX28">
        <v>4.85</v>
      </c>
      <c r="IY28">
        <v>0.0062</v>
      </c>
      <c r="IZ28">
        <v>3.68741672054385</v>
      </c>
      <c r="JA28">
        <v>0.00363161861672774</v>
      </c>
      <c r="JB28">
        <v>-2.24629326344171e-06</v>
      </c>
      <c r="JC28">
        <v>5.83607846756539e-10</v>
      </c>
      <c r="JD28">
        <v>-0.00675825458998367</v>
      </c>
      <c r="JE28">
        <v>-0.0132323152736503</v>
      </c>
      <c r="JF28">
        <v>0.00138354380881741</v>
      </c>
      <c r="JG28">
        <v>-1.65967022527567e-05</v>
      </c>
      <c r="JH28">
        <v>1</v>
      </c>
      <c r="JI28">
        <v>2181</v>
      </c>
      <c r="JJ28">
        <v>1</v>
      </c>
      <c r="JK28">
        <v>23</v>
      </c>
      <c r="JL28">
        <v>29345638.4</v>
      </c>
      <c r="JM28">
        <v>29345638.4</v>
      </c>
      <c r="JN28">
        <v>1.0437</v>
      </c>
      <c r="JO28">
        <v>2.34985</v>
      </c>
      <c r="JP28">
        <v>1.4978</v>
      </c>
      <c r="JQ28">
        <v>2.33154</v>
      </c>
      <c r="JR28">
        <v>1.54419</v>
      </c>
      <c r="JS28">
        <v>2.39624</v>
      </c>
      <c r="JT28">
        <v>35.5451</v>
      </c>
      <c r="JU28">
        <v>24.3064</v>
      </c>
      <c r="JV28">
        <v>18</v>
      </c>
      <c r="JW28">
        <v>536.593</v>
      </c>
      <c r="JX28">
        <v>413.307</v>
      </c>
      <c r="JY28">
        <v>14.9882</v>
      </c>
      <c r="JZ28">
        <v>22.2802</v>
      </c>
      <c r="KA28">
        <v>30.0001</v>
      </c>
      <c r="KB28">
        <v>22.2798</v>
      </c>
      <c r="KC28">
        <v>22.3054</v>
      </c>
      <c r="KD28">
        <v>20.9534</v>
      </c>
      <c r="KE28">
        <v>23.3752</v>
      </c>
      <c r="KF28">
        <v>14.2494</v>
      </c>
      <c r="KG28">
        <v>14.9902</v>
      </c>
      <c r="KH28">
        <v>420</v>
      </c>
      <c r="KI28">
        <v>12.0881</v>
      </c>
      <c r="KJ28">
        <v>95.688</v>
      </c>
      <c r="KK28">
        <v>99.5676</v>
      </c>
    </row>
    <row r="29" spans="1:297">
      <c r="A29">
        <v>13</v>
      </c>
      <c r="B29">
        <v>1760738641</v>
      </c>
      <c r="C29">
        <v>2987</v>
      </c>
      <c r="D29" t="s">
        <v>481</v>
      </c>
      <c r="E29" t="s">
        <v>482</v>
      </c>
      <c r="F29">
        <v>5</v>
      </c>
      <c r="G29" t="s">
        <v>483</v>
      </c>
      <c r="H29" t="s">
        <v>436</v>
      </c>
      <c r="I29">
        <v>1760738632.5</v>
      </c>
      <c r="J29">
        <f>(K29)/1000</f>
        <v>0</v>
      </c>
      <c r="K29">
        <f>IF(DP29, AN29, AH29)</f>
        <v>0</v>
      </c>
      <c r="L29">
        <f>IF(DP29, AI29, AG29)</f>
        <v>0</v>
      </c>
      <c r="M29">
        <f>DR29 - IF(AU29&gt;1, L29*DL29*100.0/(AW29), 0)</f>
        <v>0</v>
      </c>
      <c r="N29">
        <f>((T29-J29/2)*M29-L29)/(T29+J29/2)</f>
        <v>0</v>
      </c>
      <c r="O29">
        <f>N29*(DY29+DZ29)/1000.0</f>
        <v>0</v>
      </c>
      <c r="P29">
        <f>(DR29 - IF(AU29&gt;1, L29*DL29*100.0/(AW29), 0))*(DY29+DZ29)/1000.0</f>
        <v>0</v>
      </c>
      <c r="Q29">
        <f>2.0/((1/S29-1/R29)+SIGN(S29)*SQRT((1/S29-1/R29)*(1/S29-1/R29) + 4*DM29/((DM29+1)*(DM29+1))*(2*1/S29*1/R29-1/R29*1/R29)))</f>
        <v>0</v>
      </c>
      <c r="R29">
        <f>IF(LEFT(DN29,1)&lt;&gt;"0",IF(LEFT(DN29,1)="1",3.0,DO29),$D$5+$E$5*(EF29*DY29/($K$5*1000))+$F$5*(EF29*DY29/($K$5*1000))*MAX(MIN(DL29,$J$5),$I$5)*MAX(MIN(DL29,$J$5),$I$5)+$G$5*MAX(MIN(DL29,$J$5),$I$5)*(EF29*DY29/($K$5*1000))+$H$5*(EF29*DY29/($K$5*1000))*(EF29*DY29/($K$5*1000)))</f>
        <v>0</v>
      </c>
      <c r="S29">
        <f>J29*(1000-(1000*0.61365*exp(17.502*W29/(240.97+W29))/(DY29+DZ29)+DT29)/2)/(1000*0.61365*exp(17.502*W29/(240.97+W29))/(DY29+DZ29)-DT29)</f>
        <v>0</v>
      </c>
      <c r="T29">
        <f>1/((DM29+1)/(Q29/1.6)+1/(R29/1.37)) + DM29/((DM29+1)/(Q29/1.6) + DM29/(R29/1.37))</f>
        <v>0</v>
      </c>
      <c r="U29">
        <f>(DH29*DK29)</f>
        <v>0</v>
      </c>
      <c r="V29">
        <f>(EA29+(U29+2*0.95*5.67E-8*(((EA29+$B$7)+273)^4-(EA29+273)^4)-44100*J29)/(1.84*29.3*R29+8*0.95*5.67E-8*(EA29+273)^3))</f>
        <v>0</v>
      </c>
      <c r="W29">
        <f>($C$7*EB29+$D$7*EC29+$E$7*V29)</f>
        <v>0</v>
      </c>
      <c r="X29">
        <f>0.61365*exp(17.502*W29/(240.97+W29))</f>
        <v>0</v>
      </c>
      <c r="Y29">
        <f>(Z29/AA29*100)</f>
        <v>0</v>
      </c>
      <c r="Z29">
        <f>DT29*(DY29+DZ29)/1000</f>
        <v>0</v>
      </c>
      <c r="AA29">
        <f>0.61365*exp(17.502*EA29/(240.97+EA29))</f>
        <v>0</v>
      </c>
      <c r="AB29">
        <f>(X29-DT29*(DY29+DZ29)/1000)</f>
        <v>0</v>
      </c>
      <c r="AC29">
        <f>(-J29*44100)</f>
        <v>0</v>
      </c>
      <c r="AD29">
        <f>2*29.3*R29*0.92*(EA29-W29)</f>
        <v>0</v>
      </c>
      <c r="AE29">
        <f>2*0.95*5.67E-8*(((EA29+$B$7)+273)^4-(W29+273)^4)</f>
        <v>0</v>
      </c>
      <c r="AF29">
        <f>U29+AE29+AC29+AD29</f>
        <v>0</v>
      </c>
      <c r="AG29">
        <f>DX29*AU29*(DS29-DR29*(1000-AU29*DU29)/(1000-AU29*DT29))/(100*DL29)</f>
        <v>0</v>
      </c>
      <c r="AH29">
        <f>1000*DX29*AU29*(DT29-DU29)/(100*DL29*(1000-AU29*DT29))</f>
        <v>0</v>
      </c>
      <c r="AI29">
        <f>(AJ29 - AK29 - DY29*1E3/(8.314*(EA29+273.15)) * AM29/DX29 * AL29) * DX29/(100*DL29) * (1000 - DU29)/1000</f>
        <v>0</v>
      </c>
      <c r="AJ29">
        <v>424.965673047295</v>
      </c>
      <c r="AK29">
        <v>425.324339393939</v>
      </c>
      <c r="AL29">
        <v>0.00186880901111098</v>
      </c>
      <c r="AM29">
        <v>62.9782741434614</v>
      </c>
      <c r="AN29">
        <f>(AP29 - AO29 + DY29*1E3/(8.314*(EA29+273.15)) * AR29/DX29 * AQ29) * DX29/(100*DL29) * 1000/(1000 - AP29)</f>
        <v>0</v>
      </c>
      <c r="AO29">
        <v>11.7547126453288</v>
      </c>
      <c r="AP29">
        <v>12.256032967033</v>
      </c>
      <c r="AQ29">
        <v>3.81810085920897e-06</v>
      </c>
      <c r="AR29">
        <v>123.269467425455</v>
      </c>
      <c r="AS29">
        <v>2</v>
      </c>
      <c r="AT29">
        <v>0</v>
      </c>
      <c r="AU29">
        <f>IF(AS29*$H$13&gt;=AW29,1.0,(AW29/(AW29-AS29*$H$13)))</f>
        <v>0</v>
      </c>
      <c r="AV29">
        <f>(AU29-1)*100</f>
        <v>0</v>
      </c>
      <c r="AW29">
        <f>MAX(0,($B$13+$C$13*EF29)/(1+$D$13*EF29)*DY29/(EA29+273)*$E$13)</f>
        <v>0</v>
      </c>
      <c r="AX29" t="s">
        <v>484</v>
      </c>
      <c r="AY29">
        <v>5133.81</v>
      </c>
      <c r="AZ29">
        <v>690.228</v>
      </c>
      <c r="BA29">
        <v>2682.67</v>
      </c>
      <c r="BB29">
        <f>1-AZ29/BA29</f>
        <v>0</v>
      </c>
      <c r="BC29">
        <v>-0.672295467865589</v>
      </c>
      <c r="BD29" t="s">
        <v>438</v>
      </c>
      <c r="BE29" t="s">
        <v>438</v>
      </c>
      <c r="BF29">
        <v>0</v>
      </c>
      <c r="BG29">
        <v>0</v>
      </c>
      <c r="BH29">
        <f>1-BF29/BG29</f>
        <v>0</v>
      </c>
      <c r="BI29">
        <v>0.5</v>
      </c>
      <c r="BJ29">
        <f>DI29</f>
        <v>0</v>
      </c>
      <c r="BK29">
        <f>L29</f>
        <v>0</v>
      </c>
      <c r="BL29">
        <f>BH29*BI29*BJ29</f>
        <v>0</v>
      </c>
      <c r="BM29">
        <f>(BK29-BC29)/BJ29</f>
        <v>0</v>
      </c>
      <c r="BN29">
        <f>(BA29-BG29)/BG29</f>
        <v>0</v>
      </c>
      <c r="BO29">
        <f>AZ29/(BB29+AZ29/BG29)</f>
        <v>0</v>
      </c>
      <c r="BP29" t="s">
        <v>438</v>
      </c>
      <c r="BQ29">
        <v>0</v>
      </c>
      <c r="BR29">
        <f>IF(BQ29&lt;&gt;0, BQ29, BO29)</f>
        <v>0</v>
      </c>
      <c r="BS29">
        <f>1-BR29/BG29</f>
        <v>0</v>
      </c>
      <c r="BT29">
        <f>(BG29-BF29)/(BG29-BR29)</f>
        <v>0</v>
      </c>
      <c r="BU29">
        <f>(BA29-BG29)/(BA29-BR29)</f>
        <v>0</v>
      </c>
      <c r="BV29">
        <f>(BG29-BF29)/(BG29-AZ29)</f>
        <v>0</v>
      </c>
      <c r="BW29">
        <f>(BA29-BG29)/(BA29-AZ29)</f>
        <v>0</v>
      </c>
      <c r="BX29">
        <f>(BT29*BR29/BF29)</f>
        <v>0</v>
      </c>
      <c r="BY29">
        <f>(1-BX29)</f>
        <v>0</v>
      </c>
      <c r="DH29">
        <f>$B$11*EG29+$C$11*EH29+$F$11*ES29*(1-EV29)</f>
        <v>0</v>
      </c>
      <c r="DI29">
        <f>DH29*DJ29</f>
        <v>0</v>
      </c>
      <c r="DJ29">
        <f>($B$11*$D$9+$C$11*$D$9+$F$11*((FF29+EX29)/MAX(FF29+EX29+FG29, 0.1)*$I$9+FG29/MAX(FF29+EX29+FG29, 0.1)*$J$9))/($B$11+$C$11+$F$11)</f>
        <v>0</v>
      </c>
      <c r="DK29">
        <f>($B$11*$K$9+$C$11*$K$9+$F$11*((FF29+EX29)/MAX(FF29+EX29+FG29, 0.1)*$P$9+FG29/MAX(FF29+EX29+FG29, 0.1)*$Q$9))/($B$11+$C$11+$F$11)</f>
        <v>0</v>
      </c>
      <c r="DL29">
        <v>2.7</v>
      </c>
      <c r="DM29">
        <v>0.5</v>
      </c>
      <c r="DN29" t="s">
        <v>439</v>
      </c>
      <c r="DO29">
        <v>2</v>
      </c>
      <c r="DP29" t="b">
        <v>1</v>
      </c>
      <c r="DQ29">
        <v>1760738632.5</v>
      </c>
      <c r="DR29">
        <v>420.06225</v>
      </c>
      <c r="DS29">
        <v>419.98725</v>
      </c>
      <c r="DT29">
        <v>12.25536875</v>
      </c>
      <c r="DU29">
        <v>11.75518125</v>
      </c>
      <c r="DV29">
        <v>415.212375</v>
      </c>
      <c r="DW29">
        <v>12.24715</v>
      </c>
      <c r="DX29">
        <v>500.011125</v>
      </c>
      <c r="DY29">
        <v>89.58480625</v>
      </c>
      <c r="DZ29">
        <v>0.02469849375</v>
      </c>
      <c r="EA29">
        <v>18.93615625</v>
      </c>
      <c r="EB29">
        <v>18.0079625</v>
      </c>
      <c r="EC29">
        <v>999.9</v>
      </c>
      <c r="ED29">
        <v>0</v>
      </c>
      <c r="EE29">
        <v>0</v>
      </c>
      <c r="EF29">
        <v>10001.521875</v>
      </c>
      <c r="EG29">
        <v>0</v>
      </c>
      <c r="EH29">
        <v>0.222567</v>
      </c>
      <c r="EI29">
        <v>0.074913013125</v>
      </c>
      <c r="EJ29">
        <v>425.274</v>
      </c>
      <c r="EK29">
        <v>424.983</v>
      </c>
      <c r="EL29">
        <v>0.500173375</v>
      </c>
      <c r="EM29">
        <v>419.98725</v>
      </c>
      <c r="EN29">
        <v>11.75518125</v>
      </c>
      <c r="EO29">
        <v>1.09789375</v>
      </c>
      <c r="EP29">
        <v>1.05308625</v>
      </c>
      <c r="EQ29">
        <v>8.28462125</v>
      </c>
      <c r="ER29">
        <v>7.672298125</v>
      </c>
      <c r="ES29">
        <v>0.00500016</v>
      </c>
      <c r="ET29">
        <v>0</v>
      </c>
      <c r="EU29">
        <v>0</v>
      </c>
      <c r="EV29">
        <v>0</v>
      </c>
      <c r="EW29">
        <v>689.33125</v>
      </c>
      <c r="EX29">
        <v>0.00500016</v>
      </c>
      <c r="EY29">
        <v>-41.80625</v>
      </c>
      <c r="EZ29">
        <v>-3.325</v>
      </c>
      <c r="FA29">
        <v>33.7655</v>
      </c>
      <c r="FB29">
        <v>38.3159375</v>
      </c>
      <c r="FC29">
        <v>36.312</v>
      </c>
      <c r="FD29">
        <v>38.808125</v>
      </c>
      <c r="FE29">
        <v>36.562</v>
      </c>
      <c r="FF29">
        <v>0</v>
      </c>
      <c r="FG29">
        <v>0</v>
      </c>
      <c r="FH29">
        <v>0</v>
      </c>
      <c r="FI29">
        <v>334</v>
      </c>
      <c r="FJ29">
        <v>0</v>
      </c>
      <c r="FK29">
        <v>690.228</v>
      </c>
      <c r="FL29">
        <v>7.0076921964298</v>
      </c>
      <c r="FM29">
        <v>-9.67692300295209</v>
      </c>
      <c r="FN29">
        <v>-42.74</v>
      </c>
      <c r="FO29">
        <v>15</v>
      </c>
      <c r="FP29">
        <v>0</v>
      </c>
      <c r="FQ29" t="s">
        <v>440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0.07124691</v>
      </c>
      <c r="GD29">
        <v>0.126513508831169</v>
      </c>
      <c r="GE29">
        <v>0.0369533700276237</v>
      </c>
      <c r="GF29">
        <v>1</v>
      </c>
      <c r="GG29">
        <v>690.482352941176</v>
      </c>
      <c r="GH29">
        <v>-7.09549281986548</v>
      </c>
      <c r="GI29">
        <v>4.13097841908693</v>
      </c>
      <c r="GJ29">
        <v>-1</v>
      </c>
      <c r="GK29">
        <v>0.495888952380952</v>
      </c>
      <c r="GL29">
        <v>0.0699928831168829</v>
      </c>
      <c r="GM29">
        <v>0.00719561103316386</v>
      </c>
      <c r="GN29">
        <v>1</v>
      </c>
      <c r="GO29">
        <v>2</v>
      </c>
      <c r="GP29">
        <v>2</v>
      </c>
      <c r="GQ29" t="s">
        <v>441</v>
      </c>
      <c r="GR29">
        <v>3.12369</v>
      </c>
      <c r="GS29">
        <v>2.65048</v>
      </c>
      <c r="GT29">
        <v>0.0894697</v>
      </c>
      <c r="GU29">
        <v>0.0901925</v>
      </c>
      <c r="GV29">
        <v>0.0627306</v>
      </c>
      <c r="GW29">
        <v>0.0606818</v>
      </c>
      <c r="GX29">
        <v>24164.5</v>
      </c>
      <c r="GY29">
        <v>22433.6</v>
      </c>
      <c r="GZ29">
        <v>23709.7</v>
      </c>
      <c r="HA29">
        <v>23983.9</v>
      </c>
      <c r="HB29">
        <v>37803.9</v>
      </c>
      <c r="HC29">
        <v>37242.5</v>
      </c>
      <c r="HD29">
        <v>42652.9</v>
      </c>
      <c r="HE29">
        <v>42703.9</v>
      </c>
      <c r="HF29">
        <v>1.97008</v>
      </c>
      <c r="HG29">
        <v>1.85887</v>
      </c>
      <c r="HH29">
        <v>0.00666827</v>
      </c>
      <c r="HI29">
        <v>0</v>
      </c>
      <c r="HJ29">
        <v>17.8963</v>
      </c>
      <c r="HK29">
        <v>999.9</v>
      </c>
      <c r="HL29">
        <v>30.546</v>
      </c>
      <c r="HM29">
        <v>30.252</v>
      </c>
      <c r="HN29">
        <v>14.7391</v>
      </c>
      <c r="HO29">
        <v>53.1791</v>
      </c>
      <c r="HP29">
        <v>45.5809</v>
      </c>
      <c r="HQ29">
        <v>1</v>
      </c>
      <c r="HR29">
        <v>-0.391883</v>
      </c>
      <c r="HS29">
        <v>2.1044</v>
      </c>
      <c r="HT29">
        <v>20.2262</v>
      </c>
      <c r="HU29">
        <v>5.23571</v>
      </c>
      <c r="HV29">
        <v>11.992</v>
      </c>
      <c r="HW29">
        <v>4.95765</v>
      </c>
      <c r="HX29">
        <v>3.30398</v>
      </c>
      <c r="HY29">
        <v>9999</v>
      </c>
      <c r="HZ29">
        <v>9999</v>
      </c>
      <c r="IA29">
        <v>999.9</v>
      </c>
      <c r="IB29">
        <v>9999</v>
      </c>
      <c r="IC29">
        <v>1.86871</v>
      </c>
      <c r="ID29">
        <v>1.86442</v>
      </c>
      <c r="IE29">
        <v>1.87195</v>
      </c>
      <c r="IF29">
        <v>1.86295</v>
      </c>
      <c r="IG29">
        <v>1.86233</v>
      </c>
      <c r="IH29">
        <v>1.86873</v>
      </c>
      <c r="II29">
        <v>1.85895</v>
      </c>
      <c r="IJ29">
        <v>1.86523</v>
      </c>
      <c r="IK29">
        <v>5</v>
      </c>
      <c r="IL29">
        <v>0</v>
      </c>
      <c r="IM29">
        <v>0</v>
      </c>
      <c r="IN29">
        <v>0</v>
      </c>
      <c r="IO29" t="s">
        <v>442</v>
      </c>
      <c r="IP29" t="s">
        <v>443</v>
      </c>
      <c r="IQ29" t="s">
        <v>444</v>
      </c>
      <c r="IR29" t="s">
        <v>444</v>
      </c>
      <c r="IS29" t="s">
        <v>444</v>
      </c>
      <c r="IT29" t="s">
        <v>444</v>
      </c>
      <c r="IU29">
        <v>0</v>
      </c>
      <c r="IV29">
        <v>100</v>
      </c>
      <c r="IW29">
        <v>100</v>
      </c>
      <c r="IX29">
        <v>4.85</v>
      </c>
      <c r="IY29">
        <v>0.0082</v>
      </c>
      <c r="IZ29">
        <v>3.68741672054385</v>
      </c>
      <c r="JA29">
        <v>0.00363161861672774</v>
      </c>
      <c r="JB29">
        <v>-2.24629326344171e-06</v>
      </c>
      <c r="JC29">
        <v>5.83607846756539e-10</v>
      </c>
      <c r="JD29">
        <v>-0.00675825458998367</v>
      </c>
      <c r="JE29">
        <v>-0.0132323152736503</v>
      </c>
      <c r="JF29">
        <v>0.00138354380881741</v>
      </c>
      <c r="JG29">
        <v>-1.65967022527567e-05</v>
      </c>
      <c r="JH29">
        <v>1</v>
      </c>
      <c r="JI29">
        <v>2181</v>
      </c>
      <c r="JJ29">
        <v>1</v>
      </c>
      <c r="JK29">
        <v>23</v>
      </c>
      <c r="JL29">
        <v>29345644</v>
      </c>
      <c r="JM29">
        <v>29345644</v>
      </c>
      <c r="JN29">
        <v>1.04492</v>
      </c>
      <c r="JO29">
        <v>2.36816</v>
      </c>
      <c r="JP29">
        <v>1.4978</v>
      </c>
      <c r="JQ29">
        <v>2.33154</v>
      </c>
      <c r="JR29">
        <v>1.54419</v>
      </c>
      <c r="JS29">
        <v>2.31812</v>
      </c>
      <c r="JT29">
        <v>35.5451</v>
      </c>
      <c r="JU29">
        <v>24.2976</v>
      </c>
      <c r="JV29">
        <v>18</v>
      </c>
      <c r="JW29">
        <v>537.043</v>
      </c>
      <c r="JX29">
        <v>413.154</v>
      </c>
      <c r="JY29">
        <v>15.4193</v>
      </c>
      <c r="JZ29">
        <v>22.2971</v>
      </c>
      <c r="KA29">
        <v>30.0001</v>
      </c>
      <c r="KB29">
        <v>22.3014</v>
      </c>
      <c r="KC29">
        <v>22.3278</v>
      </c>
      <c r="KD29">
        <v>20.954</v>
      </c>
      <c r="KE29">
        <v>24.3118</v>
      </c>
      <c r="KF29">
        <v>14.2494</v>
      </c>
      <c r="KG29">
        <v>15.4155</v>
      </c>
      <c r="KH29">
        <v>420</v>
      </c>
      <c r="KI29">
        <v>11.7955</v>
      </c>
      <c r="KJ29">
        <v>95.6696</v>
      </c>
      <c r="KK29">
        <v>99.5797</v>
      </c>
    </row>
    <row r="30" spans="1:297">
      <c r="A30">
        <v>14</v>
      </c>
      <c r="B30">
        <v>1760738846</v>
      </c>
      <c r="C30">
        <v>3192</v>
      </c>
      <c r="D30" t="s">
        <v>485</v>
      </c>
      <c r="E30" t="s">
        <v>486</v>
      </c>
      <c r="F30">
        <v>5</v>
      </c>
      <c r="G30" t="s">
        <v>483</v>
      </c>
      <c r="H30" t="s">
        <v>436</v>
      </c>
      <c r="I30">
        <v>1760738837.5</v>
      </c>
      <c r="J30">
        <f>(K30)/1000</f>
        <v>0</v>
      </c>
      <c r="K30">
        <f>IF(DP30, AN30, AH30)</f>
        <v>0</v>
      </c>
      <c r="L30">
        <f>IF(DP30, AI30, AG30)</f>
        <v>0</v>
      </c>
      <c r="M30">
        <f>DR30 - IF(AU30&gt;1, L30*DL30*100.0/(AW30), 0)</f>
        <v>0</v>
      </c>
      <c r="N30">
        <f>((T30-J30/2)*M30-L30)/(T30+J30/2)</f>
        <v>0</v>
      </c>
      <c r="O30">
        <f>N30*(DY30+DZ30)/1000.0</f>
        <v>0</v>
      </c>
      <c r="P30">
        <f>(DR30 - IF(AU30&gt;1, L30*DL30*100.0/(AW30), 0))*(DY30+DZ30)/1000.0</f>
        <v>0</v>
      </c>
      <c r="Q30">
        <f>2.0/((1/S30-1/R30)+SIGN(S30)*SQRT((1/S30-1/R30)*(1/S30-1/R30) + 4*DM30/((DM30+1)*(DM30+1))*(2*1/S30*1/R30-1/R30*1/R30)))</f>
        <v>0</v>
      </c>
      <c r="R30">
        <f>IF(LEFT(DN30,1)&lt;&gt;"0",IF(LEFT(DN30,1)="1",3.0,DO30),$D$5+$E$5*(EF30*DY30/($K$5*1000))+$F$5*(EF30*DY30/($K$5*1000))*MAX(MIN(DL30,$J$5),$I$5)*MAX(MIN(DL30,$J$5),$I$5)+$G$5*MAX(MIN(DL30,$J$5),$I$5)*(EF30*DY30/($K$5*1000))+$H$5*(EF30*DY30/($K$5*1000))*(EF30*DY30/($K$5*1000)))</f>
        <v>0</v>
      </c>
      <c r="S30">
        <f>J30*(1000-(1000*0.61365*exp(17.502*W30/(240.97+W30))/(DY30+DZ30)+DT30)/2)/(1000*0.61365*exp(17.502*W30/(240.97+W30))/(DY30+DZ30)-DT30)</f>
        <v>0</v>
      </c>
      <c r="T30">
        <f>1/((DM30+1)/(Q30/1.6)+1/(R30/1.37)) + DM30/((DM30+1)/(Q30/1.6) + DM30/(R30/1.37))</f>
        <v>0</v>
      </c>
      <c r="U30">
        <f>(DH30*DK30)</f>
        <v>0</v>
      </c>
      <c r="V30">
        <f>(EA30+(U30+2*0.95*5.67E-8*(((EA30+$B$7)+273)^4-(EA30+273)^4)-44100*J30)/(1.84*29.3*R30+8*0.95*5.67E-8*(EA30+273)^3))</f>
        <v>0</v>
      </c>
      <c r="W30">
        <f>($C$7*EB30+$D$7*EC30+$E$7*V30)</f>
        <v>0</v>
      </c>
      <c r="X30">
        <f>0.61365*exp(17.502*W30/(240.97+W30))</f>
        <v>0</v>
      </c>
      <c r="Y30">
        <f>(Z30/AA30*100)</f>
        <v>0</v>
      </c>
      <c r="Z30">
        <f>DT30*(DY30+DZ30)/1000</f>
        <v>0</v>
      </c>
      <c r="AA30">
        <f>0.61365*exp(17.502*EA30/(240.97+EA30))</f>
        <v>0</v>
      </c>
      <c r="AB30">
        <f>(X30-DT30*(DY30+DZ30)/1000)</f>
        <v>0</v>
      </c>
      <c r="AC30">
        <f>(-J30*44100)</f>
        <v>0</v>
      </c>
      <c r="AD30">
        <f>2*29.3*R30*0.92*(EA30-W30)</f>
        <v>0</v>
      </c>
      <c r="AE30">
        <f>2*0.95*5.67E-8*(((EA30+$B$7)+273)^4-(W30+273)^4)</f>
        <v>0</v>
      </c>
      <c r="AF30">
        <f>U30+AE30+AC30+AD30</f>
        <v>0</v>
      </c>
      <c r="AG30">
        <f>DX30*AU30*(DS30-DR30*(1000-AU30*DU30)/(1000-AU30*DT30))/(100*DL30)</f>
        <v>0</v>
      </c>
      <c r="AH30">
        <f>1000*DX30*AU30*(DT30-DU30)/(100*DL30*(1000-AU30*DT30))</f>
        <v>0</v>
      </c>
      <c r="AI30">
        <f>(AJ30 - AK30 - DY30*1E3/(8.314*(EA30+273.15)) * AM30/DX30 * AL30) * DX30/(100*DL30) * (1000 - DU30)/1000</f>
        <v>0</v>
      </c>
      <c r="AJ30">
        <v>424.983444804262</v>
      </c>
      <c r="AK30">
        <v>425.27743030303</v>
      </c>
      <c r="AL30">
        <v>0.000648720417638494</v>
      </c>
      <c r="AM30">
        <v>62.9782741434614</v>
      </c>
      <c r="AN30">
        <f>(AP30 - AO30 + DY30*1E3/(8.314*(EA30+273.15)) * AR30/DX30 * AQ30) * DX30/(100*DL30) * 1000/(1000 - AP30)</f>
        <v>0</v>
      </c>
      <c r="AO30">
        <v>11.7220954651443</v>
      </c>
      <c r="AP30">
        <v>12.2139494505495</v>
      </c>
      <c r="AQ30">
        <v>-6.11966401069698e-06</v>
      </c>
      <c r="AR30">
        <v>123.269467425455</v>
      </c>
      <c r="AS30">
        <v>2</v>
      </c>
      <c r="AT30">
        <v>0</v>
      </c>
      <c r="AU30">
        <f>IF(AS30*$H$13&gt;=AW30,1.0,(AW30/(AW30-AS30*$H$13)))</f>
        <v>0</v>
      </c>
      <c r="AV30">
        <f>(AU30-1)*100</f>
        <v>0</v>
      </c>
      <c r="AW30">
        <f>MAX(0,($B$13+$C$13*EF30)/(1+$D$13*EF30)*DY30/(EA30+273)*$E$13)</f>
        <v>0</v>
      </c>
      <c r="AX30" t="s">
        <v>487</v>
      </c>
      <c r="AY30">
        <v>5133.59</v>
      </c>
      <c r="AZ30">
        <v>722.884</v>
      </c>
      <c r="BA30">
        <v>2644.44</v>
      </c>
      <c r="BB30">
        <f>1-AZ30/BA30</f>
        <v>0</v>
      </c>
      <c r="BC30">
        <v>-0.543550270248989</v>
      </c>
      <c r="BD30" t="s">
        <v>438</v>
      </c>
      <c r="BE30" t="s">
        <v>438</v>
      </c>
      <c r="BF30">
        <v>0</v>
      </c>
      <c r="BG30">
        <v>0</v>
      </c>
      <c r="BH30">
        <f>1-BF30/BG30</f>
        <v>0</v>
      </c>
      <c r="BI30">
        <v>0.5</v>
      </c>
      <c r="BJ30">
        <f>DI30</f>
        <v>0</v>
      </c>
      <c r="BK30">
        <f>L30</f>
        <v>0</v>
      </c>
      <c r="BL30">
        <f>BH30*BI30*BJ30</f>
        <v>0</v>
      </c>
      <c r="BM30">
        <f>(BK30-BC30)/BJ30</f>
        <v>0</v>
      </c>
      <c r="BN30">
        <f>(BA30-BG30)/BG30</f>
        <v>0</v>
      </c>
      <c r="BO30">
        <f>AZ30/(BB30+AZ30/BG30)</f>
        <v>0</v>
      </c>
      <c r="BP30" t="s">
        <v>438</v>
      </c>
      <c r="BQ30">
        <v>0</v>
      </c>
      <c r="BR30">
        <f>IF(BQ30&lt;&gt;0, BQ30, BO30)</f>
        <v>0</v>
      </c>
      <c r="BS30">
        <f>1-BR30/BG30</f>
        <v>0</v>
      </c>
      <c r="BT30">
        <f>(BG30-BF30)/(BG30-BR30)</f>
        <v>0</v>
      </c>
      <c r="BU30">
        <f>(BA30-BG30)/(BA30-BR30)</f>
        <v>0</v>
      </c>
      <c r="BV30">
        <f>(BG30-BF30)/(BG30-AZ30)</f>
        <v>0</v>
      </c>
      <c r="BW30">
        <f>(BA30-BG30)/(BA30-AZ30)</f>
        <v>0</v>
      </c>
      <c r="BX30">
        <f>(BT30*BR30/BF30)</f>
        <v>0</v>
      </c>
      <c r="BY30">
        <f>(1-BX30)</f>
        <v>0</v>
      </c>
      <c r="DH30">
        <f>$B$11*EG30+$C$11*EH30+$F$11*ES30*(1-EV30)</f>
        <v>0</v>
      </c>
      <c r="DI30">
        <f>DH30*DJ30</f>
        <v>0</v>
      </c>
      <c r="DJ30">
        <f>($B$11*$D$9+$C$11*$D$9+$F$11*((FF30+EX30)/MAX(FF30+EX30+FG30, 0.1)*$I$9+FG30/MAX(FF30+EX30+FG30, 0.1)*$J$9))/($B$11+$C$11+$F$11)</f>
        <v>0</v>
      </c>
      <c r="DK30">
        <f>($B$11*$K$9+$C$11*$K$9+$F$11*((FF30+EX30)/MAX(FF30+EX30+FG30, 0.1)*$P$9+FG30/MAX(FF30+EX30+FG30, 0.1)*$Q$9))/($B$11+$C$11+$F$11)</f>
        <v>0</v>
      </c>
      <c r="DL30">
        <v>2.7</v>
      </c>
      <c r="DM30">
        <v>0.5</v>
      </c>
      <c r="DN30" t="s">
        <v>439</v>
      </c>
      <c r="DO30">
        <v>2</v>
      </c>
      <c r="DP30" t="b">
        <v>1</v>
      </c>
      <c r="DQ30">
        <v>1760738837.5</v>
      </c>
      <c r="DR30">
        <v>420.069875</v>
      </c>
      <c r="DS30">
        <v>420.0010625</v>
      </c>
      <c r="DT30">
        <v>12.21716875</v>
      </c>
      <c r="DU30">
        <v>11.7216625</v>
      </c>
      <c r="DV30">
        <v>415.2200625</v>
      </c>
      <c r="DW30">
        <v>12.2094625</v>
      </c>
      <c r="DX30">
        <v>499.997625</v>
      </c>
      <c r="DY30">
        <v>89.57926875</v>
      </c>
      <c r="DZ30">
        <v>0.02472915625</v>
      </c>
      <c r="EA30">
        <v>18.91585625</v>
      </c>
      <c r="EB30">
        <v>17.99333125</v>
      </c>
      <c r="EC30">
        <v>999.9</v>
      </c>
      <c r="ED30">
        <v>0</v>
      </c>
      <c r="EE30">
        <v>0</v>
      </c>
      <c r="EF30">
        <v>10001.2975</v>
      </c>
      <c r="EG30">
        <v>0</v>
      </c>
      <c r="EH30">
        <v>0.222567</v>
      </c>
      <c r="EI30">
        <v>0.0686912625</v>
      </c>
      <c r="EJ30">
        <v>425.2655</v>
      </c>
      <c r="EK30">
        <v>424.982625</v>
      </c>
      <c r="EL30">
        <v>0.4955336875</v>
      </c>
      <c r="EM30">
        <v>420.0010625</v>
      </c>
      <c r="EN30">
        <v>11.7216625</v>
      </c>
      <c r="EO30">
        <v>1.094406875</v>
      </c>
      <c r="EP30">
        <v>1.050016875</v>
      </c>
      <c r="EQ30">
        <v>8.237763125</v>
      </c>
      <c r="ER30">
        <v>7.629525</v>
      </c>
      <c r="ES30">
        <v>0.00500016</v>
      </c>
      <c r="ET30">
        <v>0</v>
      </c>
      <c r="EU30">
        <v>0</v>
      </c>
      <c r="EV30">
        <v>0</v>
      </c>
      <c r="EW30">
        <v>723.25</v>
      </c>
      <c r="EX30">
        <v>0.00500016</v>
      </c>
      <c r="EY30">
        <v>-43.85</v>
      </c>
      <c r="EZ30">
        <v>-3.20625</v>
      </c>
      <c r="FA30">
        <v>33.769375</v>
      </c>
      <c r="FB30">
        <v>38.312</v>
      </c>
      <c r="FC30">
        <v>36.308125</v>
      </c>
      <c r="FD30">
        <v>38.75</v>
      </c>
      <c r="FE30">
        <v>36.562</v>
      </c>
      <c r="FF30">
        <v>0</v>
      </c>
      <c r="FG30">
        <v>0</v>
      </c>
      <c r="FH30">
        <v>0</v>
      </c>
      <c r="FI30">
        <v>203.799999952316</v>
      </c>
      <c r="FJ30">
        <v>0</v>
      </c>
      <c r="FK30">
        <v>722.884</v>
      </c>
      <c r="FL30">
        <v>-10.930768817725</v>
      </c>
      <c r="FM30">
        <v>-3.17692344317991</v>
      </c>
      <c r="FN30">
        <v>-42.836</v>
      </c>
      <c r="FO30">
        <v>15</v>
      </c>
      <c r="FP30">
        <v>0</v>
      </c>
      <c r="FQ30" t="s">
        <v>440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0.074234</v>
      </c>
      <c r="GD30">
        <v>-0.0974288571428573</v>
      </c>
      <c r="GE30">
        <v>0.0403440803168445</v>
      </c>
      <c r="GF30">
        <v>1</v>
      </c>
      <c r="GG30">
        <v>723.364705882353</v>
      </c>
      <c r="GH30">
        <v>-14.1909853307264</v>
      </c>
      <c r="GI30">
        <v>5.65871957835303</v>
      </c>
      <c r="GJ30">
        <v>-1</v>
      </c>
      <c r="GK30">
        <v>0.49770045</v>
      </c>
      <c r="GL30">
        <v>-0.0629485263157893</v>
      </c>
      <c r="GM30">
        <v>0.00706481794864524</v>
      </c>
      <c r="GN30">
        <v>1</v>
      </c>
      <c r="GO30">
        <v>2</v>
      </c>
      <c r="GP30">
        <v>2</v>
      </c>
      <c r="GQ30" t="s">
        <v>441</v>
      </c>
      <c r="GR30">
        <v>3.12384</v>
      </c>
      <c r="GS30">
        <v>2.65071</v>
      </c>
      <c r="GT30">
        <v>0.089474</v>
      </c>
      <c r="GU30">
        <v>0.0901855</v>
      </c>
      <c r="GV30">
        <v>0.0625652</v>
      </c>
      <c r="GW30">
        <v>0.0605942</v>
      </c>
      <c r="GX30">
        <v>24161.5</v>
      </c>
      <c r="GY30">
        <v>22435</v>
      </c>
      <c r="GZ30">
        <v>23707</v>
      </c>
      <c r="HA30">
        <v>23985.2</v>
      </c>
      <c r="HB30">
        <v>37806.4</v>
      </c>
      <c r="HC30">
        <v>37248.3</v>
      </c>
      <c r="HD30">
        <v>42648.1</v>
      </c>
      <c r="HE30">
        <v>42706.5</v>
      </c>
      <c r="HF30">
        <v>1.9701</v>
      </c>
      <c r="HG30">
        <v>1.85842</v>
      </c>
      <c r="HH30">
        <v>0.0064373</v>
      </c>
      <c r="HI30">
        <v>0</v>
      </c>
      <c r="HJ30">
        <v>17.89</v>
      </c>
      <c r="HK30">
        <v>999.9</v>
      </c>
      <c r="HL30">
        <v>30.216</v>
      </c>
      <c r="HM30">
        <v>30.293</v>
      </c>
      <c r="HN30">
        <v>14.6141</v>
      </c>
      <c r="HO30">
        <v>54.4291</v>
      </c>
      <c r="HP30">
        <v>45.5088</v>
      </c>
      <c r="HQ30">
        <v>1</v>
      </c>
      <c r="HR30">
        <v>-0.391992</v>
      </c>
      <c r="HS30">
        <v>1.99187</v>
      </c>
      <c r="HT30">
        <v>20.2274</v>
      </c>
      <c r="HU30">
        <v>5.23556</v>
      </c>
      <c r="HV30">
        <v>11.992</v>
      </c>
      <c r="HW30">
        <v>4.95765</v>
      </c>
      <c r="HX30">
        <v>3.304</v>
      </c>
      <c r="HY30">
        <v>9999</v>
      </c>
      <c r="HZ30">
        <v>9999</v>
      </c>
      <c r="IA30">
        <v>999.9</v>
      </c>
      <c r="IB30">
        <v>9999</v>
      </c>
      <c r="IC30">
        <v>1.86871</v>
      </c>
      <c r="ID30">
        <v>1.86443</v>
      </c>
      <c r="IE30">
        <v>1.87195</v>
      </c>
      <c r="IF30">
        <v>1.86295</v>
      </c>
      <c r="IG30">
        <v>1.86234</v>
      </c>
      <c r="IH30">
        <v>1.86874</v>
      </c>
      <c r="II30">
        <v>1.85894</v>
      </c>
      <c r="IJ30">
        <v>1.86527</v>
      </c>
      <c r="IK30">
        <v>5</v>
      </c>
      <c r="IL30">
        <v>0</v>
      </c>
      <c r="IM30">
        <v>0</v>
      </c>
      <c r="IN30">
        <v>0</v>
      </c>
      <c r="IO30" t="s">
        <v>442</v>
      </c>
      <c r="IP30" t="s">
        <v>443</v>
      </c>
      <c r="IQ30" t="s">
        <v>444</v>
      </c>
      <c r="IR30" t="s">
        <v>444</v>
      </c>
      <c r="IS30" t="s">
        <v>444</v>
      </c>
      <c r="IT30" t="s">
        <v>444</v>
      </c>
      <c r="IU30">
        <v>0</v>
      </c>
      <c r="IV30">
        <v>100</v>
      </c>
      <c r="IW30">
        <v>100</v>
      </c>
      <c r="IX30">
        <v>4.85</v>
      </c>
      <c r="IY30">
        <v>0.0077</v>
      </c>
      <c r="IZ30">
        <v>3.68741672054385</v>
      </c>
      <c r="JA30">
        <v>0.00363161861672774</v>
      </c>
      <c r="JB30">
        <v>-2.24629326344171e-06</v>
      </c>
      <c r="JC30">
        <v>5.83607846756539e-10</v>
      </c>
      <c r="JD30">
        <v>-0.00675825458998367</v>
      </c>
      <c r="JE30">
        <v>-0.0132323152736503</v>
      </c>
      <c r="JF30">
        <v>0.00138354380881741</v>
      </c>
      <c r="JG30">
        <v>-1.65967022527567e-05</v>
      </c>
      <c r="JH30">
        <v>1</v>
      </c>
      <c r="JI30">
        <v>2181</v>
      </c>
      <c r="JJ30">
        <v>1</v>
      </c>
      <c r="JK30">
        <v>23</v>
      </c>
      <c r="JL30">
        <v>29345647.4</v>
      </c>
      <c r="JM30">
        <v>29345647.4</v>
      </c>
      <c r="JN30">
        <v>1.04492</v>
      </c>
      <c r="JO30">
        <v>2.37183</v>
      </c>
      <c r="JP30">
        <v>1.49902</v>
      </c>
      <c r="JQ30">
        <v>2.33154</v>
      </c>
      <c r="JR30">
        <v>1.54419</v>
      </c>
      <c r="JS30">
        <v>2.24243</v>
      </c>
      <c r="JT30">
        <v>35.5915</v>
      </c>
      <c r="JU30">
        <v>24.2976</v>
      </c>
      <c r="JV30">
        <v>18</v>
      </c>
      <c r="JW30">
        <v>537.04</v>
      </c>
      <c r="JX30">
        <v>412.905</v>
      </c>
      <c r="JY30">
        <v>15.4713</v>
      </c>
      <c r="JZ30">
        <v>22.3009</v>
      </c>
      <c r="KA30">
        <v>30.0001</v>
      </c>
      <c r="KB30">
        <v>22.2995</v>
      </c>
      <c r="KC30">
        <v>22.3278</v>
      </c>
      <c r="KD30">
        <v>20.9564</v>
      </c>
      <c r="KE30">
        <v>22.8949</v>
      </c>
      <c r="KF30">
        <v>14.2494</v>
      </c>
      <c r="KG30">
        <v>15.4717</v>
      </c>
      <c r="KH30">
        <v>420</v>
      </c>
      <c r="KI30">
        <v>11.7962</v>
      </c>
      <c r="KJ30">
        <v>95.6588</v>
      </c>
      <c r="KK30">
        <v>99.5857</v>
      </c>
    </row>
    <row r="31" spans="1:297">
      <c r="A31">
        <v>15</v>
      </c>
      <c r="B31">
        <v>1760739115</v>
      </c>
      <c r="C31">
        <v>3461</v>
      </c>
      <c r="D31" t="s">
        <v>488</v>
      </c>
      <c r="E31" t="s">
        <v>489</v>
      </c>
      <c r="F31">
        <v>5</v>
      </c>
      <c r="G31" t="s">
        <v>483</v>
      </c>
      <c r="H31" t="s">
        <v>436</v>
      </c>
      <c r="I31">
        <v>1760739106.5</v>
      </c>
      <c r="J31">
        <f>(K31)/1000</f>
        <v>0</v>
      </c>
      <c r="K31">
        <f>IF(DP31, AN31, AH31)</f>
        <v>0</v>
      </c>
      <c r="L31">
        <f>IF(DP31, AI31, AG31)</f>
        <v>0</v>
      </c>
      <c r="M31">
        <f>DR31 - IF(AU31&gt;1, L31*DL31*100.0/(AW31), 0)</f>
        <v>0</v>
      </c>
      <c r="N31">
        <f>((T31-J31/2)*M31-L31)/(T31+J31/2)</f>
        <v>0</v>
      </c>
      <c r="O31">
        <f>N31*(DY31+DZ31)/1000.0</f>
        <v>0</v>
      </c>
      <c r="P31">
        <f>(DR31 - IF(AU31&gt;1, L31*DL31*100.0/(AW31), 0))*(DY31+DZ31)/1000.0</f>
        <v>0</v>
      </c>
      <c r="Q31">
        <f>2.0/((1/S31-1/R31)+SIGN(S31)*SQRT((1/S31-1/R31)*(1/S31-1/R31) + 4*DM31/((DM31+1)*(DM31+1))*(2*1/S31*1/R31-1/R31*1/R31)))</f>
        <v>0</v>
      </c>
      <c r="R31">
        <f>IF(LEFT(DN31,1)&lt;&gt;"0",IF(LEFT(DN31,1)="1",3.0,DO31),$D$5+$E$5*(EF31*DY31/($K$5*1000))+$F$5*(EF31*DY31/($K$5*1000))*MAX(MIN(DL31,$J$5),$I$5)*MAX(MIN(DL31,$J$5),$I$5)+$G$5*MAX(MIN(DL31,$J$5),$I$5)*(EF31*DY31/($K$5*1000))+$H$5*(EF31*DY31/($K$5*1000))*(EF31*DY31/($K$5*1000)))</f>
        <v>0</v>
      </c>
      <c r="S31">
        <f>J31*(1000-(1000*0.61365*exp(17.502*W31/(240.97+W31))/(DY31+DZ31)+DT31)/2)/(1000*0.61365*exp(17.502*W31/(240.97+W31))/(DY31+DZ31)-DT31)</f>
        <v>0</v>
      </c>
      <c r="T31">
        <f>1/((DM31+1)/(Q31/1.6)+1/(R31/1.37)) + DM31/((DM31+1)/(Q31/1.6) + DM31/(R31/1.37))</f>
        <v>0</v>
      </c>
      <c r="U31">
        <f>(DH31*DK31)</f>
        <v>0</v>
      </c>
      <c r="V31">
        <f>(EA31+(U31+2*0.95*5.67E-8*(((EA31+$B$7)+273)^4-(EA31+273)^4)-44100*J31)/(1.84*29.3*R31+8*0.95*5.67E-8*(EA31+273)^3))</f>
        <v>0</v>
      </c>
      <c r="W31">
        <f>($C$7*EB31+$D$7*EC31+$E$7*V31)</f>
        <v>0</v>
      </c>
      <c r="X31">
        <f>0.61365*exp(17.502*W31/(240.97+W31))</f>
        <v>0</v>
      </c>
      <c r="Y31">
        <f>(Z31/AA31*100)</f>
        <v>0</v>
      </c>
      <c r="Z31">
        <f>DT31*(DY31+DZ31)/1000</f>
        <v>0</v>
      </c>
      <c r="AA31">
        <f>0.61365*exp(17.502*EA31/(240.97+EA31))</f>
        <v>0</v>
      </c>
      <c r="AB31">
        <f>(X31-DT31*(DY31+DZ31)/1000)</f>
        <v>0</v>
      </c>
      <c r="AC31">
        <f>(-J31*44100)</f>
        <v>0</v>
      </c>
      <c r="AD31">
        <f>2*29.3*R31*0.92*(EA31-W31)</f>
        <v>0</v>
      </c>
      <c r="AE31">
        <f>2*0.95*5.67E-8*(((EA31+$B$7)+273)^4-(W31+273)^4)</f>
        <v>0</v>
      </c>
      <c r="AF31">
        <f>U31+AE31+AC31+AD31</f>
        <v>0</v>
      </c>
      <c r="AG31">
        <f>DX31*AU31*(DS31-DR31*(1000-AU31*DU31)/(1000-AU31*DT31))/(100*DL31)</f>
        <v>0</v>
      </c>
      <c r="AH31">
        <f>1000*DX31*AU31*(DT31-DU31)/(100*DL31*(1000-AU31*DT31))</f>
        <v>0</v>
      </c>
      <c r="AI31">
        <f>(AJ31 - AK31 - DY31*1E3/(8.314*(EA31+273.15)) * AM31/DX31 * AL31) * DX31/(100*DL31) * (1000 - DU31)/1000</f>
        <v>0</v>
      </c>
      <c r="AJ31">
        <v>425.058079250774</v>
      </c>
      <c r="AK31">
        <v>425.339854545455</v>
      </c>
      <c r="AL31">
        <v>0.00326238229024064</v>
      </c>
      <c r="AM31">
        <v>62.9782741434614</v>
      </c>
      <c r="AN31">
        <f>(AP31 - AO31 + DY31*1E3/(8.314*(EA31+273.15)) * AR31/DX31 * AQ31) * DX31/(100*DL31) * 1000/(1000 - AP31)</f>
        <v>0</v>
      </c>
      <c r="AO31">
        <v>11.8702813381947</v>
      </c>
      <c r="AP31">
        <v>12.2577450549451</v>
      </c>
      <c r="AQ31">
        <v>-4.21875814535538e-06</v>
      </c>
      <c r="AR31">
        <v>123.269467425455</v>
      </c>
      <c r="AS31">
        <v>2</v>
      </c>
      <c r="AT31">
        <v>0</v>
      </c>
      <c r="AU31">
        <f>IF(AS31*$H$13&gt;=AW31,1.0,(AW31/(AW31-AS31*$H$13)))</f>
        <v>0</v>
      </c>
      <c r="AV31">
        <f>(AU31-1)*100</f>
        <v>0</v>
      </c>
      <c r="AW31">
        <f>MAX(0,($B$13+$C$13*EF31)/(1+$D$13*EF31)*DY31/(EA31+273)*$E$13)</f>
        <v>0</v>
      </c>
      <c r="AX31" t="s">
        <v>490</v>
      </c>
      <c r="AY31">
        <v>5133.44</v>
      </c>
      <c r="AZ31">
        <v>709.915384615385</v>
      </c>
      <c r="BA31">
        <v>2606.13</v>
      </c>
      <c r="BB31">
        <f>1-AZ31/BA31</f>
        <v>0</v>
      </c>
      <c r="BC31">
        <v>-0.54338046432435</v>
      </c>
      <c r="BD31" t="s">
        <v>438</v>
      </c>
      <c r="BE31" t="s">
        <v>438</v>
      </c>
      <c r="BF31">
        <v>0</v>
      </c>
      <c r="BG31">
        <v>0</v>
      </c>
      <c r="BH31">
        <f>1-BF31/BG31</f>
        <v>0</v>
      </c>
      <c r="BI31">
        <v>0.5</v>
      </c>
      <c r="BJ31">
        <f>DI31</f>
        <v>0</v>
      </c>
      <c r="BK31">
        <f>L31</f>
        <v>0</v>
      </c>
      <c r="BL31">
        <f>BH31*BI31*BJ31</f>
        <v>0</v>
      </c>
      <c r="BM31">
        <f>(BK31-BC31)/BJ31</f>
        <v>0</v>
      </c>
      <c r="BN31">
        <f>(BA31-BG31)/BG31</f>
        <v>0</v>
      </c>
      <c r="BO31">
        <f>AZ31/(BB31+AZ31/BG31)</f>
        <v>0</v>
      </c>
      <c r="BP31" t="s">
        <v>438</v>
      </c>
      <c r="BQ31">
        <v>0</v>
      </c>
      <c r="BR31">
        <f>IF(BQ31&lt;&gt;0, BQ31, BO31)</f>
        <v>0</v>
      </c>
      <c r="BS31">
        <f>1-BR31/BG31</f>
        <v>0</v>
      </c>
      <c r="BT31">
        <f>(BG31-BF31)/(BG31-BR31)</f>
        <v>0</v>
      </c>
      <c r="BU31">
        <f>(BA31-BG31)/(BA31-BR31)</f>
        <v>0</v>
      </c>
      <c r="BV31">
        <f>(BG31-BF31)/(BG31-AZ31)</f>
        <v>0</v>
      </c>
      <c r="BW31">
        <f>(BA31-BG31)/(BA31-AZ31)</f>
        <v>0</v>
      </c>
      <c r="BX31">
        <f>(BT31*BR31/BF31)</f>
        <v>0</v>
      </c>
      <c r="BY31">
        <f>(1-BX31)</f>
        <v>0</v>
      </c>
      <c r="DH31">
        <f>$B$11*EG31+$C$11*EH31+$F$11*ES31*(1-EV31)</f>
        <v>0</v>
      </c>
      <c r="DI31">
        <f>DH31*DJ31</f>
        <v>0</v>
      </c>
      <c r="DJ31">
        <f>($B$11*$D$9+$C$11*$D$9+$F$11*((FF31+EX31)/MAX(FF31+EX31+FG31, 0.1)*$I$9+FG31/MAX(FF31+EX31+FG31, 0.1)*$J$9))/($B$11+$C$11+$F$11)</f>
        <v>0</v>
      </c>
      <c r="DK31">
        <f>($B$11*$K$9+$C$11*$K$9+$F$11*((FF31+EX31)/MAX(FF31+EX31+FG31, 0.1)*$P$9+FG31/MAX(FF31+EX31+FG31, 0.1)*$Q$9))/($B$11+$C$11+$F$11)</f>
        <v>0</v>
      </c>
      <c r="DL31">
        <v>2.7</v>
      </c>
      <c r="DM31">
        <v>0.5</v>
      </c>
      <c r="DN31" t="s">
        <v>439</v>
      </c>
      <c r="DO31">
        <v>2</v>
      </c>
      <c r="DP31" t="b">
        <v>1</v>
      </c>
      <c r="DQ31">
        <v>1760739106.5</v>
      </c>
      <c r="DR31">
        <v>420.107375</v>
      </c>
      <c r="DS31">
        <v>420.0090625</v>
      </c>
      <c r="DT31">
        <v>12.2626375</v>
      </c>
      <c r="DU31">
        <v>11.8716375</v>
      </c>
      <c r="DV31">
        <v>415.2574375</v>
      </c>
      <c r="DW31">
        <v>12.25434375</v>
      </c>
      <c r="DX31">
        <v>500.0290625</v>
      </c>
      <c r="DY31">
        <v>89.5749125</v>
      </c>
      <c r="DZ31">
        <v>0.024779625</v>
      </c>
      <c r="EA31">
        <v>18.90149375</v>
      </c>
      <c r="EB31">
        <v>17.99734375</v>
      </c>
      <c r="EC31">
        <v>999.9</v>
      </c>
      <c r="ED31">
        <v>0</v>
      </c>
      <c r="EE31">
        <v>0</v>
      </c>
      <c r="EF31">
        <v>10001.25125</v>
      </c>
      <c r="EG31">
        <v>0</v>
      </c>
      <c r="EH31">
        <v>0.222567</v>
      </c>
      <c r="EI31">
        <v>0.09826085625</v>
      </c>
      <c r="EJ31">
        <v>425.323</v>
      </c>
      <c r="EK31">
        <v>425.0550625</v>
      </c>
      <c r="EL31">
        <v>0.390996</v>
      </c>
      <c r="EM31">
        <v>420.0090625</v>
      </c>
      <c r="EN31">
        <v>11.8716375</v>
      </c>
      <c r="EO31">
        <v>1.098424375</v>
      </c>
      <c r="EP31">
        <v>1.063403125</v>
      </c>
      <c r="EQ31">
        <v>8.2917475</v>
      </c>
      <c r="ER31">
        <v>7.81527625</v>
      </c>
      <c r="ES31">
        <v>0.00500016</v>
      </c>
      <c r="ET31">
        <v>0</v>
      </c>
      <c r="EU31">
        <v>0</v>
      </c>
      <c r="EV31">
        <v>0</v>
      </c>
      <c r="EW31">
        <v>710.00625</v>
      </c>
      <c r="EX31">
        <v>0.00500016</v>
      </c>
      <c r="EY31">
        <v>-38.3125</v>
      </c>
      <c r="EZ31">
        <v>-3.00625</v>
      </c>
      <c r="FA31">
        <v>33.753875</v>
      </c>
      <c r="FB31">
        <v>38.312</v>
      </c>
      <c r="FC31">
        <v>36.2965</v>
      </c>
      <c r="FD31">
        <v>38.7185</v>
      </c>
      <c r="FE31">
        <v>36.562</v>
      </c>
      <c r="FF31">
        <v>0</v>
      </c>
      <c r="FG31">
        <v>0</v>
      </c>
      <c r="FH31">
        <v>0</v>
      </c>
      <c r="FI31">
        <v>267.899999856949</v>
      </c>
      <c r="FJ31">
        <v>0</v>
      </c>
      <c r="FK31">
        <v>709.915384615385</v>
      </c>
      <c r="FL31">
        <v>-21.2102563416224</v>
      </c>
      <c r="FM31">
        <v>-4.76581195214313</v>
      </c>
      <c r="FN31">
        <v>-38.9923076923077</v>
      </c>
      <c r="FO31">
        <v>15</v>
      </c>
      <c r="FP31">
        <v>0</v>
      </c>
      <c r="FQ31" t="s">
        <v>440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0.0849492909523809</v>
      </c>
      <c r="GD31">
        <v>0.0630645225974028</v>
      </c>
      <c r="GE31">
        <v>0.0399347310040547</v>
      </c>
      <c r="GF31">
        <v>1</v>
      </c>
      <c r="GG31">
        <v>711.6</v>
      </c>
      <c r="GH31">
        <v>-17.2039725782816</v>
      </c>
      <c r="GI31">
        <v>3.96276789779124</v>
      </c>
      <c r="GJ31">
        <v>-1</v>
      </c>
      <c r="GK31">
        <v>0.390686333333333</v>
      </c>
      <c r="GL31">
        <v>0.00510600000000014</v>
      </c>
      <c r="GM31">
        <v>0.000934570047991686</v>
      </c>
      <c r="GN31">
        <v>1</v>
      </c>
      <c r="GO31">
        <v>2</v>
      </c>
      <c r="GP31">
        <v>2</v>
      </c>
      <c r="GQ31" t="s">
        <v>441</v>
      </c>
      <c r="GR31">
        <v>3.12382</v>
      </c>
      <c r="GS31">
        <v>2.64998</v>
      </c>
      <c r="GT31">
        <v>0.089473</v>
      </c>
      <c r="GU31">
        <v>0.0901803</v>
      </c>
      <c r="GV31">
        <v>0.0627303</v>
      </c>
      <c r="GW31">
        <v>0.0611327</v>
      </c>
      <c r="GX31">
        <v>24157.4</v>
      </c>
      <c r="GY31">
        <v>22435.3</v>
      </c>
      <c r="GZ31">
        <v>23702.9</v>
      </c>
      <c r="HA31">
        <v>23985.4</v>
      </c>
      <c r="HB31">
        <v>37793.4</v>
      </c>
      <c r="HC31">
        <v>37227.5</v>
      </c>
      <c r="HD31">
        <v>42641.1</v>
      </c>
      <c r="HE31">
        <v>42707.2</v>
      </c>
      <c r="HF31">
        <v>1.9698</v>
      </c>
      <c r="HG31">
        <v>1.85835</v>
      </c>
      <c r="HH31">
        <v>0.00516325</v>
      </c>
      <c r="HI31">
        <v>0</v>
      </c>
      <c r="HJ31">
        <v>17.9057</v>
      </c>
      <c r="HK31">
        <v>999.9</v>
      </c>
      <c r="HL31">
        <v>29.966</v>
      </c>
      <c r="HM31">
        <v>30.313</v>
      </c>
      <c r="HN31">
        <v>14.5112</v>
      </c>
      <c r="HO31">
        <v>54.1391</v>
      </c>
      <c r="HP31">
        <v>45.5569</v>
      </c>
      <c r="HQ31">
        <v>1</v>
      </c>
      <c r="HR31">
        <v>-0.391735</v>
      </c>
      <c r="HS31">
        <v>2.06693</v>
      </c>
      <c r="HT31">
        <v>20.2266</v>
      </c>
      <c r="HU31">
        <v>5.23421</v>
      </c>
      <c r="HV31">
        <v>11.992</v>
      </c>
      <c r="HW31">
        <v>4.9575</v>
      </c>
      <c r="HX31">
        <v>3.30398</v>
      </c>
      <c r="HY31">
        <v>9999</v>
      </c>
      <c r="HZ31">
        <v>9999</v>
      </c>
      <c r="IA31">
        <v>999.9</v>
      </c>
      <c r="IB31">
        <v>9999</v>
      </c>
      <c r="IC31">
        <v>1.86865</v>
      </c>
      <c r="ID31">
        <v>1.8644</v>
      </c>
      <c r="IE31">
        <v>1.87195</v>
      </c>
      <c r="IF31">
        <v>1.86295</v>
      </c>
      <c r="IG31">
        <v>1.86234</v>
      </c>
      <c r="IH31">
        <v>1.86874</v>
      </c>
      <c r="II31">
        <v>1.85892</v>
      </c>
      <c r="IJ31">
        <v>1.86524</v>
      </c>
      <c r="IK31">
        <v>5</v>
      </c>
      <c r="IL31">
        <v>0</v>
      </c>
      <c r="IM31">
        <v>0</v>
      </c>
      <c r="IN31">
        <v>0</v>
      </c>
      <c r="IO31" t="s">
        <v>442</v>
      </c>
      <c r="IP31" t="s">
        <v>443</v>
      </c>
      <c r="IQ31" t="s">
        <v>444</v>
      </c>
      <c r="IR31" t="s">
        <v>444</v>
      </c>
      <c r="IS31" t="s">
        <v>444</v>
      </c>
      <c r="IT31" t="s">
        <v>444</v>
      </c>
      <c r="IU31">
        <v>0</v>
      </c>
      <c r="IV31">
        <v>100</v>
      </c>
      <c r="IW31">
        <v>100</v>
      </c>
      <c r="IX31">
        <v>4.85</v>
      </c>
      <c r="IY31">
        <v>0.0083</v>
      </c>
      <c r="IZ31">
        <v>3.68741672054385</v>
      </c>
      <c r="JA31">
        <v>0.00363161861672774</v>
      </c>
      <c r="JB31">
        <v>-2.24629326344171e-06</v>
      </c>
      <c r="JC31">
        <v>5.83607846756539e-10</v>
      </c>
      <c r="JD31">
        <v>-0.00675825458998367</v>
      </c>
      <c r="JE31">
        <v>-0.0132323152736503</v>
      </c>
      <c r="JF31">
        <v>0.00138354380881741</v>
      </c>
      <c r="JG31">
        <v>-1.65967022527567e-05</v>
      </c>
      <c r="JH31">
        <v>1</v>
      </c>
      <c r="JI31">
        <v>2181</v>
      </c>
      <c r="JJ31">
        <v>1</v>
      </c>
      <c r="JK31">
        <v>23</v>
      </c>
      <c r="JL31">
        <v>29345651.9</v>
      </c>
      <c r="JM31">
        <v>29345651.9</v>
      </c>
      <c r="JN31">
        <v>1.04492</v>
      </c>
      <c r="JO31">
        <v>2.37549</v>
      </c>
      <c r="JP31">
        <v>1.49902</v>
      </c>
      <c r="JQ31">
        <v>2.33032</v>
      </c>
      <c r="JR31">
        <v>1.54419</v>
      </c>
      <c r="JS31">
        <v>2.24854</v>
      </c>
      <c r="JT31">
        <v>35.5683</v>
      </c>
      <c r="JU31">
        <v>24.2976</v>
      </c>
      <c r="JV31">
        <v>18</v>
      </c>
      <c r="JW31">
        <v>536.89</v>
      </c>
      <c r="JX31">
        <v>412.886</v>
      </c>
      <c r="JY31">
        <v>15.3831</v>
      </c>
      <c r="JZ31">
        <v>22.3103</v>
      </c>
      <c r="KA31">
        <v>30</v>
      </c>
      <c r="KB31">
        <v>22.3033</v>
      </c>
      <c r="KC31">
        <v>22.3306</v>
      </c>
      <c r="KD31">
        <v>20.9599</v>
      </c>
      <c r="KE31">
        <v>21.1932</v>
      </c>
      <c r="KF31">
        <v>14.9937</v>
      </c>
      <c r="KG31">
        <v>15.3785</v>
      </c>
      <c r="KH31">
        <v>420</v>
      </c>
      <c r="KI31">
        <v>11.8649</v>
      </c>
      <c r="KJ31">
        <v>95.6428</v>
      </c>
      <c r="KK31">
        <v>99.5871</v>
      </c>
    </row>
    <row r="32" spans="1:297">
      <c r="A32">
        <v>16</v>
      </c>
      <c r="B32">
        <v>1760739496</v>
      </c>
      <c r="C32">
        <v>3842</v>
      </c>
      <c r="D32" t="s">
        <v>491</v>
      </c>
      <c r="E32" t="s">
        <v>492</v>
      </c>
      <c r="F32">
        <v>5</v>
      </c>
      <c r="G32" t="s">
        <v>493</v>
      </c>
      <c r="H32" t="s">
        <v>436</v>
      </c>
      <c r="I32">
        <v>1760739487.5</v>
      </c>
      <c r="J32">
        <f>(K32)/1000</f>
        <v>0</v>
      </c>
      <c r="K32">
        <f>IF(DP32, AN32, AH32)</f>
        <v>0</v>
      </c>
      <c r="L32">
        <f>IF(DP32, AI32, AG32)</f>
        <v>0</v>
      </c>
      <c r="M32">
        <f>DR32 - IF(AU32&gt;1, L32*DL32*100.0/(AW32), 0)</f>
        <v>0</v>
      </c>
      <c r="N32">
        <f>((T32-J32/2)*M32-L32)/(T32+J32/2)</f>
        <v>0</v>
      </c>
      <c r="O32">
        <f>N32*(DY32+DZ32)/1000.0</f>
        <v>0</v>
      </c>
      <c r="P32">
        <f>(DR32 - IF(AU32&gt;1, L32*DL32*100.0/(AW32), 0))*(DY32+DZ32)/1000.0</f>
        <v>0</v>
      </c>
      <c r="Q32">
        <f>2.0/((1/S32-1/R32)+SIGN(S32)*SQRT((1/S32-1/R32)*(1/S32-1/R32) + 4*DM32/((DM32+1)*(DM32+1))*(2*1/S32*1/R32-1/R32*1/R32)))</f>
        <v>0</v>
      </c>
      <c r="R32">
        <f>IF(LEFT(DN32,1)&lt;&gt;"0",IF(LEFT(DN32,1)="1",3.0,DO32),$D$5+$E$5*(EF32*DY32/($K$5*1000))+$F$5*(EF32*DY32/($K$5*1000))*MAX(MIN(DL32,$J$5),$I$5)*MAX(MIN(DL32,$J$5),$I$5)+$G$5*MAX(MIN(DL32,$J$5),$I$5)*(EF32*DY32/($K$5*1000))+$H$5*(EF32*DY32/($K$5*1000))*(EF32*DY32/($K$5*1000)))</f>
        <v>0</v>
      </c>
      <c r="S32">
        <f>J32*(1000-(1000*0.61365*exp(17.502*W32/(240.97+W32))/(DY32+DZ32)+DT32)/2)/(1000*0.61365*exp(17.502*W32/(240.97+W32))/(DY32+DZ32)-DT32)</f>
        <v>0</v>
      </c>
      <c r="T32">
        <f>1/((DM32+1)/(Q32/1.6)+1/(R32/1.37)) + DM32/((DM32+1)/(Q32/1.6) + DM32/(R32/1.37))</f>
        <v>0</v>
      </c>
      <c r="U32">
        <f>(DH32*DK32)</f>
        <v>0</v>
      </c>
      <c r="V32">
        <f>(EA32+(U32+2*0.95*5.67E-8*(((EA32+$B$7)+273)^4-(EA32+273)^4)-44100*J32)/(1.84*29.3*R32+8*0.95*5.67E-8*(EA32+273)^3))</f>
        <v>0</v>
      </c>
      <c r="W32">
        <f>($C$7*EB32+$D$7*EC32+$E$7*V32)</f>
        <v>0</v>
      </c>
      <c r="X32">
        <f>0.61365*exp(17.502*W32/(240.97+W32))</f>
        <v>0</v>
      </c>
      <c r="Y32">
        <f>(Z32/AA32*100)</f>
        <v>0</v>
      </c>
      <c r="Z32">
        <f>DT32*(DY32+DZ32)/1000</f>
        <v>0</v>
      </c>
      <c r="AA32">
        <f>0.61365*exp(17.502*EA32/(240.97+EA32))</f>
        <v>0</v>
      </c>
      <c r="AB32">
        <f>(X32-DT32*(DY32+DZ32)/1000)</f>
        <v>0</v>
      </c>
      <c r="AC32">
        <f>(-J32*44100)</f>
        <v>0</v>
      </c>
      <c r="AD32">
        <f>2*29.3*R32*0.92*(EA32-W32)</f>
        <v>0</v>
      </c>
      <c r="AE32">
        <f>2*0.95*5.67E-8*(((EA32+$B$7)+273)^4-(W32+273)^4)</f>
        <v>0</v>
      </c>
      <c r="AF32">
        <f>U32+AE32+AC32+AD32</f>
        <v>0</v>
      </c>
      <c r="AG32">
        <f>DX32*AU32*(DS32-DR32*(1000-AU32*DU32)/(1000-AU32*DT32))/(100*DL32)</f>
        <v>0</v>
      </c>
      <c r="AH32">
        <f>1000*DX32*AU32*(DT32-DU32)/(100*DL32*(1000-AU32*DT32))</f>
        <v>0</v>
      </c>
      <c r="AI32">
        <f>(AJ32 - AK32 - DY32*1E3/(8.314*(EA32+273.15)) * AM32/DX32 * AL32) * DX32/(100*DL32) * (1000 - DU32)/1000</f>
        <v>0</v>
      </c>
      <c r="AJ32">
        <v>425.145857266258</v>
      </c>
      <c r="AK32">
        <v>425.4342</v>
      </c>
      <c r="AL32">
        <v>0.0236977356059874</v>
      </c>
      <c r="AM32">
        <v>62.9782741434614</v>
      </c>
      <c r="AN32">
        <f>(AP32 - AO32 + DY32*1E3/(8.314*(EA32+273.15)) * AR32/DX32 * AQ32) * DX32/(100*DL32) * 1000/(1000 - AP32)</f>
        <v>0</v>
      </c>
      <c r="AO32">
        <v>12.002497269703</v>
      </c>
      <c r="AP32">
        <v>12.4083131868132</v>
      </c>
      <c r="AQ32">
        <v>-1.21075019483425e-05</v>
      </c>
      <c r="AR32">
        <v>123.269467425455</v>
      </c>
      <c r="AS32">
        <v>2</v>
      </c>
      <c r="AT32">
        <v>0</v>
      </c>
      <c r="AU32">
        <f>IF(AS32*$H$13&gt;=AW32,1.0,(AW32/(AW32-AS32*$H$13)))</f>
        <v>0</v>
      </c>
      <c r="AV32">
        <f>(AU32-1)*100</f>
        <v>0</v>
      </c>
      <c r="AW32">
        <f>MAX(0,($B$13+$C$13*EF32)/(1+$D$13*EF32)*DY32/(EA32+273)*$E$13)</f>
        <v>0</v>
      </c>
      <c r="AX32" t="s">
        <v>494</v>
      </c>
      <c r="AY32">
        <v>5140.46</v>
      </c>
      <c r="AZ32">
        <v>687.9</v>
      </c>
      <c r="BA32">
        <v>2981.78</v>
      </c>
      <c r="BB32">
        <f>1-AZ32/BA32</f>
        <v>0</v>
      </c>
      <c r="BC32">
        <v>-0.728899099985077</v>
      </c>
      <c r="BD32" t="s">
        <v>438</v>
      </c>
      <c r="BE32" t="s">
        <v>438</v>
      </c>
      <c r="BF32">
        <v>0</v>
      </c>
      <c r="BG32">
        <v>0</v>
      </c>
      <c r="BH32">
        <f>1-BF32/BG32</f>
        <v>0</v>
      </c>
      <c r="BI32">
        <v>0.5</v>
      </c>
      <c r="BJ32">
        <f>DI32</f>
        <v>0</v>
      </c>
      <c r="BK32">
        <f>L32</f>
        <v>0</v>
      </c>
      <c r="BL32">
        <f>BH32*BI32*BJ32</f>
        <v>0</v>
      </c>
      <c r="BM32">
        <f>(BK32-BC32)/BJ32</f>
        <v>0</v>
      </c>
      <c r="BN32">
        <f>(BA32-BG32)/BG32</f>
        <v>0</v>
      </c>
      <c r="BO32">
        <f>AZ32/(BB32+AZ32/BG32)</f>
        <v>0</v>
      </c>
      <c r="BP32" t="s">
        <v>438</v>
      </c>
      <c r="BQ32">
        <v>0</v>
      </c>
      <c r="BR32">
        <f>IF(BQ32&lt;&gt;0, BQ32, BO32)</f>
        <v>0</v>
      </c>
      <c r="BS32">
        <f>1-BR32/BG32</f>
        <v>0</v>
      </c>
      <c r="BT32">
        <f>(BG32-BF32)/(BG32-BR32)</f>
        <v>0</v>
      </c>
      <c r="BU32">
        <f>(BA32-BG32)/(BA32-BR32)</f>
        <v>0</v>
      </c>
      <c r="BV32">
        <f>(BG32-BF32)/(BG32-AZ32)</f>
        <v>0</v>
      </c>
      <c r="BW32">
        <f>(BA32-BG32)/(BA32-AZ32)</f>
        <v>0</v>
      </c>
      <c r="BX32">
        <f>(BT32*BR32/BF32)</f>
        <v>0</v>
      </c>
      <c r="BY32">
        <f>(1-BX32)</f>
        <v>0</v>
      </c>
      <c r="DH32">
        <f>$B$11*EG32+$C$11*EH32+$F$11*ES32*(1-EV32)</f>
        <v>0</v>
      </c>
      <c r="DI32">
        <f>DH32*DJ32</f>
        <v>0</v>
      </c>
      <c r="DJ32">
        <f>($B$11*$D$9+$C$11*$D$9+$F$11*((FF32+EX32)/MAX(FF32+EX32+FG32, 0.1)*$I$9+FG32/MAX(FF32+EX32+FG32, 0.1)*$J$9))/($B$11+$C$11+$F$11)</f>
        <v>0</v>
      </c>
      <c r="DK32">
        <f>($B$11*$K$9+$C$11*$K$9+$F$11*((FF32+EX32)/MAX(FF32+EX32+FG32, 0.1)*$P$9+FG32/MAX(FF32+EX32+FG32, 0.1)*$Q$9))/($B$11+$C$11+$F$11)</f>
        <v>0</v>
      </c>
      <c r="DL32">
        <v>2.7</v>
      </c>
      <c r="DM32">
        <v>0.5</v>
      </c>
      <c r="DN32" t="s">
        <v>439</v>
      </c>
      <c r="DO32">
        <v>2</v>
      </c>
      <c r="DP32" t="b">
        <v>1</v>
      </c>
      <c r="DQ32">
        <v>1760739487.5</v>
      </c>
      <c r="DR32">
        <v>420.0983125</v>
      </c>
      <c r="DS32">
        <v>420.003625</v>
      </c>
      <c r="DT32">
        <v>12.41085625</v>
      </c>
      <c r="DU32">
        <v>12.0069875</v>
      </c>
      <c r="DV32">
        <v>415.2483125</v>
      </c>
      <c r="DW32">
        <v>12.4006</v>
      </c>
      <c r="DX32">
        <v>500.001875</v>
      </c>
      <c r="DY32">
        <v>89.57915</v>
      </c>
      <c r="DZ32">
        <v>0.02435748125</v>
      </c>
      <c r="EA32">
        <v>19.0993875</v>
      </c>
      <c r="EB32">
        <v>17.9970875</v>
      </c>
      <c r="EC32">
        <v>999.9</v>
      </c>
      <c r="ED32">
        <v>0</v>
      </c>
      <c r="EE32">
        <v>0</v>
      </c>
      <c r="EF32">
        <v>10002.61125</v>
      </c>
      <c r="EG32">
        <v>0</v>
      </c>
      <c r="EH32">
        <v>0.222567</v>
      </c>
      <c r="EI32">
        <v>0.09470954</v>
      </c>
      <c r="EJ32">
        <v>425.377625</v>
      </c>
      <c r="EK32">
        <v>425.1079375</v>
      </c>
      <c r="EL32">
        <v>0.40386925</v>
      </c>
      <c r="EM32">
        <v>420.003625</v>
      </c>
      <c r="EN32">
        <v>12.0069875</v>
      </c>
      <c r="EO32">
        <v>1.111753125</v>
      </c>
      <c r="EP32">
        <v>1.075576875</v>
      </c>
      <c r="EQ32">
        <v>8.46956125</v>
      </c>
      <c r="ER32">
        <v>7.98244</v>
      </c>
      <c r="ES32">
        <v>0.00500016</v>
      </c>
      <c r="ET32">
        <v>0</v>
      </c>
      <c r="EU32">
        <v>0</v>
      </c>
      <c r="EV32">
        <v>0</v>
      </c>
      <c r="EW32">
        <v>688</v>
      </c>
      <c r="EX32">
        <v>0.00500016</v>
      </c>
      <c r="EY32">
        <v>-42.675</v>
      </c>
      <c r="EZ32">
        <v>-3.16875</v>
      </c>
      <c r="FA32">
        <v>33.75</v>
      </c>
      <c r="FB32">
        <v>38.25</v>
      </c>
      <c r="FC32">
        <v>36.2303125</v>
      </c>
      <c r="FD32">
        <v>38.625</v>
      </c>
      <c r="FE32">
        <v>36.50775</v>
      </c>
      <c r="FF32">
        <v>0</v>
      </c>
      <c r="FG32">
        <v>0</v>
      </c>
      <c r="FH32">
        <v>0</v>
      </c>
      <c r="FI32">
        <v>379.599999904633</v>
      </c>
      <c r="FJ32">
        <v>0</v>
      </c>
      <c r="FK32">
        <v>687.9</v>
      </c>
      <c r="FL32">
        <v>-12.6461533786272</v>
      </c>
      <c r="FM32">
        <v>9.43846172686868</v>
      </c>
      <c r="FN32">
        <v>-43</v>
      </c>
      <c r="FO32">
        <v>15</v>
      </c>
      <c r="FP32">
        <v>0</v>
      </c>
      <c r="FQ32" t="s">
        <v>440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0.100320542</v>
      </c>
      <c r="GD32">
        <v>-0.239997675789474</v>
      </c>
      <c r="GE32">
        <v>0.0534174027072706</v>
      </c>
      <c r="GF32">
        <v>1</v>
      </c>
      <c r="GG32">
        <v>686.970588235294</v>
      </c>
      <c r="GH32">
        <v>4.06111554892678</v>
      </c>
      <c r="GI32">
        <v>5.38705034491837</v>
      </c>
      <c r="GJ32">
        <v>-1</v>
      </c>
      <c r="GK32">
        <v>0.3991863</v>
      </c>
      <c r="GL32">
        <v>0.075461954887218</v>
      </c>
      <c r="GM32">
        <v>0.00839136350124341</v>
      </c>
      <c r="GN32">
        <v>1</v>
      </c>
      <c r="GO32">
        <v>2</v>
      </c>
      <c r="GP32">
        <v>2</v>
      </c>
      <c r="GQ32" t="s">
        <v>441</v>
      </c>
      <c r="GR32">
        <v>3.12395</v>
      </c>
      <c r="GS32">
        <v>2.65023</v>
      </c>
      <c r="GT32">
        <v>0.0894816</v>
      </c>
      <c r="GU32">
        <v>0.0901973</v>
      </c>
      <c r="GV32">
        <v>0.0633451</v>
      </c>
      <c r="GW32">
        <v>0.061665</v>
      </c>
      <c r="GX32">
        <v>24154.1</v>
      </c>
      <c r="GY32">
        <v>22439</v>
      </c>
      <c r="GZ32">
        <v>23699.7</v>
      </c>
      <c r="HA32">
        <v>23989.6</v>
      </c>
      <c r="HB32">
        <v>37763.5</v>
      </c>
      <c r="HC32">
        <v>37212.6</v>
      </c>
      <c r="HD32">
        <v>42635.5</v>
      </c>
      <c r="HE32">
        <v>42714.4</v>
      </c>
      <c r="HF32">
        <v>1.97053</v>
      </c>
      <c r="HG32">
        <v>1.86003</v>
      </c>
      <c r="HH32">
        <v>0.000163913</v>
      </c>
      <c r="HI32">
        <v>0</v>
      </c>
      <c r="HJ32">
        <v>17.983</v>
      </c>
      <c r="HK32">
        <v>999.9</v>
      </c>
      <c r="HL32">
        <v>30.216</v>
      </c>
      <c r="HM32">
        <v>30.323</v>
      </c>
      <c r="HN32">
        <v>14.6407</v>
      </c>
      <c r="HO32">
        <v>54.4391</v>
      </c>
      <c r="HP32">
        <v>45.4207</v>
      </c>
      <c r="HQ32">
        <v>1</v>
      </c>
      <c r="HR32">
        <v>-0.397678</v>
      </c>
      <c r="HS32">
        <v>0.877002</v>
      </c>
      <c r="HT32">
        <v>20.2375</v>
      </c>
      <c r="HU32">
        <v>5.2384</v>
      </c>
      <c r="HV32">
        <v>11.992</v>
      </c>
      <c r="HW32">
        <v>4.9579</v>
      </c>
      <c r="HX32">
        <v>3.304</v>
      </c>
      <c r="HY32">
        <v>9999</v>
      </c>
      <c r="HZ32">
        <v>9999</v>
      </c>
      <c r="IA32">
        <v>999.9</v>
      </c>
      <c r="IB32">
        <v>9999</v>
      </c>
      <c r="IC32">
        <v>1.86871</v>
      </c>
      <c r="ID32">
        <v>1.86444</v>
      </c>
      <c r="IE32">
        <v>1.87195</v>
      </c>
      <c r="IF32">
        <v>1.86295</v>
      </c>
      <c r="IG32">
        <v>1.86234</v>
      </c>
      <c r="IH32">
        <v>1.86874</v>
      </c>
      <c r="II32">
        <v>1.85895</v>
      </c>
      <c r="IJ32">
        <v>1.86527</v>
      </c>
      <c r="IK32">
        <v>5</v>
      </c>
      <c r="IL32">
        <v>0</v>
      </c>
      <c r="IM32">
        <v>0</v>
      </c>
      <c r="IN32">
        <v>0</v>
      </c>
      <c r="IO32" t="s">
        <v>442</v>
      </c>
      <c r="IP32" t="s">
        <v>443</v>
      </c>
      <c r="IQ32" t="s">
        <v>444</v>
      </c>
      <c r="IR32" t="s">
        <v>444</v>
      </c>
      <c r="IS32" t="s">
        <v>444</v>
      </c>
      <c r="IT32" t="s">
        <v>444</v>
      </c>
      <c r="IU32">
        <v>0</v>
      </c>
      <c r="IV32">
        <v>100</v>
      </c>
      <c r="IW32">
        <v>100</v>
      </c>
      <c r="IX32">
        <v>4.85</v>
      </c>
      <c r="IY32">
        <v>0.0103</v>
      </c>
      <c r="IZ32">
        <v>3.68741672054385</v>
      </c>
      <c r="JA32">
        <v>0.00363161861672774</v>
      </c>
      <c r="JB32">
        <v>-2.24629326344171e-06</v>
      </c>
      <c r="JC32">
        <v>5.83607846756539e-10</v>
      </c>
      <c r="JD32">
        <v>-0.00675825458998367</v>
      </c>
      <c r="JE32">
        <v>-0.0132323152736503</v>
      </c>
      <c r="JF32">
        <v>0.00138354380881741</v>
      </c>
      <c r="JG32">
        <v>-1.65967022527567e-05</v>
      </c>
      <c r="JH32">
        <v>1</v>
      </c>
      <c r="JI32">
        <v>2181</v>
      </c>
      <c r="JJ32">
        <v>1</v>
      </c>
      <c r="JK32">
        <v>23</v>
      </c>
      <c r="JL32">
        <v>29345658.3</v>
      </c>
      <c r="JM32">
        <v>29345658.3</v>
      </c>
      <c r="JN32">
        <v>1.04492</v>
      </c>
      <c r="JO32">
        <v>2.36816</v>
      </c>
      <c r="JP32">
        <v>1.4978</v>
      </c>
      <c r="JQ32">
        <v>2.33032</v>
      </c>
      <c r="JR32">
        <v>1.54419</v>
      </c>
      <c r="JS32">
        <v>2.38647</v>
      </c>
      <c r="JT32">
        <v>35.4986</v>
      </c>
      <c r="JU32">
        <v>24.3064</v>
      </c>
      <c r="JV32">
        <v>18</v>
      </c>
      <c r="JW32">
        <v>537.084</v>
      </c>
      <c r="JX32">
        <v>413.607</v>
      </c>
      <c r="JY32">
        <v>15.8247</v>
      </c>
      <c r="JZ32">
        <v>22.2727</v>
      </c>
      <c r="KA32">
        <v>29.9986</v>
      </c>
      <c r="KB32">
        <v>22.2761</v>
      </c>
      <c r="KC32">
        <v>22.3048</v>
      </c>
      <c r="KD32">
        <v>20.967</v>
      </c>
      <c r="KE32">
        <v>22.0157</v>
      </c>
      <c r="KF32">
        <v>17.7581</v>
      </c>
      <c r="KG32">
        <v>15.8735</v>
      </c>
      <c r="KH32">
        <v>420</v>
      </c>
      <c r="KI32">
        <v>11.9663</v>
      </c>
      <c r="KJ32">
        <v>95.6302</v>
      </c>
      <c r="KK32">
        <v>99.6039</v>
      </c>
    </row>
    <row r="33" spans="1:297">
      <c r="A33">
        <v>17</v>
      </c>
      <c r="B33">
        <v>1760739648</v>
      </c>
      <c r="C33">
        <v>3994</v>
      </c>
      <c r="D33" t="s">
        <v>495</v>
      </c>
      <c r="E33" t="s">
        <v>496</v>
      </c>
      <c r="F33">
        <v>5</v>
      </c>
      <c r="G33" t="s">
        <v>493</v>
      </c>
      <c r="H33" t="s">
        <v>436</v>
      </c>
      <c r="I33">
        <v>1760739640</v>
      </c>
      <c r="J33">
        <f>(K33)/1000</f>
        <v>0</v>
      </c>
      <c r="K33">
        <f>IF(DP33, AN33, AH33)</f>
        <v>0</v>
      </c>
      <c r="L33">
        <f>IF(DP33, AI33, AG33)</f>
        <v>0</v>
      </c>
      <c r="M33">
        <f>DR33 - IF(AU33&gt;1, L33*DL33*100.0/(AW33), 0)</f>
        <v>0</v>
      </c>
      <c r="N33">
        <f>((T33-J33/2)*M33-L33)/(T33+J33/2)</f>
        <v>0</v>
      </c>
      <c r="O33">
        <f>N33*(DY33+DZ33)/1000.0</f>
        <v>0</v>
      </c>
      <c r="P33">
        <f>(DR33 - IF(AU33&gt;1, L33*DL33*100.0/(AW33), 0))*(DY33+DZ33)/1000.0</f>
        <v>0</v>
      </c>
      <c r="Q33">
        <f>2.0/((1/S33-1/R33)+SIGN(S33)*SQRT((1/S33-1/R33)*(1/S33-1/R33) + 4*DM33/((DM33+1)*(DM33+1))*(2*1/S33*1/R33-1/R33*1/R33)))</f>
        <v>0</v>
      </c>
      <c r="R33">
        <f>IF(LEFT(DN33,1)&lt;&gt;"0",IF(LEFT(DN33,1)="1",3.0,DO33),$D$5+$E$5*(EF33*DY33/($K$5*1000))+$F$5*(EF33*DY33/($K$5*1000))*MAX(MIN(DL33,$J$5),$I$5)*MAX(MIN(DL33,$J$5),$I$5)+$G$5*MAX(MIN(DL33,$J$5),$I$5)*(EF33*DY33/($K$5*1000))+$H$5*(EF33*DY33/($K$5*1000))*(EF33*DY33/($K$5*1000)))</f>
        <v>0</v>
      </c>
      <c r="S33">
        <f>J33*(1000-(1000*0.61365*exp(17.502*W33/(240.97+W33))/(DY33+DZ33)+DT33)/2)/(1000*0.61365*exp(17.502*W33/(240.97+W33))/(DY33+DZ33)-DT33)</f>
        <v>0</v>
      </c>
      <c r="T33">
        <f>1/((DM33+1)/(Q33/1.6)+1/(R33/1.37)) + DM33/((DM33+1)/(Q33/1.6) + DM33/(R33/1.37))</f>
        <v>0</v>
      </c>
      <c r="U33">
        <f>(DH33*DK33)</f>
        <v>0</v>
      </c>
      <c r="V33">
        <f>(EA33+(U33+2*0.95*5.67E-8*(((EA33+$B$7)+273)^4-(EA33+273)^4)-44100*J33)/(1.84*29.3*R33+8*0.95*5.67E-8*(EA33+273)^3))</f>
        <v>0</v>
      </c>
      <c r="W33">
        <f>($C$7*EB33+$D$7*EC33+$E$7*V33)</f>
        <v>0</v>
      </c>
      <c r="X33">
        <f>0.61365*exp(17.502*W33/(240.97+W33))</f>
        <v>0</v>
      </c>
      <c r="Y33">
        <f>(Z33/AA33*100)</f>
        <v>0</v>
      </c>
      <c r="Z33">
        <f>DT33*(DY33+DZ33)/1000</f>
        <v>0</v>
      </c>
      <c r="AA33">
        <f>0.61365*exp(17.502*EA33/(240.97+EA33))</f>
        <v>0</v>
      </c>
      <c r="AB33">
        <f>(X33-DT33*(DY33+DZ33)/1000)</f>
        <v>0</v>
      </c>
      <c r="AC33">
        <f>(-J33*44100)</f>
        <v>0</v>
      </c>
      <c r="AD33">
        <f>2*29.3*R33*0.92*(EA33-W33)</f>
        <v>0</v>
      </c>
      <c r="AE33">
        <f>2*0.95*5.67E-8*(((EA33+$B$7)+273)^4-(W33+273)^4)</f>
        <v>0</v>
      </c>
      <c r="AF33">
        <f>U33+AE33+AC33+AD33</f>
        <v>0</v>
      </c>
      <c r="AG33">
        <f>DX33*AU33*(DS33-DR33*(1000-AU33*DU33)/(1000-AU33*DT33))/(100*DL33)</f>
        <v>0</v>
      </c>
      <c r="AH33">
        <f>1000*DX33*AU33*(DT33-DU33)/(100*DL33*(1000-AU33*DT33))</f>
        <v>0</v>
      </c>
      <c r="AI33">
        <f>(AJ33 - AK33 - DY33*1E3/(8.314*(EA33+273.15)) * AM33/DX33 * AL33) * DX33/(100*DL33) * (1000 - DU33)/1000</f>
        <v>0</v>
      </c>
      <c r="AJ33">
        <v>425.091697854552</v>
      </c>
      <c r="AK33">
        <v>425.259490909091</v>
      </c>
      <c r="AL33">
        <v>-0.00360548508099254</v>
      </c>
      <c r="AM33">
        <v>62.9782741434614</v>
      </c>
      <c r="AN33">
        <f>(AP33 - AO33 + DY33*1E3/(8.314*(EA33+273.15)) * AR33/DX33 * AQ33) * DX33/(100*DL33) * 1000/(1000 - AP33)</f>
        <v>0</v>
      </c>
      <c r="AO33">
        <v>12.0733982895913</v>
      </c>
      <c r="AP33">
        <v>12.3756659340659</v>
      </c>
      <c r="AQ33">
        <v>2.00782163872616e-05</v>
      </c>
      <c r="AR33">
        <v>123.269467425455</v>
      </c>
      <c r="AS33">
        <v>2</v>
      </c>
      <c r="AT33">
        <v>0</v>
      </c>
      <c r="AU33">
        <f>IF(AS33*$H$13&gt;=AW33,1.0,(AW33/(AW33-AS33*$H$13)))</f>
        <v>0</v>
      </c>
      <c r="AV33">
        <f>(AU33-1)*100</f>
        <v>0</v>
      </c>
      <c r="AW33">
        <f>MAX(0,($B$13+$C$13*EF33)/(1+$D$13*EF33)*DY33/(EA33+273)*$E$13)</f>
        <v>0</v>
      </c>
      <c r="AX33" t="s">
        <v>497</v>
      </c>
      <c r="AY33">
        <v>5140.27</v>
      </c>
      <c r="AZ33">
        <v>747.246153846154</v>
      </c>
      <c r="BA33">
        <v>2948.05</v>
      </c>
      <c r="BB33">
        <f>1-AZ33/BA33</f>
        <v>0</v>
      </c>
      <c r="BC33">
        <v>-0.276360113541108</v>
      </c>
      <c r="BD33" t="s">
        <v>438</v>
      </c>
      <c r="BE33" t="s">
        <v>438</v>
      </c>
      <c r="BF33">
        <v>0</v>
      </c>
      <c r="BG33">
        <v>0</v>
      </c>
      <c r="BH33">
        <f>1-BF33/BG33</f>
        <v>0</v>
      </c>
      <c r="BI33">
        <v>0.5</v>
      </c>
      <c r="BJ33">
        <f>DI33</f>
        <v>0</v>
      </c>
      <c r="BK33">
        <f>L33</f>
        <v>0</v>
      </c>
      <c r="BL33">
        <f>BH33*BI33*BJ33</f>
        <v>0</v>
      </c>
      <c r="BM33">
        <f>(BK33-BC33)/BJ33</f>
        <v>0</v>
      </c>
      <c r="BN33">
        <f>(BA33-BG33)/BG33</f>
        <v>0</v>
      </c>
      <c r="BO33">
        <f>AZ33/(BB33+AZ33/BG33)</f>
        <v>0</v>
      </c>
      <c r="BP33" t="s">
        <v>438</v>
      </c>
      <c r="BQ33">
        <v>0</v>
      </c>
      <c r="BR33">
        <f>IF(BQ33&lt;&gt;0, BQ33, BO33)</f>
        <v>0</v>
      </c>
      <c r="BS33">
        <f>1-BR33/BG33</f>
        <v>0</v>
      </c>
      <c r="BT33">
        <f>(BG33-BF33)/(BG33-BR33)</f>
        <v>0</v>
      </c>
      <c r="BU33">
        <f>(BA33-BG33)/(BA33-BR33)</f>
        <v>0</v>
      </c>
      <c r="BV33">
        <f>(BG33-BF33)/(BG33-AZ33)</f>
        <v>0</v>
      </c>
      <c r="BW33">
        <f>(BA33-BG33)/(BA33-AZ33)</f>
        <v>0</v>
      </c>
      <c r="BX33">
        <f>(BT33*BR33/BF33)</f>
        <v>0</v>
      </c>
      <c r="BY33">
        <f>(1-BX33)</f>
        <v>0</v>
      </c>
      <c r="DH33">
        <f>$B$11*EG33+$C$11*EH33+$F$11*ES33*(1-EV33)</f>
        <v>0</v>
      </c>
      <c r="DI33">
        <f>DH33*DJ33</f>
        <v>0</v>
      </c>
      <c r="DJ33">
        <f>($B$11*$D$9+$C$11*$D$9+$F$11*((FF33+EX33)/MAX(FF33+EX33+FG33, 0.1)*$I$9+FG33/MAX(FF33+EX33+FG33, 0.1)*$J$9))/($B$11+$C$11+$F$11)</f>
        <v>0</v>
      </c>
      <c r="DK33">
        <f>($B$11*$K$9+$C$11*$K$9+$F$11*((FF33+EX33)/MAX(FF33+EX33+FG33, 0.1)*$P$9+FG33/MAX(FF33+EX33+FG33, 0.1)*$Q$9))/($B$11+$C$11+$F$11)</f>
        <v>0</v>
      </c>
      <c r="DL33">
        <v>2.7</v>
      </c>
      <c r="DM33">
        <v>0.5</v>
      </c>
      <c r="DN33" t="s">
        <v>439</v>
      </c>
      <c r="DO33">
        <v>2</v>
      </c>
      <c r="DP33" t="b">
        <v>1</v>
      </c>
      <c r="DQ33">
        <v>1760739640</v>
      </c>
      <c r="DR33">
        <v>420.064333333333</v>
      </c>
      <c r="DS33">
        <v>419.9842</v>
      </c>
      <c r="DT33">
        <v>12.36492</v>
      </c>
      <c r="DU33">
        <v>12.06864</v>
      </c>
      <c r="DV33">
        <v>415.214733333333</v>
      </c>
      <c r="DW33">
        <v>12.35526</v>
      </c>
      <c r="DX33">
        <v>500.019733333333</v>
      </c>
      <c r="DY33">
        <v>89.5683333333333</v>
      </c>
      <c r="DZ33">
        <v>0.02449642</v>
      </c>
      <c r="EA33">
        <v>19.0751066666667</v>
      </c>
      <c r="EB33">
        <v>18.0110666666667</v>
      </c>
      <c r="EC33">
        <v>999.9</v>
      </c>
      <c r="ED33">
        <v>0</v>
      </c>
      <c r="EE33">
        <v>0</v>
      </c>
      <c r="EF33">
        <v>9996.134</v>
      </c>
      <c r="EG33">
        <v>0</v>
      </c>
      <c r="EH33">
        <v>0.222567</v>
      </c>
      <c r="EI33">
        <v>0.0802266466666667</v>
      </c>
      <c r="EJ33">
        <v>425.323466666667</v>
      </c>
      <c r="EK33">
        <v>425.1148</v>
      </c>
      <c r="EL33">
        <v>0.296270133333333</v>
      </c>
      <c r="EM33">
        <v>419.9842</v>
      </c>
      <c r="EN33">
        <v>12.06864</v>
      </c>
      <c r="EO33">
        <v>1.10750533333333</v>
      </c>
      <c r="EP33">
        <v>1.08096866666667</v>
      </c>
      <c r="EQ33">
        <v>8.41307733333333</v>
      </c>
      <c r="ER33">
        <v>8.055958</v>
      </c>
      <c r="ES33">
        <v>0.00500016</v>
      </c>
      <c r="ET33">
        <v>0</v>
      </c>
      <c r="EU33">
        <v>0</v>
      </c>
      <c r="EV33">
        <v>0</v>
      </c>
      <c r="EW33">
        <v>748.986666666667</v>
      </c>
      <c r="EX33">
        <v>0.00500016</v>
      </c>
      <c r="EY33">
        <v>-44.6266666666667</v>
      </c>
      <c r="EZ33">
        <v>-3.39333333333333</v>
      </c>
      <c r="FA33">
        <v>33.75</v>
      </c>
      <c r="FB33">
        <v>38.187</v>
      </c>
      <c r="FC33">
        <v>36.1954</v>
      </c>
      <c r="FD33">
        <v>38.5788</v>
      </c>
      <c r="FE33">
        <v>36.5041333333333</v>
      </c>
      <c r="FF33">
        <v>0</v>
      </c>
      <c r="FG33">
        <v>0</v>
      </c>
      <c r="FH33">
        <v>0</v>
      </c>
      <c r="FI33">
        <v>150.799999952316</v>
      </c>
      <c r="FJ33">
        <v>0</v>
      </c>
      <c r="FK33">
        <v>747.246153846154</v>
      </c>
      <c r="FL33">
        <v>-6.52991457737932</v>
      </c>
      <c r="FM33">
        <v>-17.6991450652122</v>
      </c>
      <c r="FN33">
        <v>-43.4730769230769</v>
      </c>
      <c r="FO33">
        <v>15</v>
      </c>
      <c r="FP33">
        <v>0</v>
      </c>
      <c r="FQ33" t="s">
        <v>440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0.0989394619047619</v>
      </c>
      <c r="GD33">
        <v>-0.237799394805195</v>
      </c>
      <c r="GE33">
        <v>0.0340374118689236</v>
      </c>
      <c r="GF33">
        <v>1</v>
      </c>
      <c r="GG33">
        <v>748.779411764706</v>
      </c>
      <c r="GH33">
        <v>-18.3544691541931</v>
      </c>
      <c r="GI33">
        <v>5.72362387323053</v>
      </c>
      <c r="GJ33">
        <v>-1</v>
      </c>
      <c r="GK33">
        <v>0.303768571428571</v>
      </c>
      <c r="GL33">
        <v>-0.0838484415584412</v>
      </c>
      <c r="GM33">
        <v>0.0137589442305773</v>
      </c>
      <c r="GN33">
        <v>1</v>
      </c>
      <c r="GO33">
        <v>2</v>
      </c>
      <c r="GP33">
        <v>2</v>
      </c>
      <c r="GQ33" t="s">
        <v>441</v>
      </c>
      <c r="GR33">
        <v>3.12402</v>
      </c>
      <c r="GS33">
        <v>2.65017</v>
      </c>
      <c r="GT33">
        <v>0.0894514</v>
      </c>
      <c r="GU33">
        <v>0.090181</v>
      </c>
      <c r="GV33">
        <v>0.0631897</v>
      </c>
      <c r="GW33">
        <v>0.0619465</v>
      </c>
      <c r="GX33">
        <v>24153.1</v>
      </c>
      <c r="GY33">
        <v>22439.8</v>
      </c>
      <c r="GZ33">
        <v>23697.9</v>
      </c>
      <c r="HA33">
        <v>23990</v>
      </c>
      <c r="HB33">
        <v>37766.9</v>
      </c>
      <c r="HC33">
        <v>37202.7</v>
      </c>
      <c r="HD33">
        <v>42632.1</v>
      </c>
      <c r="HE33">
        <v>42715.9</v>
      </c>
      <c r="HF33">
        <v>1.97055</v>
      </c>
      <c r="HG33">
        <v>1.86035</v>
      </c>
      <c r="HH33">
        <v>0.00242889</v>
      </c>
      <c r="HI33">
        <v>0</v>
      </c>
      <c r="HJ33">
        <v>17.9687</v>
      </c>
      <c r="HK33">
        <v>999.9</v>
      </c>
      <c r="HL33">
        <v>30.295</v>
      </c>
      <c r="HM33">
        <v>30.313</v>
      </c>
      <c r="HN33">
        <v>14.672</v>
      </c>
      <c r="HO33">
        <v>54.2991</v>
      </c>
      <c r="HP33">
        <v>45.2724</v>
      </c>
      <c r="HQ33">
        <v>1</v>
      </c>
      <c r="HR33">
        <v>-0.39657</v>
      </c>
      <c r="HS33">
        <v>2.02657</v>
      </c>
      <c r="HT33">
        <v>20.227</v>
      </c>
      <c r="HU33">
        <v>5.23526</v>
      </c>
      <c r="HV33">
        <v>11.992</v>
      </c>
      <c r="HW33">
        <v>4.95775</v>
      </c>
      <c r="HX33">
        <v>3.304</v>
      </c>
      <c r="HY33">
        <v>9999</v>
      </c>
      <c r="HZ33">
        <v>9999</v>
      </c>
      <c r="IA33">
        <v>999.9</v>
      </c>
      <c r="IB33">
        <v>9999</v>
      </c>
      <c r="IC33">
        <v>1.86869</v>
      </c>
      <c r="ID33">
        <v>1.86444</v>
      </c>
      <c r="IE33">
        <v>1.87195</v>
      </c>
      <c r="IF33">
        <v>1.86295</v>
      </c>
      <c r="IG33">
        <v>1.86234</v>
      </c>
      <c r="IH33">
        <v>1.86874</v>
      </c>
      <c r="II33">
        <v>1.85892</v>
      </c>
      <c r="IJ33">
        <v>1.86524</v>
      </c>
      <c r="IK33">
        <v>5</v>
      </c>
      <c r="IL33">
        <v>0</v>
      </c>
      <c r="IM33">
        <v>0</v>
      </c>
      <c r="IN33">
        <v>0</v>
      </c>
      <c r="IO33" t="s">
        <v>442</v>
      </c>
      <c r="IP33" t="s">
        <v>443</v>
      </c>
      <c r="IQ33" t="s">
        <v>444</v>
      </c>
      <c r="IR33" t="s">
        <v>444</v>
      </c>
      <c r="IS33" t="s">
        <v>444</v>
      </c>
      <c r="IT33" t="s">
        <v>444</v>
      </c>
      <c r="IU33">
        <v>0</v>
      </c>
      <c r="IV33">
        <v>100</v>
      </c>
      <c r="IW33">
        <v>100</v>
      </c>
      <c r="IX33">
        <v>4.849</v>
      </c>
      <c r="IY33">
        <v>0.0098</v>
      </c>
      <c r="IZ33">
        <v>3.68741672054385</v>
      </c>
      <c r="JA33">
        <v>0.00363161861672774</v>
      </c>
      <c r="JB33">
        <v>-2.24629326344171e-06</v>
      </c>
      <c r="JC33">
        <v>5.83607846756539e-10</v>
      </c>
      <c r="JD33">
        <v>-0.00675825458998367</v>
      </c>
      <c r="JE33">
        <v>-0.0132323152736503</v>
      </c>
      <c r="JF33">
        <v>0.00138354380881741</v>
      </c>
      <c r="JG33">
        <v>-1.65967022527567e-05</v>
      </c>
      <c r="JH33">
        <v>1</v>
      </c>
      <c r="JI33">
        <v>2181</v>
      </c>
      <c r="JJ33">
        <v>1</v>
      </c>
      <c r="JK33">
        <v>23</v>
      </c>
      <c r="JL33">
        <v>29345660.8</v>
      </c>
      <c r="JM33">
        <v>29345660.8</v>
      </c>
      <c r="JN33">
        <v>1.04492</v>
      </c>
      <c r="JO33">
        <v>2.3584</v>
      </c>
      <c r="JP33">
        <v>1.4978</v>
      </c>
      <c r="JQ33">
        <v>2.33032</v>
      </c>
      <c r="JR33">
        <v>1.54419</v>
      </c>
      <c r="JS33">
        <v>2.40967</v>
      </c>
      <c r="JT33">
        <v>35.4986</v>
      </c>
      <c r="JU33">
        <v>24.3064</v>
      </c>
      <c r="JV33">
        <v>18</v>
      </c>
      <c r="JW33">
        <v>536.937</v>
      </c>
      <c r="JX33">
        <v>413.642</v>
      </c>
      <c r="JY33">
        <v>15.6433</v>
      </c>
      <c r="JZ33">
        <v>22.2577</v>
      </c>
      <c r="KA33">
        <v>30.0001</v>
      </c>
      <c r="KB33">
        <v>22.2587</v>
      </c>
      <c r="KC33">
        <v>22.2868</v>
      </c>
      <c r="KD33">
        <v>20.9713</v>
      </c>
      <c r="KE33">
        <v>21.7266</v>
      </c>
      <c r="KF33">
        <v>18.8796</v>
      </c>
      <c r="KG33">
        <v>15.6369</v>
      </c>
      <c r="KH33">
        <v>420</v>
      </c>
      <c r="KI33">
        <v>12.107</v>
      </c>
      <c r="KJ33">
        <v>95.6227</v>
      </c>
      <c r="KK33">
        <v>99.6068</v>
      </c>
    </row>
    <row r="34" spans="1:297">
      <c r="A34">
        <v>18</v>
      </c>
      <c r="B34">
        <v>1760739788</v>
      </c>
      <c r="C34">
        <v>4134</v>
      </c>
      <c r="D34" t="s">
        <v>498</v>
      </c>
      <c r="E34" t="s">
        <v>499</v>
      </c>
      <c r="F34">
        <v>5</v>
      </c>
      <c r="G34" t="s">
        <v>493</v>
      </c>
      <c r="H34" t="s">
        <v>436</v>
      </c>
      <c r="I34">
        <v>1760739780</v>
      </c>
      <c r="J34">
        <f>(K34)/1000</f>
        <v>0</v>
      </c>
      <c r="K34">
        <f>IF(DP34, AN34, AH34)</f>
        <v>0</v>
      </c>
      <c r="L34">
        <f>IF(DP34, AI34, AG34)</f>
        <v>0</v>
      </c>
      <c r="M34">
        <f>DR34 - IF(AU34&gt;1, L34*DL34*100.0/(AW34), 0)</f>
        <v>0</v>
      </c>
      <c r="N34">
        <f>((T34-J34/2)*M34-L34)/(T34+J34/2)</f>
        <v>0</v>
      </c>
      <c r="O34">
        <f>N34*(DY34+DZ34)/1000.0</f>
        <v>0</v>
      </c>
      <c r="P34">
        <f>(DR34 - IF(AU34&gt;1, L34*DL34*100.0/(AW34), 0))*(DY34+DZ34)/1000.0</f>
        <v>0</v>
      </c>
      <c r="Q34">
        <f>2.0/((1/S34-1/R34)+SIGN(S34)*SQRT((1/S34-1/R34)*(1/S34-1/R34) + 4*DM34/((DM34+1)*(DM34+1))*(2*1/S34*1/R34-1/R34*1/R34)))</f>
        <v>0</v>
      </c>
      <c r="R34">
        <f>IF(LEFT(DN34,1)&lt;&gt;"0",IF(LEFT(DN34,1)="1",3.0,DO34),$D$5+$E$5*(EF34*DY34/($K$5*1000))+$F$5*(EF34*DY34/($K$5*1000))*MAX(MIN(DL34,$J$5),$I$5)*MAX(MIN(DL34,$J$5),$I$5)+$G$5*MAX(MIN(DL34,$J$5),$I$5)*(EF34*DY34/($K$5*1000))+$H$5*(EF34*DY34/($K$5*1000))*(EF34*DY34/($K$5*1000)))</f>
        <v>0</v>
      </c>
      <c r="S34">
        <f>J34*(1000-(1000*0.61365*exp(17.502*W34/(240.97+W34))/(DY34+DZ34)+DT34)/2)/(1000*0.61365*exp(17.502*W34/(240.97+W34))/(DY34+DZ34)-DT34)</f>
        <v>0</v>
      </c>
      <c r="T34">
        <f>1/((DM34+1)/(Q34/1.6)+1/(R34/1.37)) + DM34/((DM34+1)/(Q34/1.6) + DM34/(R34/1.37))</f>
        <v>0</v>
      </c>
      <c r="U34">
        <f>(DH34*DK34)</f>
        <v>0</v>
      </c>
      <c r="V34">
        <f>(EA34+(U34+2*0.95*5.67E-8*(((EA34+$B$7)+273)^4-(EA34+273)^4)-44100*J34)/(1.84*29.3*R34+8*0.95*5.67E-8*(EA34+273)^3))</f>
        <v>0</v>
      </c>
      <c r="W34">
        <f>($C$7*EB34+$D$7*EC34+$E$7*V34)</f>
        <v>0</v>
      </c>
      <c r="X34">
        <f>0.61365*exp(17.502*W34/(240.97+W34))</f>
        <v>0</v>
      </c>
      <c r="Y34">
        <f>(Z34/AA34*100)</f>
        <v>0</v>
      </c>
      <c r="Z34">
        <f>DT34*(DY34+DZ34)/1000</f>
        <v>0</v>
      </c>
      <c r="AA34">
        <f>0.61365*exp(17.502*EA34/(240.97+EA34))</f>
        <v>0</v>
      </c>
      <c r="AB34">
        <f>(X34-DT34*(DY34+DZ34)/1000)</f>
        <v>0</v>
      </c>
      <c r="AC34">
        <f>(-J34*44100)</f>
        <v>0</v>
      </c>
      <c r="AD34">
        <f>2*29.3*R34*0.92*(EA34-W34)</f>
        <v>0</v>
      </c>
      <c r="AE34">
        <f>2*0.95*5.67E-8*(((EA34+$B$7)+273)^4-(W34+273)^4)</f>
        <v>0</v>
      </c>
      <c r="AF34">
        <f>U34+AE34+AC34+AD34</f>
        <v>0</v>
      </c>
      <c r="AG34">
        <f>DX34*AU34*(DS34-DR34*(1000-AU34*DU34)/(1000-AU34*DT34))/(100*DL34)</f>
        <v>0</v>
      </c>
      <c r="AH34">
        <f>1000*DX34*AU34*(DT34-DU34)/(100*DL34*(1000-AU34*DT34))</f>
        <v>0</v>
      </c>
      <c r="AI34">
        <f>(AJ34 - AK34 - DY34*1E3/(8.314*(EA34+273.15)) * AM34/DX34 * AL34) * DX34/(100*DL34) * (1000 - DU34)/1000</f>
        <v>0</v>
      </c>
      <c r="AJ34">
        <v>425.154181120536</v>
      </c>
      <c r="AK34">
        <v>425.300381818182</v>
      </c>
      <c r="AL34">
        <v>-0.00777204738067972</v>
      </c>
      <c r="AM34">
        <v>62.9782741434614</v>
      </c>
      <c r="AN34">
        <f>(AP34 - AO34 + DY34*1E3/(8.314*(EA34+273.15)) * AR34/DX34 * AQ34) * DX34/(100*DL34) * 1000/(1000 - AP34)</f>
        <v>0</v>
      </c>
      <c r="AO34">
        <v>12.1115612900612</v>
      </c>
      <c r="AP34">
        <v>12.3425131868132</v>
      </c>
      <c r="AQ34">
        <v>-9.34990692632588e-06</v>
      </c>
      <c r="AR34">
        <v>123.269467425455</v>
      </c>
      <c r="AS34">
        <v>2</v>
      </c>
      <c r="AT34">
        <v>0</v>
      </c>
      <c r="AU34">
        <f>IF(AS34*$H$13&gt;=AW34,1.0,(AW34/(AW34-AS34*$H$13)))</f>
        <v>0</v>
      </c>
      <c r="AV34">
        <f>(AU34-1)*100</f>
        <v>0</v>
      </c>
      <c r="AW34">
        <f>MAX(0,($B$13+$C$13*EF34)/(1+$D$13*EF34)*DY34/(EA34+273)*$E$13)</f>
        <v>0</v>
      </c>
      <c r="AX34" t="s">
        <v>500</v>
      </c>
      <c r="AY34">
        <v>5139.99</v>
      </c>
      <c r="AZ34">
        <v>746.784615384615</v>
      </c>
      <c r="BA34">
        <v>2912.84</v>
      </c>
      <c r="BB34">
        <f>1-AZ34/BA34</f>
        <v>0</v>
      </c>
      <c r="BC34">
        <v>-0.201440524055684</v>
      </c>
      <c r="BD34" t="s">
        <v>438</v>
      </c>
      <c r="BE34" t="s">
        <v>438</v>
      </c>
      <c r="BF34">
        <v>0</v>
      </c>
      <c r="BG34">
        <v>0</v>
      </c>
      <c r="BH34">
        <f>1-BF34/BG34</f>
        <v>0</v>
      </c>
      <c r="BI34">
        <v>0.5</v>
      </c>
      <c r="BJ34">
        <f>DI34</f>
        <v>0</v>
      </c>
      <c r="BK34">
        <f>L34</f>
        <v>0</v>
      </c>
      <c r="BL34">
        <f>BH34*BI34*BJ34</f>
        <v>0</v>
      </c>
      <c r="BM34">
        <f>(BK34-BC34)/BJ34</f>
        <v>0</v>
      </c>
      <c r="BN34">
        <f>(BA34-BG34)/BG34</f>
        <v>0</v>
      </c>
      <c r="BO34">
        <f>AZ34/(BB34+AZ34/BG34)</f>
        <v>0</v>
      </c>
      <c r="BP34" t="s">
        <v>438</v>
      </c>
      <c r="BQ34">
        <v>0</v>
      </c>
      <c r="BR34">
        <f>IF(BQ34&lt;&gt;0, BQ34, BO34)</f>
        <v>0</v>
      </c>
      <c r="BS34">
        <f>1-BR34/BG34</f>
        <v>0</v>
      </c>
      <c r="BT34">
        <f>(BG34-BF34)/(BG34-BR34)</f>
        <v>0</v>
      </c>
      <c r="BU34">
        <f>(BA34-BG34)/(BA34-BR34)</f>
        <v>0</v>
      </c>
      <c r="BV34">
        <f>(BG34-BF34)/(BG34-AZ34)</f>
        <v>0</v>
      </c>
      <c r="BW34">
        <f>(BA34-BG34)/(BA34-AZ34)</f>
        <v>0</v>
      </c>
      <c r="BX34">
        <f>(BT34*BR34/BF34)</f>
        <v>0</v>
      </c>
      <c r="BY34">
        <f>(1-BX34)</f>
        <v>0</v>
      </c>
      <c r="DH34">
        <f>$B$11*EG34+$C$11*EH34+$F$11*ES34*(1-EV34)</f>
        <v>0</v>
      </c>
      <c r="DI34">
        <f>DH34*DJ34</f>
        <v>0</v>
      </c>
      <c r="DJ34">
        <f>($B$11*$D$9+$C$11*$D$9+$F$11*((FF34+EX34)/MAX(FF34+EX34+FG34, 0.1)*$I$9+FG34/MAX(FF34+EX34+FG34, 0.1)*$J$9))/($B$11+$C$11+$F$11)</f>
        <v>0</v>
      </c>
      <c r="DK34">
        <f>($B$11*$K$9+$C$11*$K$9+$F$11*((FF34+EX34)/MAX(FF34+EX34+FG34, 0.1)*$P$9+FG34/MAX(FF34+EX34+FG34, 0.1)*$Q$9))/($B$11+$C$11+$F$11)</f>
        <v>0</v>
      </c>
      <c r="DL34">
        <v>2.7</v>
      </c>
      <c r="DM34">
        <v>0.5</v>
      </c>
      <c r="DN34" t="s">
        <v>439</v>
      </c>
      <c r="DO34">
        <v>2</v>
      </c>
      <c r="DP34" t="b">
        <v>1</v>
      </c>
      <c r="DQ34">
        <v>1760739780</v>
      </c>
      <c r="DR34">
        <v>420.063933333333</v>
      </c>
      <c r="DS34">
        <v>420.003866666667</v>
      </c>
      <c r="DT34">
        <v>12.3499733333333</v>
      </c>
      <c r="DU34">
        <v>12.1121466666667</v>
      </c>
      <c r="DV34">
        <v>415.213933333333</v>
      </c>
      <c r="DW34">
        <v>12.34052</v>
      </c>
      <c r="DX34">
        <v>500.0242</v>
      </c>
      <c r="DY34">
        <v>89.5700866666667</v>
      </c>
      <c r="DZ34">
        <v>0.02431674</v>
      </c>
      <c r="EA34">
        <v>19.0280866666667</v>
      </c>
      <c r="EB34">
        <v>17.9974666666667</v>
      </c>
      <c r="EC34">
        <v>999.9</v>
      </c>
      <c r="ED34">
        <v>0</v>
      </c>
      <c r="EE34">
        <v>0</v>
      </c>
      <c r="EF34">
        <v>9997.54266666667</v>
      </c>
      <c r="EG34">
        <v>0</v>
      </c>
      <c r="EH34">
        <v>0.222567</v>
      </c>
      <c r="EI34">
        <v>0.0598896866666667</v>
      </c>
      <c r="EJ34">
        <v>425.316666666667</v>
      </c>
      <c r="EK34">
        <v>425.153466666667</v>
      </c>
      <c r="EL34">
        <v>0.237812066666667</v>
      </c>
      <c r="EM34">
        <v>420.003866666667</v>
      </c>
      <c r="EN34">
        <v>12.1121466666667</v>
      </c>
      <c r="EO34">
        <v>1.10618733333333</v>
      </c>
      <c r="EP34">
        <v>1.08488666666667</v>
      </c>
      <c r="EQ34">
        <v>8.39553933333334</v>
      </c>
      <c r="ER34">
        <v>8.10918466666667</v>
      </c>
      <c r="ES34">
        <v>0.00500016</v>
      </c>
      <c r="ET34">
        <v>0</v>
      </c>
      <c r="EU34">
        <v>0</v>
      </c>
      <c r="EV34">
        <v>0</v>
      </c>
      <c r="EW34">
        <v>747.706666666667</v>
      </c>
      <c r="EX34">
        <v>0.00500016</v>
      </c>
      <c r="EY34">
        <v>-40.24</v>
      </c>
      <c r="EZ34">
        <v>-3.1</v>
      </c>
      <c r="FA34">
        <v>33.75</v>
      </c>
      <c r="FB34">
        <v>38.187</v>
      </c>
      <c r="FC34">
        <v>36.1912</v>
      </c>
      <c r="FD34">
        <v>38.562</v>
      </c>
      <c r="FE34">
        <v>36.5165333333333</v>
      </c>
      <c r="FF34">
        <v>0</v>
      </c>
      <c r="FG34">
        <v>0</v>
      </c>
      <c r="FH34">
        <v>0</v>
      </c>
      <c r="FI34">
        <v>139</v>
      </c>
      <c r="FJ34">
        <v>0</v>
      </c>
      <c r="FK34">
        <v>746.784615384615</v>
      </c>
      <c r="FL34">
        <v>-17.5384614312444</v>
      </c>
      <c r="FM34">
        <v>-0.581196460138176</v>
      </c>
      <c r="FN34">
        <v>-41.4230769230769</v>
      </c>
      <c r="FO34">
        <v>15</v>
      </c>
      <c r="FP34">
        <v>0</v>
      </c>
      <c r="FQ34" t="s">
        <v>440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0.0602155095238095</v>
      </c>
      <c r="GD34">
        <v>0.0804235254545455</v>
      </c>
      <c r="GE34">
        <v>0.0417295352281228</v>
      </c>
      <c r="GF34">
        <v>1</v>
      </c>
      <c r="GG34">
        <v>748.444117647059</v>
      </c>
      <c r="GH34">
        <v>-25.0710466895556</v>
      </c>
      <c r="GI34">
        <v>5.71834978131395</v>
      </c>
      <c r="GJ34">
        <v>-1</v>
      </c>
      <c r="GK34">
        <v>0.239288</v>
      </c>
      <c r="GL34">
        <v>-0.0321292987012986</v>
      </c>
      <c r="GM34">
        <v>0.00341143373015483</v>
      </c>
      <c r="GN34">
        <v>1</v>
      </c>
      <c r="GO34">
        <v>2</v>
      </c>
      <c r="GP34">
        <v>2</v>
      </c>
      <c r="GQ34" t="s">
        <v>441</v>
      </c>
      <c r="GR34">
        <v>3.12397</v>
      </c>
      <c r="GS34">
        <v>2.65036</v>
      </c>
      <c r="GT34">
        <v>0.0894743</v>
      </c>
      <c r="GU34">
        <v>0.0901934</v>
      </c>
      <c r="GV34">
        <v>0.0630576</v>
      </c>
      <c r="GW34">
        <v>0.0620898</v>
      </c>
      <c r="GX34">
        <v>24150.9</v>
      </c>
      <c r="GY34">
        <v>22439.7</v>
      </c>
      <c r="GZ34">
        <v>23696.4</v>
      </c>
      <c r="HA34">
        <v>23990.2</v>
      </c>
      <c r="HB34">
        <v>37769.4</v>
      </c>
      <c r="HC34">
        <v>37197.4</v>
      </c>
      <c r="HD34">
        <v>42629</v>
      </c>
      <c r="HE34">
        <v>42716.3</v>
      </c>
      <c r="HF34">
        <v>1.97045</v>
      </c>
      <c r="HG34">
        <v>1.86105</v>
      </c>
      <c r="HH34">
        <v>0.00148267</v>
      </c>
      <c r="HI34">
        <v>0</v>
      </c>
      <c r="HJ34">
        <v>17.9734</v>
      </c>
      <c r="HK34">
        <v>999.9</v>
      </c>
      <c r="HL34">
        <v>30.418</v>
      </c>
      <c r="HM34">
        <v>30.313</v>
      </c>
      <c r="HN34">
        <v>14.7306</v>
      </c>
      <c r="HO34">
        <v>54.1291</v>
      </c>
      <c r="HP34">
        <v>45.1723</v>
      </c>
      <c r="HQ34">
        <v>1</v>
      </c>
      <c r="HR34">
        <v>-0.39673</v>
      </c>
      <c r="HS34">
        <v>1.99698</v>
      </c>
      <c r="HT34">
        <v>20.2272</v>
      </c>
      <c r="HU34">
        <v>5.23451</v>
      </c>
      <c r="HV34">
        <v>11.992</v>
      </c>
      <c r="HW34">
        <v>4.95725</v>
      </c>
      <c r="HX34">
        <v>3.30393</v>
      </c>
      <c r="HY34">
        <v>9999</v>
      </c>
      <c r="HZ34">
        <v>9999</v>
      </c>
      <c r="IA34">
        <v>999.9</v>
      </c>
      <c r="IB34">
        <v>9999</v>
      </c>
      <c r="IC34">
        <v>1.86871</v>
      </c>
      <c r="ID34">
        <v>1.86439</v>
      </c>
      <c r="IE34">
        <v>1.87195</v>
      </c>
      <c r="IF34">
        <v>1.86295</v>
      </c>
      <c r="IG34">
        <v>1.86233</v>
      </c>
      <c r="IH34">
        <v>1.86873</v>
      </c>
      <c r="II34">
        <v>1.85894</v>
      </c>
      <c r="IJ34">
        <v>1.86523</v>
      </c>
      <c r="IK34">
        <v>5</v>
      </c>
      <c r="IL34">
        <v>0</v>
      </c>
      <c r="IM34">
        <v>0</v>
      </c>
      <c r="IN34">
        <v>0</v>
      </c>
      <c r="IO34" t="s">
        <v>442</v>
      </c>
      <c r="IP34" t="s">
        <v>443</v>
      </c>
      <c r="IQ34" t="s">
        <v>444</v>
      </c>
      <c r="IR34" t="s">
        <v>444</v>
      </c>
      <c r="IS34" t="s">
        <v>444</v>
      </c>
      <c r="IT34" t="s">
        <v>444</v>
      </c>
      <c r="IU34">
        <v>0</v>
      </c>
      <c r="IV34">
        <v>100</v>
      </c>
      <c r="IW34">
        <v>100</v>
      </c>
      <c r="IX34">
        <v>4.85</v>
      </c>
      <c r="IY34">
        <v>0.0094</v>
      </c>
      <c r="IZ34">
        <v>3.68741672054385</v>
      </c>
      <c r="JA34">
        <v>0.00363161861672774</v>
      </c>
      <c r="JB34">
        <v>-2.24629326344171e-06</v>
      </c>
      <c r="JC34">
        <v>5.83607846756539e-10</v>
      </c>
      <c r="JD34">
        <v>-0.00675825458998367</v>
      </c>
      <c r="JE34">
        <v>-0.0132323152736503</v>
      </c>
      <c r="JF34">
        <v>0.00138354380881741</v>
      </c>
      <c r="JG34">
        <v>-1.65967022527567e-05</v>
      </c>
      <c r="JH34">
        <v>1</v>
      </c>
      <c r="JI34">
        <v>2181</v>
      </c>
      <c r="JJ34">
        <v>1</v>
      </c>
      <c r="JK34">
        <v>23</v>
      </c>
      <c r="JL34">
        <v>29345663.1</v>
      </c>
      <c r="JM34">
        <v>29345663.1</v>
      </c>
      <c r="JN34">
        <v>1.04614</v>
      </c>
      <c r="JO34">
        <v>2.38037</v>
      </c>
      <c r="JP34">
        <v>1.49902</v>
      </c>
      <c r="JQ34">
        <v>2.33154</v>
      </c>
      <c r="JR34">
        <v>1.54419</v>
      </c>
      <c r="JS34">
        <v>2.19727</v>
      </c>
      <c r="JT34">
        <v>35.4986</v>
      </c>
      <c r="JU34">
        <v>24.2976</v>
      </c>
      <c r="JV34">
        <v>18</v>
      </c>
      <c r="JW34">
        <v>536.805</v>
      </c>
      <c r="JX34">
        <v>413.97</v>
      </c>
      <c r="JY34">
        <v>15.5615</v>
      </c>
      <c r="JZ34">
        <v>22.254</v>
      </c>
      <c r="KA34">
        <v>30.0001</v>
      </c>
      <c r="KB34">
        <v>22.2512</v>
      </c>
      <c r="KC34">
        <v>22.2793</v>
      </c>
      <c r="KD34">
        <v>20.9722</v>
      </c>
      <c r="KE34">
        <v>21.9974</v>
      </c>
      <c r="KF34">
        <v>20.0124</v>
      </c>
      <c r="KG34">
        <v>15.5615</v>
      </c>
      <c r="KH34">
        <v>420</v>
      </c>
      <c r="KI34">
        <v>12.0778</v>
      </c>
      <c r="KJ34">
        <v>95.6159</v>
      </c>
      <c r="KK34">
        <v>99.6078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25</v>
      </c>
    </row>
    <row r="15" spans="1:2">
      <c r="A15" t="s">
        <v>27</v>
      </c>
      <c r="B15" t="s">
        <v>23</v>
      </c>
    </row>
    <row r="16" spans="1:2">
      <c r="A16" t="s">
        <v>28</v>
      </c>
      <c r="B16" t="s">
        <v>11</v>
      </c>
    </row>
    <row r="17" spans="1:2">
      <c r="A17" t="s">
        <v>29</v>
      </c>
      <c r="B1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2025-10-17T17:27:41Z</dcterms:created>
  <dcterms:modified xsi:type="dcterms:W3CDTF">2025-10-17T17:27:41Z</dcterms:modified>
</cp:coreProperties>
</file>