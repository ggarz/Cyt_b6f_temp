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<sst xmlns="http://schemas.openxmlformats.org/spreadsheetml/2006/main" count="1507" uniqueCount="531">
  <si>
    <t>File opened</t>
  </si>
  <si>
    <t>2025-11-02 11:03:35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</si>
  <si>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</si>
  <si>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</si>
  <si>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</si>
  <si>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</si>
  <si>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</si>
  <si>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</si>
  <si>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</si>
  <si>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</si>
  <si>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</si>
  <si>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</si>
  <si>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</si>
  <si>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{"co2aspan1": "1.00085", "oxygen": "21", "flowazero": "0.20627", "h2oaspan2b": "0.0643918", "co2aspan2": "-0.0361282", "co2bspanconc1": "394.6", "co2azero": "0.889706", "flowbzero": "0.21929", "ssb_ref": "33484.6", "h2oazero": "1.05632", "co2bspan2a": "0.0920224", "h2oaspanconc2": "0", "h2oaspan1": "0.998365", "h2obspan2a": "0.064441", "co2bzero": "0.968552", "co2aspanconc1": "2473", "h2obzero": "1.07561", "h2oaspan2a": "0.0644972", "h2obspan2": "0", "tazero": "0.243513", "h2oaspan2": "0", "h2obspan1": "0.99412", "co2aspanconc2": "301.4", "co2bspan1": "1.0003", "co2aspan2b": "0.298816", "tbzero": "0.197208", "ssa_ref": "34683.2", "co2bspan2b": "0.0918352", "co2bspanconc2": "301.4", "co2bspan2": "-0.0345572", "h2oaspanconc1": "11.69", "chamberpressurezero": "2.57718", "co2aspan2a": "0.301852", "flowmeterzero": "2.48435", "h2obspanconc2": "0", "h2obspan2b": "0.0640621", "h2obspanconc1": "11.69"}</t>
  </si>
  <si>
    <t>Factory cal date</t>
  </si>
  <si>
    <t>01 Sep 2023</t>
  </si>
  <si>
    <t>CO2 rangematch</t>
  </si>
  <si>
    <t>Sun Nov  2 10:45</t>
  </si>
  <si>
    <t>H2O rangematch</t>
  </si>
  <si>
    <t>Sun Nov  2 10:51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</si>
  <si>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</si>
  <si>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</si>
  <si>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</si>
  <si>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</si>
  <si>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</si>
  <si>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</si>
  <si>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</si>
  <si>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</si>
  <si>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</si>
  <si>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11:03:35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</si>
  <si>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</si>
  <si>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</si>
  <si>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</si>
  <si>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</si>
  <si>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</si>
  <si>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</si>
  <si>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</si>
  <si>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</si>
  <si>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</si>
  <si>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</si>
  <si>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</si>
  <si>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</si>
  <si>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</si>
  <si>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</si>
  <si>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</si>
  <si>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</si>
  <si>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</si>
  <si>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</si>
  <si>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</si>
  <si>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</si>
  <si>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</si>
  <si>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</si>
  <si>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</si>
  <si>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</si>
  <si>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</si>
  <si>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</si>
  <si>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</si>
  <si>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</si>
  <si>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</si>
  <si>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</si>
  <si>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</si>
  <si>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</si>
  <si>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</si>
  <si>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</si>
  <si>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</si>
  <si>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</si>
  <si>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</si>
  <si>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</si>
  <si>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</si>
  <si>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</si>
  <si>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</si>
  <si>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</si>
  <si>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</si>
  <si>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</si>
  <si>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</si>
  <si>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</si>
  <si>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</si>
  <si>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</si>
  <si>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</si>
  <si>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</si>
  <si>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</si>
  <si>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</si>
  <si>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6.07609 222.714 390.532 702.443 907.861 1120.33 1308.89 1435.96</t>
  </si>
  <si>
    <t>Fs_true</t>
  </si>
  <si>
    <t>-1.0366 222.504 377.686 625.218 799.208 1007.33 1201.11 1401.28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</si>
  <si>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</si>
  <si>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</si>
  <si>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</si>
  <si>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</si>
  <si>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</si>
  <si>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</si>
  <si>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</si>
  <si>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</si>
  <si>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</si>
  <si>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</si>
  <si>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</si>
  <si>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</si>
  <si>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</si>
  <si>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</si>
  <si>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</si>
  <si>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</si>
  <si>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</si>
  <si>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</si>
  <si>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</si>
  <si>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</si>
  <si>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</si>
  <si>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</si>
  <si>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</si>
  <si>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</si>
  <si>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</si>
  <si>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</si>
  <si>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</si>
  <si>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</si>
  <si>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</si>
  <si>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</si>
  <si>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</si>
  <si>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</si>
  <si>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</si>
  <si>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</si>
  <si>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</si>
  <si>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</si>
  <si>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</si>
  <si>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</si>
  <si>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</si>
  <si>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</si>
  <si>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</si>
  <si>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</si>
  <si>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</si>
  <si>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</si>
  <si>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</si>
  <si>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</si>
  <si>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</si>
  <si>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</si>
  <si>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</si>
  <si>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</si>
  <si>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</si>
  <si>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</si>
  <si>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</si>
  <si>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</si>
  <si>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</si>
  <si>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</si>
  <si>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</si>
  <si>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</si>
  <si>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</si>
  <si>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</si>
  <si>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</si>
  <si>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</si>
  <si>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</si>
  <si>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</si>
  <si>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</si>
  <si>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</si>
  <si>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</si>
  <si>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</si>
  <si>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</si>
  <si>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</si>
  <si>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</si>
  <si>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</si>
  <si>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</si>
  <si>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</si>
  <si>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</si>
  <si>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</si>
  <si>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</si>
  <si>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</si>
  <si>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</si>
  <si>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</si>
  <si>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</si>
  <si>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</si>
  <si>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</si>
  <si>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</si>
  <si>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</si>
  <si>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</si>
  <si>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</si>
  <si>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</si>
  <si>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</si>
  <si>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</si>
  <si>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</si>
  <si>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</si>
  <si>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</si>
  <si>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</si>
  <si>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</si>
  <si>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</si>
  <si>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</si>
  <si>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</si>
  <si>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</si>
  <si>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</si>
  <si>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</si>
  <si>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</si>
  <si>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</si>
  <si>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</si>
  <si>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</si>
  <si>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</si>
  <si>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</si>
  <si>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</si>
  <si>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</si>
  <si>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</si>
  <si>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</si>
  <si>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</si>
  <si>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</si>
  <si>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</si>
  <si>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</si>
  <si>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</si>
  <si>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</si>
  <si>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</si>
  <si>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</si>
  <si>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</si>
  <si>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</si>
  <si>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</si>
  <si>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</si>
  <si>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</si>
  <si>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</si>
  <si>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</si>
  <si>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</si>
  <si>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</si>
  <si>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</si>
  <si>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</si>
  <si>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</si>
  <si>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</si>
  <si>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</si>
  <si>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</si>
  <si>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</si>
  <si>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</si>
  <si>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</si>
  <si>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</si>
  <si>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</si>
  <si>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</si>
  <si>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</si>
  <si>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</si>
  <si>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</si>
  <si>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</si>
  <si>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</si>
  <si>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</si>
  <si>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</si>
  <si>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</si>
  <si>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</si>
  <si>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</si>
  <si>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</si>
  <si>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</si>
  <si>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</si>
  <si>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</si>
  <si>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</si>
  <si>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</si>
  <si>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</si>
  <si>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</si>
  <si>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</si>
  <si>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</si>
  <si>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</si>
  <si>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</si>
  <si>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</si>
  <si>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</si>
  <si>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</si>
  <si>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</si>
  <si>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</si>
  <si>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</si>
  <si>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</si>
  <si>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</si>
  <si>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</si>
  <si>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</si>
  <si>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</si>
  <si>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</si>
  <si>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</si>
  <si>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</si>
  <si>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</si>
  <si>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</si>
  <si>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</si>
  <si>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</si>
  <si>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</si>
  <si>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</si>
  <si>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</si>
  <si>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</si>
  <si>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</si>
  <si>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</si>
  <si>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</si>
  <si>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</si>
  <si>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</si>
  <si>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</si>
  <si>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</si>
  <si>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</si>
  <si>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</si>
  <si>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</si>
  <si>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</si>
  <si>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</si>
  <si>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</si>
  <si>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</si>
  <si>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</si>
  <si>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</si>
  <si>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</si>
  <si>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</si>
  <si>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</si>
  <si>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</si>
  <si>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</si>
  <si>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</si>
  <si>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</si>
  <si>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</si>
  <si>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</si>
  <si>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</si>
  <si>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</si>
  <si>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</si>
  <si>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</si>
  <si>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</si>
  <si>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</si>
  <si>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</si>
  <si>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</si>
  <si>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</si>
  <si>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</si>
  <si>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</si>
  <si>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</si>
  <si>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</si>
  <si>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</si>
  <si>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</si>
  <si>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</si>
  <si>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</si>
  <si>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</si>
  <si>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</si>
  <si>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</si>
  <si>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</si>
  <si>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</si>
  <si>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</si>
  <si>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</si>
  <si>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</si>
  <si>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</si>
  <si>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</si>
  <si>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</si>
  <si>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</si>
  <si>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</si>
  <si>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</si>
  <si>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</si>
  <si>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</si>
  <si>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</si>
  <si>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</si>
  <si>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</si>
  <si>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</si>
  <si>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</si>
  <si>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</si>
  <si>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</si>
  <si>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</si>
  <si>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</si>
  <si>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</si>
  <si>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</si>
  <si>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</si>
  <si>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</si>
  <si>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</si>
  <si>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</si>
  <si>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</si>
  <si>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</si>
  <si>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</si>
  <si>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</si>
  <si>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</si>
  <si>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</si>
  <si>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</si>
  <si>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</si>
  <si>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</si>
  <si>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</si>
  <si>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</si>
  <si>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</si>
  <si>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</si>
  <si>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</si>
  <si>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</si>
  <si>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</si>
  <si>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</si>
  <si>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</si>
  <si>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</si>
  <si>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</si>
  <si>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</si>
  <si>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</si>
  <si>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</si>
  <si>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</si>
  <si>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</si>
  <si>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</si>
  <si>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</si>
  <si>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</si>
  <si>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</si>
  <si>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</si>
  <si>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</si>
  <si>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</si>
  <si>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</si>
  <si>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</si>
  <si>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</si>
  <si>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</si>
  <si>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</si>
  <si>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</si>
  <si>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</si>
  <si>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</si>
  <si>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</si>
  <si>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</si>
  <si>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</si>
  <si>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</si>
  <si>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</si>
  <si>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</si>
  <si>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</si>
  <si>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</si>
  <si>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</si>
  <si>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</si>
  <si>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</si>
  <si>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</si>
  <si>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</si>
  <si>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</si>
  <si>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</si>
  <si>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</si>
  <si>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</si>
  <si>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</si>
  <si>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</si>
  <si>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</si>
  <si>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</si>
  <si>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</si>
  <si>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</si>
  <si>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</si>
  <si>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</si>
  <si>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</si>
  <si>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</si>
  <si>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</si>
  <si>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</si>
  <si>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</si>
  <si>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</si>
  <si>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</si>
  <si>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</si>
  <si>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</si>
  <si>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</si>
  <si>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</si>
  <si>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</si>
  <si>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</si>
  <si>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</si>
  <si>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</si>
  <si>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</si>
  <si>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</si>
  <si>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</si>
  <si>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</si>
  <si>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</si>
  <si>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</si>
  <si>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</si>
  <si>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</si>
  <si>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</si>
  <si>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</si>
  <si>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</si>
  <si>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11:18:56</t>
  </si>
  <si>
    <t>11:18:56</t>
  </si>
  <si>
    <t>gg_27</t>
  </si>
  <si>
    <t>gibson</t>
  </si>
  <si>
    <t>RECT-911-20251102-11_18_11</t>
  </si>
  <si>
    <t>-</t>
  </si>
  <si>
    <t>0: Broadleaf</t>
  </si>
  <si>
    <t>--:--:--</t>
  </si>
  <si>
    <t>1/2</t>
  </si>
  <si>
    <t>11111111</t>
  </si>
  <si>
    <t>oooooooo</t>
  </si>
  <si>
    <t>off</t>
  </si>
  <si>
    <t>20251103 11:20:56</t>
  </si>
  <si>
    <t>11:20:56</t>
  </si>
  <si>
    <t>RECT-912-20251102-11_20_12</t>
  </si>
  <si>
    <t>20251103 11:23:01</t>
  </si>
  <si>
    <t>11:23:01</t>
  </si>
  <si>
    <t>RECT-913-20251102-11_22_16</t>
  </si>
  <si>
    <t>20251103 11:31:46</t>
  </si>
  <si>
    <t>11:31:46</t>
  </si>
  <si>
    <t>gg_17</t>
  </si>
  <si>
    <t>RECT-914-20251102-11_31_02</t>
  </si>
  <si>
    <t>20251103 11:34:36</t>
  </si>
  <si>
    <t>11:34:36</t>
  </si>
  <si>
    <t>RECT-915-20251102-11_33_52</t>
  </si>
  <si>
    <t>20251103 11:36:48</t>
  </si>
  <si>
    <t>11:36:48</t>
  </si>
  <si>
    <t>RECT-916-20251102-11_36_03</t>
  </si>
  <si>
    <t>20251103 11:45:39</t>
  </si>
  <si>
    <t>11:45:39</t>
  </si>
  <si>
    <t>gg_3</t>
  </si>
  <si>
    <t>RECT-917-20251102-11_44_55</t>
  </si>
  <si>
    <t>20251103 11:48:20</t>
  </si>
  <si>
    <t>11:48:20</t>
  </si>
  <si>
    <t>RECT-918-20251102-11_47_35</t>
  </si>
  <si>
    <t>20251103 11:50:15</t>
  </si>
  <si>
    <t>11:50:15</t>
  </si>
  <si>
    <t>RECT-919-20251102-11_49_31</t>
  </si>
  <si>
    <t>20251103 11:59:25</t>
  </si>
  <si>
    <t>11:59:25</t>
  </si>
  <si>
    <t>gg_19</t>
  </si>
  <si>
    <t>RECT-920-20251102-11_58_41</t>
  </si>
  <si>
    <t>20251103 12:01:36</t>
  </si>
  <si>
    <t>12:01:36</t>
  </si>
  <si>
    <t>RECT-921-20251102-12_00_52</t>
  </si>
  <si>
    <t>20251103 12:03:34</t>
  </si>
  <si>
    <t>12:03:34</t>
  </si>
  <si>
    <t>RECT-922-20251102-12_02_50</t>
  </si>
  <si>
    <t>20251103 12:11:20</t>
  </si>
  <si>
    <t>12:11:20</t>
  </si>
  <si>
    <t>RECT-923-20251102-12_10_36</t>
  </si>
  <si>
    <t>0/2</t>
  </si>
  <si>
    <t>20251103 12:13:57</t>
  </si>
  <si>
    <t>12:13:57</t>
  </si>
  <si>
    <t>RECT-924-20251102-12_13_12</t>
  </si>
  <si>
    <t>20251103 12:15:54</t>
  </si>
  <si>
    <t>12:15:54</t>
  </si>
  <si>
    <t>RECT-925-20251102-12_15_09</t>
  </si>
  <si>
    <t>20251103 12:22:29</t>
  </si>
  <si>
    <t>12:22:29</t>
  </si>
  <si>
    <t>gg_31</t>
  </si>
  <si>
    <t>RECT-926-20251102-12_21_45</t>
  </si>
  <si>
    <t>20251103 12:24:03</t>
  </si>
  <si>
    <t>12:24:03</t>
  </si>
  <si>
    <t>RECT-927-20251102-12_23_19</t>
  </si>
  <si>
    <t>20251103 12:27:34</t>
  </si>
  <si>
    <t>12:27:34</t>
  </si>
  <si>
    <t>RECT-928-20251102-12_26_50</t>
  </si>
  <si>
    <t>20251103 12:39:17</t>
  </si>
  <si>
    <t>12:39:17</t>
  </si>
  <si>
    <t>gg_37</t>
  </si>
  <si>
    <t>RECT-929-20251102-12_38_33</t>
  </si>
  <si>
    <t>20251103 12:41:52</t>
  </si>
  <si>
    <t>12:41:52</t>
  </si>
  <si>
    <t>RECT-930-20251102-12_41_08</t>
  </si>
  <si>
    <t>20251103 12:44:42</t>
  </si>
  <si>
    <t>12:44:42</t>
  </si>
  <si>
    <t>RECT-931-20251102-12_43_58</t>
  </si>
  <si>
    <t>20251103 12:56:43</t>
  </si>
  <si>
    <t>12:56:43</t>
  </si>
  <si>
    <t>gg_39</t>
  </si>
  <si>
    <t>RECT-932-20251102-12_55_59</t>
  </si>
  <si>
    <t>20251103 13:00:11</t>
  </si>
  <si>
    <t>13:00:11</t>
  </si>
  <si>
    <t>RECT-933-20251102-12_59_27</t>
  </si>
  <si>
    <t>20251103 13:03:05</t>
  </si>
  <si>
    <t>13:03:05</t>
  </si>
  <si>
    <t>RECT-934-20251102-13_02_21</t>
  </si>
  <si>
    <t>20251103 13:10:29</t>
  </si>
  <si>
    <t>13:10:29</t>
  </si>
  <si>
    <t>gg_11</t>
  </si>
  <si>
    <t>RECT-935-20251102-13_09_45</t>
  </si>
  <si>
    <t>20251103 13:12:40</t>
  </si>
  <si>
    <t>13:12:40</t>
  </si>
  <si>
    <t>RECT-936-20251102-13_11_56</t>
  </si>
  <si>
    <t>20251103 13:14:40</t>
  </si>
  <si>
    <t>13:14:40</t>
  </si>
  <si>
    <t>RECT-937-20251102-13_13_57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</si>
</sst>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3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1762190336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1762190327.5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428.339566645948</v>
      </c>
      <c r="AK17">
        <v>438.604115151515</v>
      </c>
      <c r="AL17">
        <v>-0.000733009618307753</v>
      </c>
      <c r="AM17">
        <v>62.621534815129</v>
      </c>
      <c r="AN17">
        <f>(AP17 - AO17 + DY17*1E3/(8.314*(EA17+273.15)) * AR17/DX17 * AQ17) * DX17/(100*DL17) * 1000/(1000 - AP17)</f>
        <v>0</v>
      </c>
      <c r="AO17">
        <v>19.5655676183978</v>
      </c>
      <c r="AP17">
        <v>25.3291593939394</v>
      </c>
      <c r="AQ17">
        <v>0.00579210307856328</v>
      </c>
      <c r="AR17">
        <v>103.126078472039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5102.11</v>
      </c>
      <c r="AZ17">
        <v>1099.628</v>
      </c>
      <c r="BA17">
        <v>2279.87</v>
      </c>
      <c r="BB17">
        <f>1-AZ17/BA17</f>
        <v>0</v>
      </c>
      <c r="BC17">
        <v>-8.38462568501085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1762190327.5</v>
      </c>
      <c r="DR17">
        <v>427.4784375</v>
      </c>
      <c r="DS17">
        <v>419.9564375</v>
      </c>
      <c r="DT17">
        <v>25.289075</v>
      </c>
      <c r="DU17">
        <v>19.56675625</v>
      </c>
      <c r="DV17">
        <v>418.9450625</v>
      </c>
      <c r="DW17">
        <v>24.96034375</v>
      </c>
      <c r="DX17">
        <v>500.0471875</v>
      </c>
      <c r="DY17">
        <v>90.88711875</v>
      </c>
      <c r="DZ17">
        <v>0.100060925</v>
      </c>
      <c r="EA17">
        <v>43.8930125</v>
      </c>
      <c r="EB17">
        <v>40.61549375</v>
      </c>
      <c r="EC17">
        <v>999.9</v>
      </c>
      <c r="ED17">
        <v>0</v>
      </c>
      <c r="EE17">
        <v>0</v>
      </c>
      <c r="EF17">
        <v>9992.21875</v>
      </c>
      <c r="EG17">
        <v>0</v>
      </c>
      <c r="EH17">
        <v>0.235956</v>
      </c>
      <c r="EI17">
        <v>7.52205375</v>
      </c>
      <c r="EJ17">
        <v>438.569625</v>
      </c>
      <c r="EK17">
        <v>428.3375625</v>
      </c>
      <c r="EL17">
        <v>5.7223375</v>
      </c>
      <c r="EM17">
        <v>419.9564375</v>
      </c>
      <c r="EN17">
        <v>19.56675625</v>
      </c>
      <c r="EO17">
        <v>2.298451875</v>
      </c>
      <c r="EP17">
        <v>1.778363125</v>
      </c>
      <c r="EQ17">
        <v>19.66554375</v>
      </c>
      <c r="ER17">
        <v>15.5979</v>
      </c>
      <c r="ES17">
        <v>0.00500016</v>
      </c>
      <c r="ET17">
        <v>0</v>
      </c>
      <c r="EU17">
        <v>0</v>
      </c>
      <c r="EV17">
        <v>0</v>
      </c>
      <c r="EW17">
        <v>1099.81875</v>
      </c>
      <c r="EX17">
        <v>0.00500016</v>
      </c>
      <c r="EY17">
        <v>-15.69375</v>
      </c>
      <c r="EZ17">
        <v>-1.94375</v>
      </c>
      <c r="FA17">
        <v>40.476375</v>
      </c>
      <c r="FB17">
        <v>43.909875</v>
      </c>
      <c r="FC17">
        <v>42.1988125</v>
      </c>
      <c r="FD17">
        <v>44.55425</v>
      </c>
      <c r="FE17">
        <v>44.386625</v>
      </c>
      <c r="FF17">
        <v>0</v>
      </c>
      <c r="FG17">
        <v>0</v>
      </c>
      <c r="FH17">
        <v>0</v>
      </c>
      <c r="FI17">
        <v>1762190372.1</v>
      </c>
      <c r="FJ17">
        <v>0</v>
      </c>
      <c r="FK17">
        <v>1099.628</v>
      </c>
      <c r="FL17">
        <v>-4.66153839264775</v>
      </c>
      <c r="FM17">
        <v>22.1153843919906</v>
      </c>
      <c r="FN17">
        <v>-15.232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7.5164975</v>
      </c>
      <c r="GD17">
        <v>0.282344210526305</v>
      </c>
      <c r="GE17">
        <v>0.0567007303193707</v>
      </c>
      <c r="GF17">
        <v>1</v>
      </c>
      <c r="GG17">
        <v>1098.48529411765</v>
      </c>
      <c r="GH17">
        <v>4.86936592944802</v>
      </c>
      <c r="GI17">
        <v>5.41355229428022</v>
      </c>
      <c r="GJ17">
        <v>-1</v>
      </c>
      <c r="GK17">
        <v>5.7063345</v>
      </c>
      <c r="GL17">
        <v>0.317938195488718</v>
      </c>
      <c r="GM17">
        <v>0.0305763445289001</v>
      </c>
      <c r="GN17">
        <v>0</v>
      </c>
      <c r="GO17">
        <v>1</v>
      </c>
      <c r="GP17">
        <v>2</v>
      </c>
      <c r="GQ17" t="s">
        <v>441</v>
      </c>
      <c r="GR17">
        <v>3.1241</v>
      </c>
      <c r="GS17">
        <v>2.72536</v>
      </c>
      <c r="GT17">
        <v>0.0891021</v>
      </c>
      <c r="GU17">
        <v>0.0891524</v>
      </c>
      <c r="GV17">
        <v>0.105086</v>
      </c>
      <c r="GW17">
        <v>0.0876639</v>
      </c>
      <c r="GX17">
        <v>23221.9</v>
      </c>
      <c r="GY17">
        <v>21937.9</v>
      </c>
      <c r="GZ17">
        <v>22820.6</v>
      </c>
      <c r="HA17">
        <v>23476.2</v>
      </c>
      <c r="HB17">
        <v>34840.9</v>
      </c>
      <c r="HC17">
        <v>35453.3</v>
      </c>
      <c r="HD17">
        <v>41180.7</v>
      </c>
      <c r="HE17">
        <v>41872.8</v>
      </c>
      <c r="HF17">
        <v>1.8615</v>
      </c>
      <c r="HG17">
        <v>2.27893</v>
      </c>
      <c r="HH17">
        <v>0.188574</v>
      </c>
      <c r="HI17">
        <v>0</v>
      </c>
      <c r="HJ17">
        <v>37.6245</v>
      </c>
      <c r="HK17">
        <v>999.9</v>
      </c>
      <c r="HL17">
        <v>53.589</v>
      </c>
      <c r="HM17">
        <v>25.71</v>
      </c>
      <c r="HN17">
        <v>19.5557</v>
      </c>
      <c r="HO17">
        <v>55.23</v>
      </c>
      <c r="HP17">
        <v>31.9111</v>
      </c>
      <c r="HQ17">
        <v>2</v>
      </c>
      <c r="HR17">
        <v>0.477365</v>
      </c>
      <c r="HS17">
        <v>-6.66667</v>
      </c>
      <c r="HT17">
        <v>20.1212</v>
      </c>
      <c r="HU17">
        <v>5.23286</v>
      </c>
      <c r="HV17">
        <v>11.998</v>
      </c>
      <c r="HW17">
        <v>4.95575</v>
      </c>
      <c r="HX17">
        <v>3.304</v>
      </c>
      <c r="HY17">
        <v>9999</v>
      </c>
      <c r="HZ17">
        <v>9999</v>
      </c>
      <c r="IA17">
        <v>9999</v>
      </c>
      <c r="IB17">
        <v>999.9</v>
      </c>
      <c r="IC17">
        <v>1.86846</v>
      </c>
      <c r="ID17">
        <v>1.86417</v>
      </c>
      <c r="IE17">
        <v>1.87181</v>
      </c>
      <c r="IF17">
        <v>1.86258</v>
      </c>
      <c r="IG17">
        <v>1.86203</v>
      </c>
      <c r="IH17">
        <v>1.86846</v>
      </c>
      <c r="II17">
        <v>1.85862</v>
      </c>
      <c r="IJ17">
        <v>1.86508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8.534</v>
      </c>
      <c r="IY17">
        <v>0.3288</v>
      </c>
      <c r="IZ17">
        <v>5.68464161616582</v>
      </c>
      <c r="JA17">
        <v>0.0084032629040739</v>
      </c>
      <c r="JB17">
        <v>-4.27142149824345e-06</v>
      </c>
      <c r="JC17">
        <v>1.06016907176734e-09</v>
      </c>
      <c r="JD17">
        <v>0.328744801655011</v>
      </c>
      <c r="JE17">
        <v>0</v>
      </c>
      <c r="JF17">
        <v>0</v>
      </c>
      <c r="JG17">
        <v>0</v>
      </c>
      <c r="JH17">
        <v>-1</v>
      </c>
      <c r="JI17">
        <v>2195</v>
      </c>
      <c r="JJ17">
        <v>1</v>
      </c>
      <c r="JK17">
        <v>22</v>
      </c>
      <c r="JL17">
        <v>29369838.9</v>
      </c>
      <c r="JM17">
        <v>29369838.9</v>
      </c>
      <c r="JN17">
        <v>1.29272</v>
      </c>
      <c r="JO17">
        <v>2.34619</v>
      </c>
      <c r="JP17">
        <v>2.09839</v>
      </c>
      <c r="JQ17">
        <v>2.65259</v>
      </c>
      <c r="JR17">
        <v>2.24365</v>
      </c>
      <c r="JS17">
        <v>2.3584</v>
      </c>
      <c r="JT17">
        <v>32.7758</v>
      </c>
      <c r="JU17">
        <v>24.2451</v>
      </c>
      <c r="JV17">
        <v>18</v>
      </c>
      <c r="JW17">
        <v>555.628</v>
      </c>
      <c r="JX17">
        <v>851.6</v>
      </c>
      <c r="JY17">
        <v>55.7892</v>
      </c>
      <c r="JZ17">
        <v>33.694</v>
      </c>
      <c r="KA17">
        <v>30.0014</v>
      </c>
      <c r="KB17">
        <v>32.5744</v>
      </c>
      <c r="KC17">
        <v>32.6536</v>
      </c>
      <c r="KD17">
        <v>25.9167</v>
      </c>
      <c r="KE17">
        <v>0</v>
      </c>
      <c r="KF17">
        <v>100</v>
      </c>
      <c r="KG17">
        <v>815.697</v>
      </c>
      <c r="KH17">
        <v>420</v>
      </c>
      <c r="KI17">
        <v>21.8788</v>
      </c>
      <c r="KJ17">
        <v>92.2657</v>
      </c>
      <c r="KK17">
        <v>97.5807</v>
      </c>
    </row>
    <row r="18" spans="1:297">
      <c r="A18">
        <v>2</v>
      </c>
      <c r="B18">
        <v>1762190456.1</v>
      </c>
      <c r="C18">
        <v>120.099999904633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1762190448.1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428.379019621354</v>
      </c>
      <c r="AK18">
        <v>438.742278787879</v>
      </c>
      <c r="AL18">
        <v>0.00161285078844686</v>
      </c>
      <c r="AM18">
        <v>62.621534815129</v>
      </c>
      <c r="AN18">
        <f>(AP18 - AO18 + DY18*1E3/(8.314*(EA18+273.15)) * AR18/DX18 * AQ18) * DX18/(100*DL18) * 1000/(1000 - AP18)</f>
        <v>0</v>
      </c>
      <c r="AO18">
        <v>19.5303320358394</v>
      </c>
      <c r="AP18">
        <v>26.0461012121212</v>
      </c>
      <c r="AQ18">
        <v>0.0058155427294653</v>
      </c>
      <c r="AR18">
        <v>103.126078472039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5100.47</v>
      </c>
      <c r="AZ18">
        <v>1147.932</v>
      </c>
      <c r="BA18">
        <v>2237.69</v>
      </c>
      <c r="BB18">
        <f>1-AZ18/BA18</f>
        <v>0</v>
      </c>
      <c r="BC18">
        <v>-8.47326953480078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1762190448.1</v>
      </c>
      <c r="DR18">
        <v>427.276933333333</v>
      </c>
      <c r="DS18">
        <v>419.9998</v>
      </c>
      <c r="DT18">
        <v>26.00252</v>
      </c>
      <c r="DU18">
        <v>19.5302266666667</v>
      </c>
      <c r="DV18">
        <v>418.744533333333</v>
      </c>
      <c r="DW18">
        <v>25.67378</v>
      </c>
      <c r="DX18">
        <v>500.012066666667</v>
      </c>
      <c r="DY18">
        <v>90.8926</v>
      </c>
      <c r="DZ18">
        <v>0.0999428333333333</v>
      </c>
      <c r="EA18">
        <v>44.5227266666667</v>
      </c>
      <c r="EB18">
        <v>41.1237733333333</v>
      </c>
      <c r="EC18">
        <v>999.9</v>
      </c>
      <c r="ED18">
        <v>0</v>
      </c>
      <c r="EE18">
        <v>0</v>
      </c>
      <c r="EF18">
        <v>9995.70533333334</v>
      </c>
      <c r="EG18">
        <v>0</v>
      </c>
      <c r="EH18">
        <v>0.255952466666667</v>
      </c>
      <c r="EI18">
        <v>7.27713866666667</v>
      </c>
      <c r="EJ18">
        <v>438.6838</v>
      </c>
      <c r="EK18">
        <v>428.365666666667</v>
      </c>
      <c r="EL18">
        <v>6.47229866666667</v>
      </c>
      <c r="EM18">
        <v>419.9998</v>
      </c>
      <c r="EN18">
        <v>19.5302266666667</v>
      </c>
      <c r="EO18">
        <v>2.36343733333333</v>
      </c>
      <c r="EP18">
        <v>1.775154</v>
      </c>
      <c r="EQ18">
        <v>20.1154133333333</v>
      </c>
      <c r="ER18">
        <v>15.5696933333333</v>
      </c>
      <c r="ES18">
        <v>0.00500016</v>
      </c>
      <c r="ET18">
        <v>0</v>
      </c>
      <c r="EU18">
        <v>0</v>
      </c>
      <c r="EV18">
        <v>0</v>
      </c>
      <c r="EW18">
        <v>1147.84666666667</v>
      </c>
      <c r="EX18">
        <v>0.00500016</v>
      </c>
      <c r="EY18">
        <v>-13.2533333333333</v>
      </c>
      <c r="EZ18">
        <v>-1.44666666666667</v>
      </c>
      <c r="FA18">
        <v>40.9999333333333</v>
      </c>
      <c r="FB18">
        <v>44.3666</v>
      </c>
      <c r="FC18">
        <v>42.6996</v>
      </c>
      <c r="FD18">
        <v>45.0206666666667</v>
      </c>
      <c r="FE18">
        <v>44.9328666666667</v>
      </c>
      <c r="FF18">
        <v>0</v>
      </c>
      <c r="FG18">
        <v>0</v>
      </c>
      <c r="FH18">
        <v>0</v>
      </c>
      <c r="FI18">
        <v>118.5</v>
      </c>
      <c r="FJ18">
        <v>0</v>
      </c>
      <c r="FK18">
        <v>1147.932</v>
      </c>
      <c r="FL18">
        <v>-33.9230775344062</v>
      </c>
      <c r="FM18">
        <v>5.73076986349543</v>
      </c>
      <c r="FN18">
        <v>-13.92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7.282156</v>
      </c>
      <c r="GD18">
        <v>-0.0390351879699209</v>
      </c>
      <c r="GE18">
        <v>0.0606281514149987</v>
      </c>
      <c r="GF18">
        <v>1</v>
      </c>
      <c r="GG18">
        <v>1150.14411764706</v>
      </c>
      <c r="GH18">
        <v>-32.3896105934284</v>
      </c>
      <c r="GI18">
        <v>6.49122444610325</v>
      </c>
      <c r="GJ18">
        <v>-1</v>
      </c>
      <c r="GK18">
        <v>6.44925</v>
      </c>
      <c r="GL18">
        <v>0.39850375939849</v>
      </c>
      <c r="GM18">
        <v>0.0383181891534555</v>
      </c>
      <c r="GN18">
        <v>0</v>
      </c>
      <c r="GO18">
        <v>1</v>
      </c>
      <c r="GP18">
        <v>2</v>
      </c>
      <c r="GQ18" t="s">
        <v>441</v>
      </c>
      <c r="GR18">
        <v>3.12413</v>
      </c>
      <c r="GS18">
        <v>2.72542</v>
      </c>
      <c r="GT18">
        <v>0.0889937</v>
      </c>
      <c r="GU18">
        <v>0.0890835</v>
      </c>
      <c r="GV18">
        <v>0.107132</v>
      </c>
      <c r="GW18">
        <v>0.0874795</v>
      </c>
      <c r="GX18">
        <v>23199</v>
      </c>
      <c r="GY18">
        <v>21922.1</v>
      </c>
      <c r="GZ18">
        <v>22796.9</v>
      </c>
      <c r="HA18">
        <v>23459.3</v>
      </c>
      <c r="HB18">
        <v>34729.9</v>
      </c>
      <c r="HC18">
        <v>35437.7</v>
      </c>
      <c r="HD18">
        <v>41143.1</v>
      </c>
      <c r="HE18">
        <v>41846.4</v>
      </c>
      <c r="HF18">
        <v>1.85758</v>
      </c>
      <c r="HG18">
        <v>2.2722</v>
      </c>
      <c r="HH18">
        <v>0.182822</v>
      </c>
      <c r="HI18">
        <v>0</v>
      </c>
      <c r="HJ18">
        <v>38.206</v>
      </c>
      <c r="HK18">
        <v>999.9</v>
      </c>
      <c r="HL18">
        <v>53.394</v>
      </c>
      <c r="HM18">
        <v>25.77</v>
      </c>
      <c r="HN18">
        <v>19.5537</v>
      </c>
      <c r="HO18">
        <v>55.4591</v>
      </c>
      <c r="HP18">
        <v>31.847</v>
      </c>
      <c r="HQ18">
        <v>2</v>
      </c>
      <c r="HR18">
        <v>0.511062</v>
      </c>
      <c r="HS18">
        <v>-6.66667</v>
      </c>
      <c r="HT18">
        <v>20.1211</v>
      </c>
      <c r="HU18">
        <v>5.23436</v>
      </c>
      <c r="HV18">
        <v>11.998</v>
      </c>
      <c r="HW18">
        <v>4.95575</v>
      </c>
      <c r="HX18">
        <v>3.304</v>
      </c>
      <c r="HY18">
        <v>9999</v>
      </c>
      <c r="HZ18">
        <v>9999</v>
      </c>
      <c r="IA18">
        <v>9999</v>
      </c>
      <c r="IB18">
        <v>999.9</v>
      </c>
      <c r="IC18">
        <v>1.86845</v>
      </c>
      <c r="ID18">
        <v>1.86417</v>
      </c>
      <c r="IE18">
        <v>1.8718</v>
      </c>
      <c r="IF18">
        <v>1.8626</v>
      </c>
      <c r="IG18">
        <v>1.86203</v>
      </c>
      <c r="IH18">
        <v>1.86848</v>
      </c>
      <c r="II18">
        <v>1.85864</v>
      </c>
      <c r="IJ18">
        <v>1.86508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8.532</v>
      </c>
      <c r="IY18">
        <v>0.3287</v>
      </c>
      <c r="IZ18">
        <v>5.68464161616582</v>
      </c>
      <c r="JA18">
        <v>0.0084032629040739</v>
      </c>
      <c r="JB18">
        <v>-4.27142149824345e-06</v>
      </c>
      <c r="JC18">
        <v>1.06016907176734e-09</v>
      </c>
      <c r="JD18">
        <v>0.328744801655011</v>
      </c>
      <c r="JE18">
        <v>0</v>
      </c>
      <c r="JF18">
        <v>0</v>
      </c>
      <c r="JG18">
        <v>0</v>
      </c>
      <c r="JH18">
        <v>-1</v>
      </c>
      <c r="JI18">
        <v>2195</v>
      </c>
      <c r="JJ18">
        <v>1</v>
      </c>
      <c r="JK18">
        <v>22</v>
      </c>
      <c r="JL18">
        <v>29369840.9</v>
      </c>
      <c r="JM18">
        <v>29369840.9</v>
      </c>
      <c r="JN18">
        <v>1.29395</v>
      </c>
      <c r="JO18">
        <v>2.35352</v>
      </c>
      <c r="JP18">
        <v>2.09839</v>
      </c>
      <c r="JQ18">
        <v>2.65381</v>
      </c>
      <c r="JR18">
        <v>2.24365</v>
      </c>
      <c r="JS18">
        <v>2.26685</v>
      </c>
      <c r="JT18">
        <v>32.8869</v>
      </c>
      <c r="JU18">
        <v>24.2276</v>
      </c>
      <c r="JV18">
        <v>18</v>
      </c>
      <c r="JW18">
        <v>555.849</v>
      </c>
      <c r="JX18">
        <v>849.711</v>
      </c>
      <c r="JY18">
        <v>56.3524</v>
      </c>
      <c r="JZ18">
        <v>34.0936</v>
      </c>
      <c r="KA18">
        <v>30.0014</v>
      </c>
      <c r="KB18">
        <v>32.9348</v>
      </c>
      <c r="KC18">
        <v>33.014</v>
      </c>
      <c r="KD18">
        <v>25.9394</v>
      </c>
      <c r="KE18">
        <v>0</v>
      </c>
      <c r="KF18">
        <v>100</v>
      </c>
      <c r="KG18">
        <v>68.9352</v>
      </c>
      <c r="KH18">
        <v>420</v>
      </c>
      <c r="KI18">
        <v>21.8788</v>
      </c>
      <c r="KJ18">
        <v>92.1773</v>
      </c>
      <c r="KK18">
        <v>97.516</v>
      </c>
    </row>
    <row r="19" spans="1:297">
      <c r="A19">
        <v>3</v>
      </c>
      <c r="B19">
        <v>1762190581.1</v>
      </c>
      <c r="C19">
        <v>245.099999904633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1762190573.1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428.316722202648</v>
      </c>
      <c r="AK19">
        <v>438.718878787879</v>
      </c>
      <c r="AL19">
        <v>-0.0268991591267529</v>
      </c>
      <c r="AM19">
        <v>62.621534815129</v>
      </c>
      <c r="AN19">
        <f>(AP19 - AO19 + DY19*1E3/(8.314*(EA19+273.15)) * AR19/DX19 * AQ19) * DX19/(100*DL19) * 1000/(1000 - AP19)</f>
        <v>0</v>
      </c>
      <c r="AO19">
        <v>19.5079275616425</v>
      </c>
      <c r="AP19">
        <v>26.9301654545454</v>
      </c>
      <c r="AQ19">
        <v>0.00675445404276572</v>
      </c>
      <c r="AR19">
        <v>103.126078472039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5098.47</v>
      </c>
      <c r="AZ19">
        <v>1153.744</v>
      </c>
      <c r="BA19">
        <v>2210.35</v>
      </c>
      <c r="BB19">
        <f>1-AZ19/BA19</f>
        <v>0</v>
      </c>
      <c r="BC19">
        <v>-8.4041441636432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1762190573.1</v>
      </c>
      <c r="DR19">
        <v>426.9742</v>
      </c>
      <c r="DS19">
        <v>419.982266666667</v>
      </c>
      <c r="DT19">
        <v>26.8817866666667</v>
      </c>
      <c r="DU19">
        <v>19.5093</v>
      </c>
      <c r="DV19">
        <v>418.443533333333</v>
      </c>
      <c r="DW19">
        <v>26.5530666666667</v>
      </c>
      <c r="DX19">
        <v>499.961733333333</v>
      </c>
      <c r="DY19">
        <v>90.8832933333334</v>
      </c>
      <c r="DZ19">
        <v>0.0999844</v>
      </c>
      <c r="EA19">
        <v>45.0872466666667</v>
      </c>
      <c r="EB19">
        <v>41.56544</v>
      </c>
      <c r="EC19">
        <v>999.9</v>
      </c>
      <c r="ED19">
        <v>0</v>
      </c>
      <c r="EE19">
        <v>0</v>
      </c>
      <c r="EF19">
        <v>10018.632</v>
      </c>
      <c r="EG19">
        <v>0</v>
      </c>
      <c r="EH19">
        <v>0.264484133333333</v>
      </c>
      <c r="EI19">
        <v>6.99203733333333</v>
      </c>
      <c r="EJ19">
        <v>438.7692</v>
      </c>
      <c r="EK19">
        <v>428.3388</v>
      </c>
      <c r="EL19">
        <v>7.37249466666667</v>
      </c>
      <c r="EM19">
        <v>419.982266666667</v>
      </c>
      <c r="EN19">
        <v>19.5093</v>
      </c>
      <c r="EO19">
        <v>2.44310666666667</v>
      </c>
      <c r="EP19">
        <v>1.77307</v>
      </c>
      <c r="EQ19">
        <v>20.6523533333333</v>
      </c>
      <c r="ER19">
        <v>15.55138</v>
      </c>
      <c r="ES19">
        <v>0.00500016</v>
      </c>
      <c r="ET19">
        <v>0</v>
      </c>
      <c r="EU19">
        <v>0</v>
      </c>
      <c r="EV19">
        <v>0</v>
      </c>
      <c r="EW19">
        <v>1154.27333333333</v>
      </c>
      <c r="EX19">
        <v>0.00500016</v>
      </c>
      <c r="EY19">
        <v>-11.3666666666667</v>
      </c>
      <c r="EZ19">
        <v>-1.12666666666667</v>
      </c>
      <c r="FA19">
        <v>41.5206666666667</v>
      </c>
      <c r="FB19">
        <v>44.8414</v>
      </c>
      <c r="FC19">
        <v>43.2164</v>
      </c>
      <c r="FD19">
        <v>45.5041333333333</v>
      </c>
      <c r="FE19">
        <v>45.4664</v>
      </c>
      <c r="FF19">
        <v>0</v>
      </c>
      <c r="FG19">
        <v>0</v>
      </c>
      <c r="FH19">
        <v>0</v>
      </c>
      <c r="FI19">
        <v>123.600000143051</v>
      </c>
      <c r="FJ19">
        <v>0</v>
      </c>
      <c r="FK19">
        <v>1153.744</v>
      </c>
      <c r="FL19">
        <v>-16.8461534639303</v>
      </c>
      <c r="FM19">
        <v>-7.04615382094829</v>
      </c>
      <c r="FN19">
        <v>-10.804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7.01383857142857</v>
      </c>
      <c r="GD19">
        <v>-0.10487064935065</v>
      </c>
      <c r="GE19">
        <v>0.0534808104691334</v>
      </c>
      <c r="GF19">
        <v>1</v>
      </c>
      <c r="GG19">
        <v>1153.78529411765</v>
      </c>
      <c r="GH19">
        <v>-9.74637110220682</v>
      </c>
      <c r="GI19">
        <v>6.82638188350001</v>
      </c>
      <c r="GJ19">
        <v>-1</v>
      </c>
      <c r="GK19">
        <v>7.3440880952381</v>
      </c>
      <c r="GL19">
        <v>0.428361038961037</v>
      </c>
      <c r="GM19">
        <v>0.04328721736088</v>
      </c>
      <c r="GN19">
        <v>0</v>
      </c>
      <c r="GO19">
        <v>1</v>
      </c>
      <c r="GP19">
        <v>2</v>
      </c>
      <c r="GQ19" t="s">
        <v>441</v>
      </c>
      <c r="GR19">
        <v>3.12437</v>
      </c>
      <c r="GS19">
        <v>2.72568</v>
      </c>
      <c r="GT19">
        <v>0.0888558</v>
      </c>
      <c r="GU19">
        <v>0.0889919</v>
      </c>
      <c r="GV19">
        <v>0.109617</v>
      </c>
      <c r="GW19">
        <v>0.087319</v>
      </c>
      <c r="GX19">
        <v>23174.9</v>
      </c>
      <c r="GY19">
        <v>21906.1</v>
      </c>
      <c r="GZ19">
        <v>22771.4</v>
      </c>
      <c r="HA19">
        <v>23441.6</v>
      </c>
      <c r="HB19">
        <v>34599.8</v>
      </c>
      <c r="HC19">
        <v>35420</v>
      </c>
      <c r="HD19">
        <v>41103</v>
      </c>
      <c r="HE19">
        <v>41818.8</v>
      </c>
      <c r="HF19">
        <v>1.85365</v>
      </c>
      <c r="HG19">
        <v>2.26503</v>
      </c>
      <c r="HH19">
        <v>0.178576</v>
      </c>
      <c r="HI19">
        <v>0</v>
      </c>
      <c r="HJ19">
        <v>38.7272</v>
      </c>
      <c r="HK19">
        <v>999.9</v>
      </c>
      <c r="HL19">
        <v>53.223</v>
      </c>
      <c r="HM19">
        <v>25.821</v>
      </c>
      <c r="HN19">
        <v>19.5528</v>
      </c>
      <c r="HO19">
        <v>55.5891</v>
      </c>
      <c r="HP19">
        <v>31.6546</v>
      </c>
      <c r="HQ19">
        <v>2</v>
      </c>
      <c r="HR19">
        <v>0.546883</v>
      </c>
      <c r="HS19">
        <v>-6.66667</v>
      </c>
      <c r="HT19">
        <v>20.1205</v>
      </c>
      <c r="HU19">
        <v>5.23301</v>
      </c>
      <c r="HV19">
        <v>11.998</v>
      </c>
      <c r="HW19">
        <v>4.95575</v>
      </c>
      <c r="HX19">
        <v>3.304</v>
      </c>
      <c r="HY19">
        <v>9999</v>
      </c>
      <c r="HZ19">
        <v>9999</v>
      </c>
      <c r="IA19">
        <v>9999</v>
      </c>
      <c r="IB19">
        <v>999.9</v>
      </c>
      <c r="IC19">
        <v>1.86845</v>
      </c>
      <c r="ID19">
        <v>1.86417</v>
      </c>
      <c r="IE19">
        <v>1.87181</v>
      </c>
      <c r="IF19">
        <v>1.86261</v>
      </c>
      <c r="IG19">
        <v>1.86203</v>
      </c>
      <c r="IH19">
        <v>1.86849</v>
      </c>
      <c r="II19">
        <v>1.85867</v>
      </c>
      <c r="IJ19">
        <v>1.86508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8.53</v>
      </c>
      <c r="IY19">
        <v>0.3287</v>
      </c>
      <c r="IZ19">
        <v>5.68464161616582</v>
      </c>
      <c r="JA19">
        <v>0.0084032629040739</v>
      </c>
      <c r="JB19">
        <v>-4.27142149824345e-06</v>
      </c>
      <c r="JC19">
        <v>1.06016907176734e-09</v>
      </c>
      <c r="JD19">
        <v>0.328744801655011</v>
      </c>
      <c r="JE19">
        <v>0</v>
      </c>
      <c r="JF19">
        <v>0</v>
      </c>
      <c r="JG19">
        <v>0</v>
      </c>
      <c r="JH19">
        <v>-1</v>
      </c>
      <c r="JI19">
        <v>2195</v>
      </c>
      <c r="JJ19">
        <v>1</v>
      </c>
      <c r="JK19">
        <v>22</v>
      </c>
      <c r="JL19">
        <v>29369843</v>
      </c>
      <c r="JM19">
        <v>29369843</v>
      </c>
      <c r="JN19">
        <v>1.29517</v>
      </c>
      <c r="JO19">
        <v>2.34863</v>
      </c>
      <c r="JP19">
        <v>2.09839</v>
      </c>
      <c r="JQ19">
        <v>2.65259</v>
      </c>
      <c r="JR19">
        <v>2.24365</v>
      </c>
      <c r="JS19">
        <v>2.33032</v>
      </c>
      <c r="JT19">
        <v>32.976</v>
      </c>
      <c r="JU19">
        <v>24.2451</v>
      </c>
      <c r="JV19">
        <v>18</v>
      </c>
      <c r="JW19">
        <v>556.23</v>
      </c>
      <c r="JX19">
        <v>847.687</v>
      </c>
      <c r="JY19">
        <v>56.8794</v>
      </c>
      <c r="JZ19">
        <v>34.5125</v>
      </c>
      <c r="KA19">
        <v>30.0014</v>
      </c>
      <c r="KB19">
        <v>33.3181</v>
      </c>
      <c r="KC19">
        <v>33.4009</v>
      </c>
      <c r="KD19">
        <v>25.9613</v>
      </c>
      <c r="KE19">
        <v>0</v>
      </c>
      <c r="KF19">
        <v>100</v>
      </c>
      <c r="KG19">
        <v>60.9777</v>
      </c>
      <c r="KH19">
        <v>420</v>
      </c>
      <c r="KI19">
        <v>21.8788</v>
      </c>
      <c r="KJ19">
        <v>92.0826</v>
      </c>
      <c r="KK19">
        <v>97.4484</v>
      </c>
    </row>
    <row r="20" spans="1:297">
      <c r="A20">
        <v>4</v>
      </c>
      <c r="B20">
        <v>1762191106.1</v>
      </c>
      <c r="C20">
        <v>770.099999904633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1762191097.6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428.312190490283</v>
      </c>
      <c r="AK20">
        <v>442.76023030303</v>
      </c>
      <c r="AL20">
        <v>-0.0026524108432452</v>
      </c>
      <c r="AM20">
        <v>63.3811491566529</v>
      </c>
      <c r="AN20">
        <f>(AP20 - AO20 + DY20*1E3/(8.314*(EA20+273.15)) * AR20/DX20 * AQ20) * DX20/(100*DL20) * 1000/(1000 - AP20)</f>
        <v>0</v>
      </c>
      <c r="AO20">
        <v>19.4273191385347</v>
      </c>
      <c r="AP20">
        <v>23.4520254545454</v>
      </c>
      <c r="AQ20">
        <v>6.05286032907453e-05</v>
      </c>
      <c r="AR20">
        <v>102.978210152154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5104.67</v>
      </c>
      <c r="AZ20">
        <v>805.308</v>
      </c>
      <c r="BA20">
        <v>2343.36</v>
      </c>
      <c r="BB20">
        <f>1-AZ20/BA20</f>
        <v>0</v>
      </c>
      <c r="BC20">
        <v>-11.7967763820641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1762191097.6</v>
      </c>
      <c r="DR20">
        <v>432.4165625</v>
      </c>
      <c r="DS20">
        <v>419.984</v>
      </c>
      <c r="DT20">
        <v>23.4246375</v>
      </c>
      <c r="DU20">
        <v>19.4265</v>
      </c>
      <c r="DV20">
        <v>423.8568125</v>
      </c>
      <c r="DW20">
        <v>23.06739375</v>
      </c>
      <c r="DX20">
        <v>500.0041875</v>
      </c>
      <c r="DY20">
        <v>90.889325</v>
      </c>
      <c r="DZ20">
        <v>0.099982675</v>
      </c>
      <c r="EA20">
        <v>44.34949375</v>
      </c>
      <c r="EB20">
        <v>41.94335</v>
      </c>
      <c r="EC20">
        <v>999.9</v>
      </c>
      <c r="ED20">
        <v>0</v>
      </c>
      <c r="EE20">
        <v>0</v>
      </c>
      <c r="EF20">
        <v>9999.8825</v>
      </c>
      <c r="EG20">
        <v>0</v>
      </c>
      <c r="EH20">
        <v>0.2747315</v>
      </c>
      <c r="EI20">
        <v>12.4324625</v>
      </c>
      <c r="EJ20">
        <v>442.788875</v>
      </c>
      <c r="EK20">
        <v>428.3045625</v>
      </c>
      <c r="EL20">
        <v>3.9981475</v>
      </c>
      <c r="EM20">
        <v>419.984</v>
      </c>
      <c r="EN20">
        <v>19.4265</v>
      </c>
      <c r="EO20">
        <v>2.12905</v>
      </c>
      <c r="EP20">
        <v>1.76566125</v>
      </c>
      <c r="EQ20">
        <v>18.4381875</v>
      </c>
      <c r="ER20">
        <v>15.486075</v>
      </c>
      <c r="ES20">
        <v>0.00500016</v>
      </c>
      <c r="ET20">
        <v>0</v>
      </c>
      <c r="EU20">
        <v>0</v>
      </c>
      <c r="EV20">
        <v>0</v>
      </c>
      <c r="EW20">
        <v>805.16875</v>
      </c>
      <c r="EX20">
        <v>0.00500016</v>
      </c>
      <c r="EY20">
        <v>-0.6375</v>
      </c>
      <c r="EZ20">
        <v>-1.05</v>
      </c>
      <c r="FA20">
        <v>42.8316875</v>
      </c>
      <c r="FB20">
        <v>46.2145625</v>
      </c>
      <c r="FC20">
        <v>44.63275</v>
      </c>
      <c r="FD20">
        <v>46.753875</v>
      </c>
      <c r="FE20">
        <v>46.687</v>
      </c>
      <c r="FF20">
        <v>0</v>
      </c>
      <c r="FG20">
        <v>0</v>
      </c>
      <c r="FH20">
        <v>0</v>
      </c>
      <c r="FI20">
        <v>523.600000143051</v>
      </c>
      <c r="FJ20">
        <v>0</v>
      </c>
      <c r="FK20">
        <v>805.308</v>
      </c>
      <c r="FL20">
        <v>9.61538421190551</v>
      </c>
      <c r="FM20">
        <v>-0.807692069273725</v>
      </c>
      <c r="FN20">
        <v>-1.156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12.443375</v>
      </c>
      <c r="GD20">
        <v>-0.227012030075174</v>
      </c>
      <c r="GE20">
        <v>0.0334282795698491</v>
      </c>
      <c r="GF20">
        <v>1</v>
      </c>
      <c r="GG20">
        <v>805.341176470588</v>
      </c>
      <c r="GH20">
        <v>5.67456067784017</v>
      </c>
      <c r="GI20">
        <v>6.21564050208915</v>
      </c>
      <c r="GJ20">
        <v>-1</v>
      </c>
      <c r="GK20">
        <v>3.9882995</v>
      </c>
      <c r="GL20">
        <v>0.199456691729324</v>
      </c>
      <c r="GM20">
        <v>0.0192006592269641</v>
      </c>
      <c r="GN20">
        <v>0</v>
      </c>
      <c r="GO20">
        <v>1</v>
      </c>
      <c r="GP20">
        <v>2</v>
      </c>
      <c r="GQ20" t="s">
        <v>441</v>
      </c>
      <c r="GR20">
        <v>3.12406</v>
      </c>
      <c r="GS20">
        <v>2.72563</v>
      </c>
      <c r="GT20">
        <v>0.0894547</v>
      </c>
      <c r="GU20">
        <v>0.0887319</v>
      </c>
      <c r="GV20">
        <v>0.0988657</v>
      </c>
      <c r="GW20">
        <v>0.0868277</v>
      </c>
      <c r="GX20">
        <v>23083.7</v>
      </c>
      <c r="GY20">
        <v>21864.1</v>
      </c>
      <c r="GZ20">
        <v>22701.5</v>
      </c>
      <c r="HA20">
        <v>23394.8</v>
      </c>
      <c r="HB20">
        <v>34924.2</v>
      </c>
      <c r="HC20">
        <v>35377.2</v>
      </c>
      <c r="HD20">
        <v>40992.9</v>
      </c>
      <c r="HE20">
        <v>41747.2</v>
      </c>
      <c r="HF20">
        <v>1.83805</v>
      </c>
      <c r="HG20">
        <v>2.24592</v>
      </c>
      <c r="HH20">
        <v>0.220247</v>
      </c>
      <c r="HI20">
        <v>0</v>
      </c>
      <c r="HJ20">
        <v>38.4146</v>
      </c>
      <c r="HK20">
        <v>999.9</v>
      </c>
      <c r="HL20">
        <v>52.521</v>
      </c>
      <c r="HM20">
        <v>26.062</v>
      </c>
      <c r="HN20">
        <v>19.5703</v>
      </c>
      <c r="HO20">
        <v>55.1091</v>
      </c>
      <c r="HP20">
        <v>31.6106</v>
      </c>
      <c r="HQ20">
        <v>2</v>
      </c>
      <c r="HR20">
        <v>0.636692</v>
      </c>
      <c r="HS20">
        <v>-5.85031</v>
      </c>
      <c r="HT20">
        <v>20.1431</v>
      </c>
      <c r="HU20">
        <v>5.23496</v>
      </c>
      <c r="HV20">
        <v>11.998</v>
      </c>
      <c r="HW20">
        <v>4.95575</v>
      </c>
      <c r="HX20">
        <v>3.304</v>
      </c>
      <c r="HY20">
        <v>9999</v>
      </c>
      <c r="HZ20">
        <v>9999</v>
      </c>
      <c r="IA20">
        <v>9999</v>
      </c>
      <c r="IB20">
        <v>999.9</v>
      </c>
      <c r="IC20">
        <v>1.86847</v>
      </c>
      <c r="ID20">
        <v>1.86417</v>
      </c>
      <c r="IE20">
        <v>1.8718</v>
      </c>
      <c r="IF20">
        <v>1.86259</v>
      </c>
      <c r="IG20">
        <v>1.86202</v>
      </c>
      <c r="IH20">
        <v>1.8685</v>
      </c>
      <c r="II20">
        <v>1.85866</v>
      </c>
      <c r="IJ20">
        <v>1.86508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8.56</v>
      </c>
      <c r="IY20">
        <v>0.3581</v>
      </c>
      <c r="IZ20">
        <v>5.68464161616582</v>
      </c>
      <c r="JA20">
        <v>0.0084032629040739</v>
      </c>
      <c r="JB20">
        <v>-4.27142149824345e-06</v>
      </c>
      <c r="JC20">
        <v>1.06016907176734e-09</v>
      </c>
      <c r="JD20">
        <v>0.0695206629494017</v>
      </c>
      <c r="JE20">
        <v>0.00300309655398365</v>
      </c>
      <c r="JF20">
        <v>0.000194846030532398</v>
      </c>
      <c r="JG20">
        <v>9.35021442234225e-06</v>
      </c>
      <c r="JH20">
        <v>-1</v>
      </c>
      <c r="JI20">
        <v>2195</v>
      </c>
      <c r="JJ20">
        <v>1</v>
      </c>
      <c r="JK20">
        <v>22</v>
      </c>
      <c r="JL20">
        <v>29369851.8</v>
      </c>
      <c r="JM20">
        <v>29369851.8</v>
      </c>
      <c r="JN20">
        <v>1.29883</v>
      </c>
      <c r="JO20">
        <v>2.35229</v>
      </c>
      <c r="JP20">
        <v>2.09839</v>
      </c>
      <c r="JQ20">
        <v>2.65259</v>
      </c>
      <c r="JR20">
        <v>2.24365</v>
      </c>
      <c r="JS20">
        <v>2.30957</v>
      </c>
      <c r="JT20">
        <v>33.2216</v>
      </c>
      <c r="JU20">
        <v>24.2539</v>
      </c>
      <c r="JV20">
        <v>18</v>
      </c>
      <c r="JW20">
        <v>554.957</v>
      </c>
      <c r="JX20">
        <v>844.327</v>
      </c>
      <c r="JY20">
        <v>53.6509</v>
      </c>
      <c r="JZ20">
        <v>35.6028</v>
      </c>
      <c r="KA20">
        <v>30.0005</v>
      </c>
      <c r="KB20">
        <v>34.5134</v>
      </c>
      <c r="KC20">
        <v>34.5959</v>
      </c>
      <c r="KD20">
        <v>26.0318</v>
      </c>
      <c r="KE20">
        <v>0</v>
      </c>
      <c r="KF20">
        <v>100</v>
      </c>
      <c r="KG20">
        <v>53.6736</v>
      </c>
      <c r="KH20">
        <v>420</v>
      </c>
      <c r="KI20">
        <v>21.8788</v>
      </c>
      <c r="KJ20">
        <v>91.8232</v>
      </c>
      <c r="KK20">
        <v>97.2716</v>
      </c>
    </row>
    <row r="21" spans="1:297">
      <c r="A21">
        <v>5</v>
      </c>
      <c r="B21">
        <v>1762191276.1</v>
      </c>
      <c r="C21">
        <v>940.099999904633</v>
      </c>
      <c r="D21" t="s">
        <v>455</v>
      </c>
      <c r="E21" t="s">
        <v>456</v>
      </c>
      <c r="F21">
        <v>5</v>
      </c>
      <c r="G21" t="s">
        <v>453</v>
      </c>
      <c r="H21" t="s">
        <v>436</v>
      </c>
      <c r="I21">
        <v>1762191267.6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428.341518565027</v>
      </c>
      <c r="AK21">
        <v>442.010272727273</v>
      </c>
      <c r="AL21">
        <v>-0.00136211119917815</v>
      </c>
      <c r="AM21">
        <v>63.3811491566529</v>
      </c>
      <c r="AN21">
        <f>(AP21 - AO21 + DY21*1E3/(8.314*(EA21+273.15)) * AR21/DX21 * AQ21) * DX21/(100*DL21) * 1000/(1000 - AP21)</f>
        <v>0</v>
      </c>
      <c r="AO21">
        <v>19.4646007061705</v>
      </c>
      <c r="AP21">
        <v>24.1305218181818</v>
      </c>
      <c r="AQ21">
        <v>0.00136577929040936</v>
      </c>
      <c r="AR21">
        <v>102.978210152154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457</v>
      </c>
      <c r="AY21">
        <v>5104.05</v>
      </c>
      <c r="AZ21">
        <v>891.257692307692</v>
      </c>
      <c r="BA21">
        <v>2283.07</v>
      </c>
      <c r="BB21">
        <f>1-AZ21/BA21</f>
        <v>0</v>
      </c>
      <c r="BC21">
        <v>-11.1635406692301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1762191267.6</v>
      </c>
      <c r="DR21">
        <v>431.3760625</v>
      </c>
      <c r="DS21">
        <v>420.0020625</v>
      </c>
      <c r="DT21">
        <v>24.09694375</v>
      </c>
      <c r="DU21">
        <v>19.46158125</v>
      </c>
      <c r="DV21">
        <v>422.8219375</v>
      </c>
      <c r="DW21">
        <v>23.721725</v>
      </c>
      <c r="DX21">
        <v>499.97525</v>
      </c>
      <c r="DY21">
        <v>90.89376875</v>
      </c>
      <c r="DZ21">
        <v>0.0999830375</v>
      </c>
      <c r="EA21">
        <v>44.53339375</v>
      </c>
      <c r="EB21">
        <v>41.970325</v>
      </c>
      <c r="EC21">
        <v>999.9</v>
      </c>
      <c r="ED21">
        <v>0</v>
      </c>
      <c r="EE21">
        <v>0</v>
      </c>
      <c r="EF21">
        <v>9999.846875</v>
      </c>
      <c r="EG21">
        <v>0</v>
      </c>
      <c r="EH21">
        <v>0.2712539375</v>
      </c>
      <c r="EI21">
        <v>11.37399375</v>
      </c>
      <c r="EJ21">
        <v>442.02775</v>
      </c>
      <c r="EK21">
        <v>428.3383125</v>
      </c>
      <c r="EL21">
        <v>4.63536625</v>
      </c>
      <c r="EM21">
        <v>420.0020625</v>
      </c>
      <c r="EN21">
        <v>19.46158125</v>
      </c>
      <c r="EO21">
        <v>2.190261875</v>
      </c>
      <c r="EP21">
        <v>1.768936875</v>
      </c>
      <c r="EQ21">
        <v>18.8912625</v>
      </c>
      <c r="ER21">
        <v>15.51495625</v>
      </c>
      <c r="ES21">
        <v>0.00500016</v>
      </c>
      <c r="ET21">
        <v>0</v>
      </c>
      <c r="EU21">
        <v>0</v>
      </c>
      <c r="EV21">
        <v>0</v>
      </c>
      <c r="EW21">
        <v>890.18125</v>
      </c>
      <c r="EX21">
        <v>0.00500016</v>
      </c>
      <c r="EY21">
        <v>-0.6</v>
      </c>
      <c r="EZ21">
        <v>-1.13125</v>
      </c>
      <c r="FA21">
        <v>43.101375</v>
      </c>
      <c r="FB21">
        <v>46.5</v>
      </c>
      <c r="FC21">
        <v>44.917625</v>
      </c>
      <c r="FD21">
        <v>47</v>
      </c>
      <c r="FE21">
        <v>46.92925</v>
      </c>
      <c r="FF21">
        <v>0</v>
      </c>
      <c r="FG21">
        <v>0</v>
      </c>
      <c r="FH21">
        <v>0</v>
      </c>
      <c r="FI21">
        <v>168.799999952316</v>
      </c>
      <c r="FJ21">
        <v>0</v>
      </c>
      <c r="FK21">
        <v>891.257692307692</v>
      </c>
      <c r="FL21">
        <v>-4.92649576690577</v>
      </c>
      <c r="FM21">
        <v>-28.0786324441844</v>
      </c>
      <c r="FN21">
        <v>-0.180769230769231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11.384685</v>
      </c>
      <c r="GD21">
        <v>-0.176566917293231</v>
      </c>
      <c r="GE21">
        <v>0.0347776979542925</v>
      </c>
      <c r="GF21">
        <v>1</v>
      </c>
      <c r="GG21">
        <v>892.123529411765</v>
      </c>
      <c r="GH21">
        <v>-13.0022919590859</v>
      </c>
      <c r="GI21">
        <v>5.99078011337271</v>
      </c>
      <c r="GJ21">
        <v>-1</v>
      </c>
      <c r="GK21">
        <v>4.6242845</v>
      </c>
      <c r="GL21">
        <v>0.221791127819564</v>
      </c>
      <c r="GM21">
        <v>0.0213311550261584</v>
      </c>
      <c r="GN21">
        <v>0</v>
      </c>
      <c r="GO21">
        <v>1</v>
      </c>
      <c r="GP21">
        <v>2</v>
      </c>
      <c r="GQ21" t="s">
        <v>441</v>
      </c>
      <c r="GR21">
        <v>3.12424</v>
      </c>
      <c r="GS21">
        <v>2.72555</v>
      </c>
      <c r="GT21">
        <v>0.0892464</v>
      </c>
      <c r="GU21">
        <v>0.0886967</v>
      </c>
      <c r="GV21">
        <v>0.100833</v>
      </c>
      <c r="GW21">
        <v>0.0869066</v>
      </c>
      <c r="GX21">
        <v>23078.2</v>
      </c>
      <c r="GY21">
        <v>21859.8</v>
      </c>
      <c r="GZ21">
        <v>22691.4</v>
      </c>
      <c r="HA21">
        <v>23389.9</v>
      </c>
      <c r="HB21">
        <v>34834.7</v>
      </c>
      <c r="HC21">
        <v>35368.1</v>
      </c>
      <c r="HD21">
        <v>40977.1</v>
      </c>
      <c r="HE21">
        <v>41740.2</v>
      </c>
      <c r="HF21">
        <v>1.83735</v>
      </c>
      <c r="HG21">
        <v>2.24318</v>
      </c>
      <c r="HH21">
        <v>0.22471</v>
      </c>
      <c r="HI21">
        <v>0</v>
      </c>
      <c r="HJ21">
        <v>38.3854</v>
      </c>
      <c r="HK21">
        <v>999.9</v>
      </c>
      <c r="HL21">
        <v>52.423</v>
      </c>
      <c r="HM21">
        <v>26.133</v>
      </c>
      <c r="HN21">
        <v>19.6131</v>
      </c>
      <c r="HO21">
        <v>54.8792</v>
      </c>
      <c r="HP21">
        <v>31.4303</v>
      </c>
      <c r="HQ21">
        <v>2</v>
      </c>
      <c r="HR21">
        <v>0.647314</v>
      </c>
      <c r="HS21">
        <v>-6.01846</v>
      </c>
      <c r="HT21">
        <v>20.1392</v>
      </c>
      <c r="HU21">
        <v>5.23466</v>
      </c>
      <c r="HV21">
        <v>11.998</v>
      </c>
      <c r="HW21">
        <v>4.9557</v>
      </c>
      <c r="HX21">
        <v>3.304</v>
      </c>
      <c r="HY21">
        <v>9999</v>
      </c>
      <c r="HZ21">
        <v>9999</v>
      </c>
      <c r="IA21">
        <v>9999</v>
      </c>
      <c r="IB21">
        <v>999.9</v>
      </c>
      <c r="IC21">
        <v>1.86844</v>
      </c>
      <c r="ID21">
        <v>1.86417</v>
      </c>
      <c r="IE21">
        <v>1.87181</v>
      </c>
      <c r="IF21">
        <v>1.86261</v>
      </c>
      <c r="IG21">
        <v>1.86203</v>
      </c>
      <c r="IH21">
        <v>1.8685</v>
      </c>
      <c r="II21">
        <v>1.85867</v>
      </c>
      <c r="IJ21">
        <v>1.86508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8.554</v>
      </c>
      <c r="IY21">
        <v>0.3763</v>
      </c>
      <c r="IZ21">
        <v>5.68464161616582</v>
      </c>
      <c r="JA21">
        <v>0.0084032629040739</v>
      </c>
      <c r="JB21">
        <v>-4.27142149824345e-06</v>
      </c>
      <c r="JC21">
        <v>1.06016907176734e-09</v>
      </c>
      <c r="JD21">
        <v>0.0695206629494017</v>
      </c>
      <c r="JE21">
        <v>0.00300309655398365</v>
      </c>
      <c r="JF21">
        <v>0.000194846030532398</v>
      </c>
      <c r="JG21">
        <v>9.35021442234225e-06</v>
      </c>
      <c r="JH21">
        <v>-1</v>
      </c>
      <c r="JI21">
        <v>2195</v>
      </c>
      <c r="JJ21">
        <v>1</v>
      </c>
      <c r="JK21">
        <v>22</v>
      </c>
      <c r="JL21">
        <v>29369854.6</v>
      </c>
      <c r="JM21">
        <v>29369854.6</v>
      </c>
      <c r="JN21">
        <v>1.29883</v>
      </c>
      <c r="JO21">
        <v>2.3584</v>
      </c>
      <c r="JP21">
        <v>2.09839</v>
      </c>
      <c r="JQ21">
        <v>2.65137</v>
      </c>
      <c r="JR21">
        <v>2.24365</v>
      </c>
      <c r="JS21">
        <v>2.27661</v>
      </c>
      <c r="JT21">
        <v>33.3111</v>
      </c>
      <c r="JU21">
        <v>24.2451</v>
      </c>
      <c r="JV21">
        <v>18</v>
      </c>
      <c r="JW21">
        <v>556.079</v>
      </c>
      <c r="JX21">
        <v>844.289</v>
      </c>
      <c r="JY21">
        <v>54.4685</v>
      </c>
      <c r="JZ21">
        <v>35.7339</v>
      </c>
      <c r="KA21">
        <v>30.0004</v>
      </c>
      <c r="KB21">
        <v>34.7202</v>
      </c>
      <c r="KC21">
        <v>34.8034</v>
      </c>
      <c r="KD21">
        <v>26.0456</v>
      </c>
      <c r="KE21">
        <v>0</v>
      </c>
      <c r="KF21">
        <v>100</v>
      </c>
      <c r="KG21">
        <v>54.4791</v>
      </c>
      <c r="KH21">
        <v>420</v>
      </c>
      <c r="KI21">
        <v>21.8788</v>
      </c>
      <c r="KJ21">
        <v>91.7857</v>
      </c>
      <c r="KK21">
        <v>97.2538</v>
      </c>
    </row>
    <row r="22" spans="1:297">
      <c r="A22">
        <v>6</v>
      </c>
      <c r="B22">
        <v>1762191408.1</v>
      </c>
      <c r="C22">
        <v>1072.09999990463</v>
      </c>
      <c r="D22" t="s">
        <v>458</v>
      </c>
      <c r="E22" t="s">
        <v>459</v>
      </c>
      <c r="F22">
        <v>5</v>
      </c>
      <c r="G22" t="s">
        <v>453</v>
      </c>
      <c r="H22" t="s">
        <v>436</v>
      </c>
      <c r="I22">
        <v>1762191399.6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428.372420350437</v>
      </c>
      <c r="AK22">
        <v>441.904751515151</v>
      </c>
      <c r="AL22">
        <v>-0.00416128787591524</v>
      </c>
      <c r="AM22">
        <v>63.3811491566529</v>
      </c>
      <c r="AN22">
        <f>(AP22 - AO22 + DY22*1E3/(8.314*(EA22+273.15)) * AR22/DX22 * AQ22) * DX22/(100*DL22) * 1000/(1000 - AP22)</f>
        <v>0</v>
      </c>
      <c r="AO22">
        <v>19.5363918116499</v>
      </c>
      <c r="AP22">
        <v>24.6273345454545</v>
      </c>
      <c r="AQ22">
        <v>0.0052994129592433</v>
      </c>
      <c r="AR22">
        <v>102.978210152154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460</v>
      </c>
      <c r="AY22">
        <v>5103.51</v>
      </c>
      <c r="AZ22">
        <v>917.788</v>
      </c>
      <c r="BA22">
        <v>2241.05</v>
      </c>
      <c r="BB22">
        <f>1-AZ22/BA22</f>
        <v>0</v>
      </c>
      <c r="BC22">
        <v>-11.041320627863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1762191399.6</v>
      </c>
      <c r="DR22">
        <v>431.089625</v>
      </c>
      <c r="DS22">
        <v>419.997375</v>
      </c>
      <c r="DT22">
        <v>24.59603125</v>
      </c>
      <c r="DU22">
        <v>19.53361875</v>
      </c>
      <c r="DV22">
        <v>422.5369375</v>
      </c>
      <c r="DW22">
        <v>24.26726875</v>
      </c>
      <c r="DX22">
        <v>499.9766875</v>
      </c>
      <c r="DY22">
        <v>90.8964</v>
      </c>
      <c r="DZ22">
        <v>0.09998705</v>
      </c>
      <c r="EA22">
        <v>44.64925</v>
      </c>
      <c r="EB22">
        <v>41.98176875</v>
      </c>
      <c r="EC22">
        <v>999.9</v>
      </c>
      <c r="ED22">
        <v>0</v>
      </c>
      <c r="EE22">
        <v>0</v>
      </c>
      <c r="EF22">
        <v>10004.416875</v>
      </c>
      <c r="EG22">
        <v>0</v>
      </c>
      <c r="EH22">
        <v>0.271253875</v>
      </c>
      <c r="EI22">
        <v>11.0922625</v>
      </c>
      <c r="EJ22">
        <v>441.9600625</v>
      </c>
      <c r="EK22">
        <v>428.3649375</v>
      </c>
      <c r="EL22">
        <v>5.062396875</v>
      </c>
      <c r="EM22">
        <v>419.997375</v>
      </c>
      <c r="EN22">
        <v>19.53361875</v>
      </c>
      <c r="EO22">
        <v>2.235690625</v>
      </c>
      <c r="EP22">
        <v>1.775536875</v>
      </c>
      <c r="EQ22">
        <v>19.220375</v>
      </c>
      <c r="ER22">
        <v>15.5730625</v>
      </c>
      <c r="ES22">
        <v>0.00500016</v>
      </c>
      <c r="ET22">
        <v>0</v>
      </c>
      <c r="EU22">
        <v>0</v>
      </c>
      <c r="EV22">
        <v>0</v>
      </c>
      <c r="EW22">
        <v>918.4125</v>
      </c>
      <c r="EX22">
        <v>0.00500016</v>
      </c>
      <c r="EY22">
        <v>4.1375</v>
      </c>
      <c r="EZ22">
        <v>0.0125</v>
      </c>
      <c r="FA22">
        <v>43.25</v>
      </c>
      <c r="FB22">
        <v>46.625</v>
      </c>
      <c r="FC22">
        <v>45.062</v>
      </c>
      <c r="FD22">
        <v>47.117125</v>
      </c>
      <c r="FE22">
        <v>47.062</v>
      </c>
      <c r="FF22">
        <v>0</v>
      </c>
      <c r="FG22">
        <v>0</v>
      </c>
      <c r="FH22">
        <v>0</v>
      </c>
      <c r="FI22">
        <v>130.400000095367</v>
      </c>
      <c r="FJ22">
        <v>0</v>
      </c>
      <c r="FK22">
        <v>917.788</v>
      </c>
      <c r="FL22">
        <v>-24.3307692362693</v>
      </c>
      <c r="FM22">
        <v>3.44615390973213</v>
      </c>
      <c r="FN22">
        <v>2.736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11.09263</v>
      </c>
      <c r="GD22">
        <v>-0.162487218045137</v>
      </c>
      <c r="GE22">
        <v>0.0445805237744015</v>
      </c>
      <c r="GF22">
        <v>1</v>
      </c>
      <c r="GG22">
        <v>920.241176470588</v>
      </c>
      <c r="GH22">
        <v>-33.258976260533</v>
      </c>
      <c r="GI22">
        <v>5.36492517611651</v>
      </c>
      <c r="GJ22">
        <v>-1</v>
      </c>
      <c r="GK22">
        <v>5.0522795</v>
      </c>
      <c r="GL22">
        <v>0.190071428571424</v>
      </c>
      <c r="GM22">
        <v>0.0183816700751048</v>
      </c>
      <c r="GN22">
        <v>0</v>
      </c>
      <c r="GO22">
        <v>1</v>
      </c>
      <c r="GP22">
        <v>2</v>
      </c>
      <c r="GQ22" t="s">
        <v>441</v>
      </c>
      <c r="GR22">
        <v>3.124</v>
      </c>
      <c r="GS22">
        <v>2.72558</v>
      </c>
      <c r="GT22">
        <v>0.0891741</v>
      </c>
      <c r="GU22">
        <v>0.0886682</v>
      </c>
      <c r="GV22">
        <v>0.102453</v>
      </c>
      <c r="GW22">
        <v>0.087121</v>
      </c>
      <c r="GX22">
        <v>23074.6</v>
      </c>
      <c r="GY22">
        <v>21859.5</v>
      </c>
      <c r="GZ22">
        <v>22686.2</v>
      </c>
      <c r="HA22">
        <v>23389.1</v>
      </c>
      <c r="HB22">
        <v>34765.7</v>
      </c>
      <c r="HC22">
        <v>35359.2</v>
      </c>
      <c r="HD22">
        <v>40969.5</v>
      </c>
      <c r="HE22">
        <v>41739.6</v>
      </c>
      <c r="HF22">
        <v>1.8366</v>
      </c>
      <c r="HG22">
        <v>2.242</v>
      </c>
      <c r="HH22">
        <v>0.225477</v>
      </c>
      <c r="HI22">
        <v>0</v>
      </c>
      <c r="HJ22">
        <v>38.3675</v>
      </c>
      <c r="HK22">
        <v>999.9</v>
      </c>
      <c r="HL22">
        <v>52.423</v>
      </c>
      <c r="HM22">
        <v>26.203</v>
      </c>
      <c r="HN22">
        <v>19.6968</v>
      </c>
      <c r="HO22">
        <v>54.9992</v>
      </c>
      <c r="HP22">
        <v>31.5585</v>
      </c>
      <c r="HQ22">
        <v>2</v>
      </c>
      <c r="HR22">
        <v>0.650757</v>
      </c>
      <c r="HS22">
        <v>-5.97923</v>
      </c>
      <c r="HT22">
        <v>20.1405</v>
      </c>
      <c r="HU22">
        <v>5.23466</v>
      </c>
      <c r="HV22">
        <v>11.998</v>
      </c>
      <c r="HW22">
        <v>4.95585</v>
      </c>
      <c r="HX22">
        <v>3.304</v>
      </c>
      <c r="HY22">
        <v>9999</v>
      </c>
      <c r="HZ22">
        <v>9999</v>
      </c>
      <c r="IA22">
        <v>9999</v>
      </c>
      <c r="IB22">
        <v>999.9</v>
      </c>
      <c r="IC22">
        <v>1.86848</v>
      </c>
      <c r="ID22">
        <v>1.86417</v>
      </c>
      <c r="IE22">
        <v>1.8718</v>
      </c>
      <c r="IF22">
        <v>1.86264</v>
      </c>
      <c r="IG22">
        <v>1.86203</v>
      </c>
      <c r="IH22">
        <v>1.86852</v>
      </c>
      <c r="II22">
        <v>1.85865</v>
      </c>
      <c r="IJ22">
        <v>1.86508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8.553</v>
      </c>
      <c r="IY22">
        <v>0.3287</v>
      </c>
      <c r="IZ22">
        <v>5.68464161616582</v>
      </c>
      <c r="JA22">
        <v>0.0084032629040739</v>
      </c>
      <c r="JB22">
        <v>-4.27142149824345e-06</v>
      </c>
      <c r="JC22">
        <v>1.06016907176734e-09</v>
      </c>
      <c r="JD22">
        <v>0.328744801655011</v>
      </c>
      <c r="JE22">
        <v>0</v>
      </c>
      <c r="JF22">
        <v>0</v>
      </c>
      <c r="JG22">
        <v>0</v>
      </c>
      <c r="JH22">
        <v>-1</v>
      </c>
      <c r="JI22">
        <v>2195</v>
      </c>
      <c r="JJ22">
        <v>1</v>
      </c>
      <c r="JK22">
        <v>22</v>
      </c>
      <c r="JL22">
        <v>29369856.8</v>
      </c>
      <c r="JM22">
        <v>29369856.8</v>
      </c>
      <c r="JN22">
        <v>1.30005</v>
      </c>
      <c r="JO22">
        <v>2.3584</v>
      </c>
      <c r="JP22">
        <v>2.09839</v>
      </c>
      <c r="JQ22">
        <v>2.65015</v>
      </c>
      <c r="JR22">
        <v>2.24365</v>
      </c>
      <c r="JS22">
        <v>2.25708</v>
      </c>
      <c r="JT22">
        <v>33.3784</v>
      </c>
      <c r="JU22">
        <v>24.2451</v>
      </c>
      <c r="JV22">
        <v>18</v>
      </c>
      <c r="JW22">
        <v>556.365</v>
      </c>
      <c r="JX22">
        <v>844.464</v>
      </c>
      <c r="JY22">
        <v>54.5531</v>
      </c>
      <c r="JZ22">
        <v>35.7966</v>
      </c>
      <c r="KA22">
        <v>30.0001</v>
      </c>
      <c r="KB22">
        <v>34.8237</v>
      </c>
      <c r="KC22">
        <v>34.9064</v>
      </c>
      <c r="KD22">
        <v>26.0591</v>
      </c>
      <c r="KE22">
        <v>0</v>
      </c>
      <c r="KF22">
        <v>100</v>
      </c>
      <c r="KG22">
        <v>54.5635</v>
      </c>
      <c r="KH22">
        <v>420</v>
      </c>
      <c r="KI22">
        <v>21.8788</v>
      </c>
      <c r="KJ22">
        <v>91.7674</v>
      </c>
      <c r="KK22">
        <v>97.2517</v>
      </c>
    </row>
    <row r="23" spans="1:297">
      <c r="A23">
        <v>7</v>
      </c>
      <c r="B23">
        <v>1762191939</v>
      </c>
      <c r="C23">
        <v>1603</v>
      </c>
      <c r="D23" t="s">
        <v>461</v>
      </c>
      <c r="E23" t="s">
        <v>462</v>
      </c>
      <c r="F23">
        <v>5</v>
      </c>
      <c r="G23" t="s">
        <v>463</v>
      </c>
      <c r="H23" t="s">
        <v>436</v>
      </c>
      <c r="I23">
        <v>1762191931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428.425476425839</v>
      </c>
      <c r="AK23">
        <v>438.8904</v>
      </c>
      <c r="AL23">
        <v>-0.00350768050385181</v>
      </c>
      <c r="AM23">
        <v>63.6114759352006</v>
      </c>
      <c r="AN23">
        <f>(AP23 - AO23 + DY23*1E3/(8.314*(EA23+273.15)) * AR23/DX23 * AQ23) * DX23/(100*DL23) * 1000/(1000 - AP23)</f>
        <v>0</v>
      </c>
      <c r="AO23">
        <v>19.7609811679239</v>
      </c>
      <c r="AP23">
        <v>27.5409381818182</v>
      </c>
      <c r="AQ23">
        <v>0.00596902917348133</v>
      </c>
      <c r="AR23">
        <v>103.030054479509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464</v>
      </c>
      <c r="AY23">
        <v>5094.63</v>
      </c>
      <c r="AZ23">
        <v>946.430769230769</v>
      </c>
      <c r="BA23">
        <v>2115.9</v>
      </c>
      <c r="BB23">
        <f>1-AZ23/BA23</f>
        <v>0</v>
      </c>
      <c r="BC23">
        <v>-8.53547720424659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1762191931</v>
      </c>
      <c r="DR23">
        <v>426.904733333333</v>
      </c>
      <c r="DS23">
        <v>419.964066666667</v>
      </c>
      <c r="DT23">
        <v>27.5042266666667</v>
      </c>
      <c r="DU23">
        <v>19.75968</v>
      </c>
      <c r="DV23">
        <v>418.374466666667</v>
      </c>
      <c r="DW23">
        <v>27.1755066666667</v>
      </c>
      <c r="DX23">
        <v>499.974733333333</v>
      </c>
      <c r="DY23">
        <v>90.8787</v>
      </c>
      <c r="DZ23">
        <v>0.0999567</v>
      </c>
      <c r="EA23">
        <v>44.58292</v>
      </c>
      <c r="EB23">
        <v>41.98914</v>
      </c>
      <c r="EC23">
        <v>999.9</v>
      </c>
      <c r="ED23">
        <v>0</v>
      </c>
      <c r="EE23">
        <v>0</v>
      </c>
      <c r="EF23">
        <v>10000.9613333333</v>
      </c>
      <c r="EG23">
        <v>0</v>
      </c>
      <c r="EH23">
        <v>0.278209</v>
      </c>
      <c r="EI23">
        <v>6.940844</v>
      </c>
      <c r="EJ23">
        <v>438.978466666667</v>
      </c>
      <c r="EK23">
        <v>428.429533333333</v>
      </c>
      <c r="EL23">
        <v>7.74456066666667</v>
      </c>
      <c r="EM23">
        <v>419.964066666667</v>
      </c>
      <c r="EN23">
        <v>19.75968</v>
      </c>
      <c r="EO23">
        <v>2.499548</v>
      </c>
      <c r="EP23">
        <v>1.79573333333333</v>
      </c>
      <c r="EQ23">
        <v>21.0235733333333</v>
      </c>
      <c r="ER23">
        <v>15.7497</v>
      </c>
      <c r="ES23">
        <v>0.00500016</v>
      </c>
      <c r="ET23">
        <v>0</v>
      </c>
      <c r="EU23">
        <v>0</v>
      </c>
      <c r="EV23">
        <v>0</v>
      </c>
      <c r="EW23">
        <v>946.013333333333</v>
      </c>
      <c r="EX23">
        <v>0.00500016</v>
      </c>
      <c r="EY23">
        <v>5.68666666666667</v>
      </c>
      <c r="EZ23">
        <v>-0.44</v>
      </c>
      <c r="FA23">
        <v>43.437</v>
      </c>
      <c r="FB23">
        <v>46.75</v>
      </c>
      <c r="FC23">
        <v>45.25</v>
      </c>
      <c r="FD23">
        <v>47.25</v>
      </c>
      <c r="FE23">
        <v>47.25</v>
      </c>
      <c r="FF23">
        <v>0</v>
      </c>
      <c r="FG23">
        <v>0</v>
      </c>
      <c r="FH23">
        <v>0</v>
      </c>
      <c r="FI23">
        <v>530</v>
      </c>
      <c r="FJ23">
        <v>0</v>
      </c>
      <c r="FK23">
        <v>946.430769230769</v>
      </c>
      <c r="FL23">
        <v>27.1863247850267</v>
      </c>
      <c r="FM23">
        <v>2.83076924272409</v>
      </c>
      <c r="FN23">
        <v>4.2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6.95807428571429</v>
      </c>
      <c r="GD23">
        <v>-0.488360069770044</v>
      </c>
      <c r="GE23">
        <v>0.0689557178520374</v>
      </c>
      <c r="GF23">
        <v>1</v>
      </c>
      <c r="GG23">
        <v>946.029411764706</v>
      </c>
      <c r="GH23">
        <v>4.17112298999169</v>
      </c>
      <c r="GI23">
        <v>5.56784515355619</v>
      </c>
      <c r="GJ23">
        <v>-1</v>
      </c>
      <c r="GK23">
        <v>7.73278476190476</v>
      </c>
      <c r="GL23">
        <v>0.2485478958851</v>
      </c>
      <c r="GM23">
        <v>0.0252562150048634</v>
      </c>
      <c r="GN23">
        <v>0</v>
      </c>
      <c r="GO23">
        <v>1</v>
      </c>
      <c r="GP23">
        <v>2</v>
      </c>
      <c r="GQ23" t="s">
        <v>441</v>
      </c>
      <c r="GR23">
        <v>3.12423</v>
      </c>
      <c r="GS23">
        <v>2.72566</v>
      </c>
      <c r="GT23">
        <v>0.0885191</v>
      </c>
      <c r="GU23">
        <v>0.0886694</v>
      </c>
      <c r="GV23">
        <v>0.110984</v>
      </c>
      <c r="GW23">
        <v>0.0878368</v>
      </c>
      <c r="GX23">
        <v>23096.3</v>
      </c>
      <c r="GY23">
        <v>21874.9</v>
      </c>
      <c r="GZ23">
        <v>22690.4</v>
      </c>
      <c r="HA23">
        <v>23404.8</v>
      </c>
      <c r="HB23">
        <v>34441.1</v>
      </c>
      <c r="HC23">
        <v>35355.7</v>
      </c>
      <c r="HD23">
        <v>40975.7</v>
      </c>
      <c r="HE23">
        <v>41768.1</v>
      </c>
      <c r="HF23">
        <v>1.84142</v>
      </c>
      <c r="HG23">
        <v>2.2431</v>
      </c>
      <c r="HH23">
        <v>0.229254</v>
      </c>
      <c r="HI23">
        <v>0</v>
      </c>
      <c r="HJ23">
        <v>38.3079</v>
      </c>
      <c r="HK23">
        <v>999.9</v>
      </c>
      <c r="HL23">
        <v>52.301</v>
      </c>
      <c r="HM23">
        <v>26.455</v>
      </c>
      <c r="HN23">
        <v>19.9503</v>
      </c>
      <c r="HO23">
        <v>54.2192</v>
      </c>
      <c r="HP23">
        <v>31.6066</v>
      </c>
      <c r="HQ23">
        <v>2</v>
      </c>
      <c r="HR23">
        <v>0.636029</v>
      </c>
      <c r="HS23">
        <v>-5.88515</v>
      </c>
      <c r="HT23">
        <v>20.1431</v>
      </c>
      <c r="HU23">
        <v>5.23406</v>
      </c>
      <c r="HV23">
        <v>11.998</v>
      </c>
      <c r="HW23">
        <v>4.9558</v>
      </c>
      <c r="HX23">
        <v>3.304</v>
      </c>
      <c r="HY23">
        <v>9999</v>
      </c>
      <c r="HZ23">
        <v>9999</v>
      </c>
      <c r="IA23">
        <v>9999</v>
      </c>
      <c r="IB23">
        <v>999.9</v>
      </c>
      <c r="IC23">
        <v>1.86845</v>
      </c>
      <c r="ID23">
        <v>1.86417</v>
      </c>
      <c r="IE23">
        <v>1.8718</v>
      </c>
      <c r="IF23">
        <v>1.86264</v>
      </c>
      <c r="IG23">
        <v>1.86203</v>
      </c>
      <c r="IH23">
        <v>1.86846</v>
      </c>
      <c r="II23">
        <v>1.85867</v>
      </c>
      <c r="IJ23">
        <v>1.86508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8.53</v>
      </c>
      <c r="IY23">
        <v>0.3288</v>
      </c>
      <c r="IZ23">
        <v>5.68464161616582</v>
      </c>
      <c r="JA23">
        <v>0.0084032629040739</v>
      </c>
      <c r="JB23">
        <v>-4.27142149824345e-06</v>
      </c>
      <c r="JC23">
        <v>1.06016907176734e-09</v>
      </c>
      <c r="JD23">
        <v>0.328744801655011</v>
      </c>
      <c r="JE23">
        <v>0</v>
      </c>
      <c r="JF23">
        <v>0</v>
      </c>
      <c r="JG23">
        <v>0</v>
      </c>
      <c r="JH23">
        <v>-1</v>
      </c>
      <c r="JI23">
        <v>2195</v>
      </c>
      <c r="JJ23">
        <v>1</v>
      </c>
      <c r="JK23">
        <v>22</v>
      </c>
      <c r="JL23">
        <v>29369865.6</v>
      </c>
      <c r="JM23">
        <v>29369865.6</v>
      </c>
      <c r="JN23">
        <v>1.30249</v>
      </c>
      <c r="JO23">
        <v>2.35107</v>
      </c>
      <c r="JP23">
        <v>2.09839</v>
      </c>
      <c r="JQ23">
        <v>2.65137</v>
      </c>
      <c r="JR23">
        <v>2.24365</v>
      </c>
      <c r="JS23">
        <v>2.31445</v>
      </c>
      <c r="JT23">
        <v>33.6254</v>
      </c>
      <c r="JU23">
        <v>24.2539</v>
      </c>
      <c r="JV23">
        <v>18</v>
      </c>
      <c r="JW23">
        <v>559.278</v>
      </c>
      <c r="JX23">
        <v>844.898</v>
      </c>
      <c r="JY23">
        <v>54.1105</v>
      </c>
      <c r="JZ23">
        <v>35.6417</v>
      </c>
      <c r="KA23">
        <v>30</v>
      </c>
      <c r="KB23">
        <v>34.7714</v>
      </c>
      <c r="KC23">
        <v>34.854</v>
      </c>
      <c r="KD23">
        <v>26.1096</v>
      </c>
      <c r="KE23">
        <v>0</v>
      </c>
      <c r="KF23">
        <v>100</v>
      </c>
      <c r="KG23">
        <v>54.0724</v>
      </c>
      <c r="KH23">
        <v>420</v>
      </c>
      <c r="KI23">
        <v>21.8788</v>
      </c>
      <c r="KJ23">
        <v>91.7823</v>
      </c>
      <c r="KK23">
        <v>97.3178</v>
      </c>
    </row>
    <row r="24" spans="1:297">
      <c r="A24">
        <v>8</v>
      </c>
      <c r="B24">
        <v>1762192100</v>
      </c>
      <c r="C24">
        <v>1764</v>
      </c>
      <c r="D24" t="s">
        <v>465</v>
      </c>
      <c r="E24" t="s">
        <v>466</v>
      </c>
      <c r="F24">
        <v>5</v>
      </c>
      <c r="G24" t="s">
        <v>463</v>
      </c>
      <c r="H24" t="s">
        <v>436</v>
      </c>
      <c r="I24">
        <v>1762192092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428.547569562593</v>
      </c>
      <c r="AK24">
        <v>438.315436363636</v>
      </c>
      <c r="AL24">
        <v>-0.00669401645919089</v>
      </c>
      <c r="AM24">
        <v>63.6114759352006</v>
      </c>
      <c r="AN24">
        <f>(AP24 - AO24 + DY24*1E3/(8.314*(EA24+273.15)) * AR24/DX24 * AQ24) * DX24/(100*DL24) * 1000/(1000 - AP24)</f>
        <v>0</v>
      </c>
      <c r="AO24">
        <v>19.8006109845141</v>
      </c>
      <c r="AP24">
        <v>28.600363030303</v>
      </c>
      <c r="AQ24">
        <v>0.00385771430836747</v>
      </c>
      <c r="AR24">
        <v>103.030054479509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467</v>
      </c>
      <c r="AY24">
        <v>5094.47</v>
      </c>
      <c r="AZ24">
        <v>992.46</v>
      </c>
      <c r="BA24">
        <v>2080.75</v>
      </c>
      <c r="BB24">
        <f>1-AZ24/BA24</f>
        <v>0</v>
      </c>
      <c r="BC24">
        <v>-7.95493968456871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1762192092</v>
      </c>
      <c r="DR24">
        <v>425.812533333333</v>
      </c>
      <c r="DS24">
        <v>420.0026</v>
      </c>
      <c r="DT24">
        <v>28.5570866666667</v>
      </c>
      <c r="DU24">
        <v>19.7983533333333</v>
      </c>
      <c r="DV24">
        <v>417.288133333333</v>
      </c>
      <c r="DW24">
        <v>28.22834</v>
      </c>
      <c r="DX24">
        <v>500.0082</v>
      </c>
      <c r="DY24">
        <v>90.8733866666667</v>
      </c>
      <c r="DZ24">
        <v>0.100004406666667</v>
      </c>
      <c r="EA24">
        <v>44.67168</v>
      </c>
      <c r="EB24">
        <v>41.9392266666667</v>
      </c>
      <c r="EC24">
        <v>999.9</v>
      </c>
      <c r="ED24">
        <v>0</v>
      </c>
      <c r="EE24">
        <v>0</v>
      </c>
      <c r="EF24">
        <v>10019.742</v>
      </c>
      <c r="EG24">
        <v>0</v>
      </c>
      <c r="EH24">
        <v>0.271624933333333</v>
      </c>
      <c r="EI24">
        <v>5.80997466666667</v>
      </c>
      <c r="EJ24">
        <v>438.330133333333</v>
      </c>
      <c r="EK24">
        <v>428.485866666667</v>
      </c>
      <c r="EL24">
        <v>8.75873266666667</v>
      </c>
      <c r="EM24">
        <v>420.0026</v>
      </c>
      <c r="EN24">
        <v>19.7983533333333</v>
      </c>
      <c r="EO24">
        <v>2.59507866666667</v>
      </c>
      <c r="EP24">
        <v>1.799144</v>
      </c>
      <c r="EQ24">
        <v>21.6354066666667</v>
      </c>
      <c r="ER24">
        <v>15.7793533333333</v>
      </c>
      <c r="ES24">
        <v>0.00500016</v>
      </c>
      <c r="ET24">
        <v>0</v>
      </c>
      <c r="EU24">
        <v>0</v>
      </c>
      <c r="EV24">
        <v>0</v>
      </c>
      <c r="EW24">
        <v>991.913333333333</v>
      </c>
      <c r="EX24">
        <v>0.00500016</v>
      </c>
      <c r="EY24">
        <v>4.89333333333333</v>
      </c>
      <c r="EZ24">
        <v>-1.04666666666667</v>
      </c>
      <c r="FA24">
        <v>43.5206666666667</v>
      </c>
      <c r="FB24">
        <v>46.875</v>
      </c>
      <c r="FC24">
        <v>45.3498</v>
      </c>
      <c r="FD24">
        <v>47.3498</v>
      </c>
      <c r="FE24">
        <v>47.3624</v>
      </c>
      <c r="FF24">
        <v>0</v>
      </c>
      <c r="FG24">
        <v>0</v>
      </c>
      <c r="FH24">
        <v>0</v>
      </c>
      <c r="FI24">
        <v>158.899999856949</v>
      </c>
      <c r="FJ24">
        <v>0</v>
      </c>
      <c r="FK24">
        <v>992.46</v>
      </c>
      <c r="FL24">
        <v>-22.184615059342</v>
      </c>
      <c r="FM24">
        <v>5.92307649552235</v>
      </c>
      <c r="FN24">
        <v>3.632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5.821025</v>
      </c>
      <c r="GD24">
        <v>-0.359713984962402</v>
      </c>
      <c r="GE24">
        <v>0.0448668459444166</v>
      </c>
      <c r="GF24">
        <v>1</v>
      </c>
      <c r="GG24">
        <v>992.720588235294</v>
      </c>
      <c r="GH24">
        <v>-8.79908306577432</v>
      </c>
      <c r="GI24">
        <v>5.9375068748822</v>
      </c>
      <c r="GJ24">
        <v>-1</v>
      </c>
      <c r="GK24">
        <v>8.7399525</v>
      </c>
      <c r="GL24">
        <v>0.429915338345859</v>
      </c>
      <c r="GM24">
        <v>0.0414614659503254</v>
      </c>
      <c r="GN24">
        <v>0</v>
      </c>
      <c r="GO24">
        <v>1</v>
      </c>
      <c r="GP24">
        <v>2</v>
      </c>
      <c r="GQ24" t="s">
        <v>441</v>
      </c>
      <c r="GR24">
        <v>3.12416</v>
      </c>
      <c r="GS24">
        <v>2.7257</v>
      </c>
      <c r="GT24">
        <v>0.0883542</v>
      </c>
      <c r="GU24">
        <v>0.088658</v>
      </c>
      <c r="GV24">
        <v>0.11402</v>
      </c>
      <c r="GW24">
        <v>0.0879532</v>
      </c>
      <c r="GX24">
        <v>23097.7</v>
      </c>
      <c r="GY24">
        <v>21876.3</v>
      </c>
      <c r="GZ24">
        <v>22687.5</v>
      </c>
      <c r="HA24">
        <v>23406.1</v>
      </c>
      <c r="HB24">
        <v>34320.1</v>
      </c>
      <c r="HC24">
        <v>35353.5</v>
      </c>
      <c r="HD24">
        <v>40971.4</v>
      </c>
      <c r="HE24">
        <v>41770.7</v>
      </c>
      <c r="HF24">
        <v>1.8418</v>
      </c>
      <c r="HG24">
        <v>2.24272</v>
      </c>
      <c r="HH24">
        <v>0.226025</v>
      </c>
      <c r="HI24">
        <v>0</v>
      </c>
      <c r="HJ24">
        <v>38.3153</v>
      </c>
      <c r="HK24">
        <v>999.9</v>
      </c>
      <c r="HL24">
        <v>52.179</v>
      </c>
      <c r="HM24">
        <v>26.556</v>
      </c>
      <c r="HN24">
        <v>20.022</v>
      </c>
      <c r="HO24">
        <v>54.6492</v>
      </c>
      <c r="HP24">
        <v>31.6426</v>
      </c>
      <c r="HQ24">
        <v>2</v>
      </c>
      <c r="HR24">
        <v>0.637281</v>
      </c>
      <c r="HS24">
        <v>-6.33889</v>
      </c>
      <c r="HT24">
        <v>20.1295</v>
      </c>
      <c r="HU24">
        <v>5.23062</v>
      </c>
      <c r="HV24">
        <v>11.998</v>
      </c>
      <c r="HW24">
        <v>4.95585</v>
      </c>
      <c r="HX24">
        <v>3.304</v>
      </c>
      <c r="HY24">
        <v>9999</v>
      </c>
      <c r="HZ24">
        <v>9999</v>
      </c>
      <c r="IA24">
        <v>9999</v>
      </c>
      <c r="IB24">
        <v>999.9</v>
      </c>
      <c r="IC24">
        <v>1.86845</v>
      </c>
      <c r="ID24">
        <v>1.86416</v>
      </c>
      <c r="IE24">
        <v>1.87181</v>
      </c>
      <c r="IF24">
        <v>1.86261</v>
      </c>
      <c r="IG24">
        <v>1.86201</v>
      </c>
      <c r="IH24">
        <v>1.86851</v>
      </c>
      <c r="II24">
        <v>1.85863</v>
      </c>
      <c r="IJ24">
        <v>1.86508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8.524</v>
      </c>
      <c r="IY24">
        <v>0.3287</v>
      </c>
      <c r="IZ24">
        <v>5.68464161616582</v>
      </c>
      <c r="JA24">
        <v>0.0084032629040739</v>
      </c>
      <c r="JB24">
        <v>-4.27142149824345e-06</v>
      </c>
      <c r="JC24">
        <v>1.06016907176734e-09</v>
      </c>
      <c r="JD24">
        <v>0.328744801655011</v>
      </c>
      <c r="JE24">
        <v>0</v>
      </c>
      <c r="JF24">
        <v>0</v>
      </c>
      <c r="JG24">
        <v>0</v>
      </c>
      <c r="JH24">
        <v>-1</v>
      </c>
      <c r="JI24">
        <v>2195</v>
      </c>
      <c r="JJ24">
        <v>1</v>
      </c>
      <c r="JK24">
        <v>22</v>
      </c>
      <c r="JL24">
        <v>29369868.3</v>
      </c>
      <c r="JM24">
        <v>29369868.3</v>
      </c>
      <c r="JN24">
        <v>1.30249</v>
      </c>
      <c r="JO24">
        <v>2.3584</v>
      </c>
      <c r="JP24">
        <v>2.09839</v>
      </c>
      <c r="JQ24">
        <v>2.65137</v>
      </c>
      <c r="JR24">
        <v>2.24365</v>
      </c>
      <c r="JS24">
        <v>2.31934</v>
      </c>
      <c r="JT24">
        <v>33.693</v>
      </c>
      <c r="JU24">
        <v>24.2364</v>
      </c>
      <c r="JV24">
        <v>18</v>
      </c>
      <c r="JW24">
        <v>559.561</v>
      </c>
      <c r="JX24">
        <v>844.551</v>
      </c>
      <c r="JY24">
        <v>55.1011</v>
      </c>
      <c r="JZ24">
        <v>35.6417</v>
      </c>
      <c r="KA24">
        <v>30</v>
      </c>
      <c r="KB24">
        <v>34.7745</v>
      </c>
      <c r="KC24">
        <v>34.8571</v>
      </c>
      <c r="KD24">
        <v>26.1214</v>
      </c>
      <c r="KE24">
        <v>0</v>
      </c>
      <c r="KF24">
        <v>100</v>
      </c>
      <c r="KG24">
        <v>55.1117</v>
      </c>
      <c r="KH24">
        <v>420</v>
      </c>
      <c r="KI24">
        <v>21.8788</v>
      </c>
      <c r="KJ24">
        <v>91.772</v>
      </c>
      <c r="KK24">
        <v>97.3236</v>
      </c>
    </row>
    <row r="25" spans="1:297">
      <c r="A25">
        <v>9</v>
      </c>
      <c r="B25">
        <v>1762192215</v>
      </c>
      <c r="C25">
        <v>1879</v>
      </c>
      <c r="D25" t="s">
        <v>468</v>
      </c>
      <c r="E25" t="s">
        <v>469</v>
      </c>
      <c r="F25">
        <v>5</v>
      </c>
      <c r="G25" t="s">
        <v>463</v>
      </c>
      <c r="H25" t="s">
        <v>436</v>
      </c>
      <c r="I25">
        <v>1762192206.5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428.4853993948</v>
      </c>
      <c r="AK25">
        <v>438.3382</v>
      </c>
      <c r="AL25">
        <v>0.00428882532070994</v>
      </c>
      <c r="AM25">
        <v>63.6114759352006</v>
      </c>
      <c r="AN25">
        <f>(AP25 - AO25 + DY25*1E3/(8.314*(EA25+273.15)) * AR25/DX25 * AQ25) * DX25/(100*DL25) * 1000/(1000 - AP25)</f>
        <v>0</v>
      </c>
      <c r="AO25">
        <v>19.8219160363512</v>
      </c>
      <c r="AP25">
        <v>29.5071727272727</v>
      </c>
      <c r="AQ25">
        <v>0.00785338961783276</v>
      </c>
      <c r="AR25">
        <v>103.030054479509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470</v>
      </c>
      <c r="AY25">
        <v>5094.67</v>
      </c>
      <c r="AZ25">
        <v>1007.87692307692</v>
      </c>
      <c r="BA25">
        <v>2063.72</v>
      </c>
      <c r="BB25">
        <f>1-AZ25/BA25</f>
        <v>0</v>
      </c>
      <c r="BC25">
        <v>-8.06347155406837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1762192206.5</v>
      </c>
      <c r="DR25">
        <v>425.4148125</v>
      </c>
      <c r="DS25">
        <v>419.9700625</v>
      </c>
      <c r="DT25">
        <v>29.4472625</v>
      </c>
      <c r="DU25">
        <v>19.8208625</v>
      </c>
      <c r="DV25">
        <v>416.8925</v>
      </c>
      <c r="DW25">
        <v>29.11851875</v>
      </c>
      <c r="DX25">
        <v>500.0141875</v>
      </c>
      <c r="DY25">
        <v>90.87276875</v>
      </c>
      <c r="DZ25">
        <v>0.10002393125</v>
      </c>
      <c r="EA25">
        <v>44.855575</v>
      </c>
      <c r="EB25">
        <v>41.91715625</v>
      </c>
      <c r="EC25">
        <v>999.9</v>
      </c>
      <c r="ED25">
        <v>0</v>
      </c>
      <c r="EE25">
        <v>0</v>
      </c>
      <c r="EF25">
        <v>9994.65</v>
      </c>
      <c r="EG25">
        <v>0</v>
      </c>
      <c r="EH25">
        <v>0.2633425</v>
      </c>
      <c r="EI25">
        <v>5.444780625</v>
      </c>
      <c r="EJ25">
        <v>438.3223125</v>
      </c>
      <c r="EK25">
        <v>428.4625</v>
      </c>
      <c r="EL25">
        <v>9.62640125</v>
      </c>
      <c r="EM25">
        <v>419.9700625</v>
      </c>
      <c r="EN25">
        <v>19.8208625</v>
      </c>
      <c r="EO25">
        <v>2.675954375</v>
      </c>
      <c r="EP25">
        <v>1.801175625</v>
      </c>
      <c r="EQ25">
        <v>22.13819375</v>
      </c>
      <c r="ER25">
        <v>15.79700625</v>
      </c>
      <c r="ES25">
        <v>0.00500016</v>
      </c>
      <c r="ET25">
        <v>0</v>
      </c>
      <c r="EU25">
        <v>0</v>
      </c>
      <c r="EV25">
        <v>0</v>
      </c>
      <c r="EW25">
        <v>1008.7875</v>
      </c>
      <c r="EX25">
        <v>0.00500016</v>
      </c>
      <c r="EY25">
        <v>4.55</v>
      </c>
      <c r="EZ25">
        <v>-0.63125</v>
      </c>
      <c r="FA25">
        <v>43.562</v>
      </c>
      <c r="FB25">
        <v>46.909875</v>
      </c>
      <c r="FC25">
        <v>45.378875</v>
      </c>
      <c r="FD25">
        <v>47.375</v>
      </c>
      <c r="FE25">
        <v>47.38275</v>
      </c>
      <c r="FF25">
        <v>0</v>
      </c>
      <c r="FG25">
        <v>0</v>
      </c>
      <c r="FH25">
        <v>0</v>
      </c>
      <c r="FI25">
        <v>113.600000143051</v>
      </c>
      <c r="FJ25">
        <v>0</v>
      </c>
      <c r="FK25">
        <v>1007.87692307692</v>
      </c>
      <c r="FL25">
        <v>-25.6068376067224</v>
      </c>
      <c r="FM25">
        <v>-17.0495726546142</v>
      </c>
      <c r="FN25">
        <v>4.76538461538462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5.42779904761905</v>
      </c>
      <c r="GD25">
        <v>0.0149851948052063</v>
      </c>
      <c r="GE25">
        <v>0.0577243861073804</v>
      </c>
      <c r="GF25">
        <v>1</v>
      </c>
      <c r="GG25">
        <v>1008.19411764706</v>
      </c>
      <c r="GH25">
        <v>-7.00076386412348</v>
      </c>
      <c r="GI25">
        <v>5.74363797280345</v>
      </c>
      <c r="GJ25">
        <v>-1</v>
      </c>
      <c r="GK25">
        <v>9.60738666666667</v>
      </c>
      <c r="GL25">
        <v>0.46092077922078</v>
      </c>
      <c r="GM25">
        <v>0.04657565359645</v>
      </c>
      <c r="GN25">
        <v>0</v>
      </c>
      <c r="GO25">
        <v>1</v>
      </c>
      <c r="GP25">
        <v>2</v>
      </c>
      <c r="GQ25" t="s">
        <v>441</v>
      </c>
      <c r="GR25">
        <v>3.1242</v>
      </c>
      <c r="GS25">
        <v>2.72549</v>
      </c>
      <c r="GT25">
        <v>0.0883013</v>
      </c>
      <c r="GU25">
        <v>0.0886599</v>
      </c>
      <c r="GV25">
        <v>0.116563</v>
      </c>
      <c r="GW25">
        <v>0.0880275</v>
      </c>
      <c r="GX25">
        <v>23099.8</v>
      </c>
      <c r="GY25">
        <v>21878.5</v>
      </c>
      <c r="GZ25">
        <v>22688.1</v>
      </c>
      <c r="HA25">
        <v>23408.5</v>
      </c>
      <c r="HB25">
        <v>34222.5</v>
      </c>
      <c r="HC25">
        <v>35354.3</v>
      </c>
      <c r="HD25">
        <v>40972.2</v>
      </c>
      <c r="HE25">
        <v>41775.1</v>
      </c>
      <c r="HF25">
        <v>1.84317</v>
      </c>
      <c r="HG25">
        <v>2.2427</v>
      </c>
      <c r="HH25">
        <v>0.226624</v>
      </c>
      <c r="HI25">
        <v>0</v>
      </c>
      <c r="HJ25">
        <v>38.2785</v>
      </c>
      <c r="HK25">
        <v>999.9</v>
      </c>
      <c r="HL25">
        <v>52.106</v>
      </c>
      <c r="HM25">
        <v>26.596</v>
      </c>
      <c r="HN25">
        <v>20.0405</v>
      </c>
      <c r="HO25">
        <v>55.0592</v>
      </c>
      <c r="HP25">
        <v>31.4984</v>
      </c>
      <c r="HQ25">
        <v>2</v>
      </c>
      <c r="HR25">
        <v>0.636042</v>
      </c>
      <c r="HS25">
        <v>-6.66667</v>
      </c>
      <c r="HT25">
        <v>20.1192</v>
      </c>
      <c r="HU25">
        <v>5.23436</v>
      </c>
      <c r="HV25">
        <v>11.998</v>
      </c>
      <c r="HW25">
        <v>4.9556</v>
      </c>
      <c r="HX25">
        <v>3.304</v>
      </c>
      <c r="HY25">
        <v>9999</v>
      </c>
      <c r="HZ25">
        <v>9999</v>
      </c>
      <c r="IA25">
        <v>9999</v>
      </c>
      <c r="IB25">
        <v>999.9</v>
      </c>
      <c r="IC25">
        <v>1.86844</v>
      </c>
      <c r="ID25">
        <v>1.86417</v>
      </c>
      <c r="IE25">
        <v>1.8718</v>
      </c>
      <c r="IF25">
        <v>1.86263</v>
      </c>
      <c r="IG25">
        <v>1.86203</v>
      </c>
      <c r="IH25">
        <v>1.86847</v>
      </c>
      <c r="II25">
        <v>1.85866</v>
      </c>
      <c r="IJ25">
        <v>1.86508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8.523</v>
      </c>
      <c r="IY25">
        <v>0.3287</v>
      </c>
      <c r="IZ25">
        <v>5.68464161616582</v>
      </c>
      <c r="JA25">
        <v>0.0084032629040739</v>
      </c>
      <c r="JB25">
        <v>-4.27142149824345e-06</v>
      </c>
      <c r="JC25">
        <v>1.06016907176734e-09</v>
      </c>
      <c r="JD25">
        <v>0.328744801655011</v>
      </c>
      <c r="JE25">
        <v>0</v>
      </c>
      <c r="JF25">
        <v>0</v>
      </c>
      <c r="JG25">
        <v>0</v>
      </c>
      <c r="JH25">
        <v>-1</v>
      </c>
      <c r="JI25">
        <v>2195</v>
      </c>
      <c r="JJ25">
        <v>1</v>
      </c>
      <c r="JK25">
        <v>22</v>
      </c>
      <c r="JL25">
        <v>29369870.2</v>
      </c>
      <c r="JM25">
        <v>29369870.2</v>
      </c>
      <c r="JN25">
        <v>1.30371</v>
      </c>
      <c r="JO25">
        <v>2.35596</v>
      </c>
      <c r="JP25">
        <v>2.09839</v>
      </c>
      <c r="JQ25">
        <v>2.65015</v>
      </c>
      <c r="JR25">
        <v>2.24365</v>
      </c>
      <c r="JS25">
        <v>2.29492</v>
      </c>
      <c r="JT25">
        <v>33.7381</v>
      </c>
      <c r="JU25">
        <v>24.2364</v>
      </c>
      <c r="JV25">
        <v>18</v>
      </c>
      <c r="JW25">
        <v>560.387</v>
      </c>
      <c r="JX25">
        <v>844.344</v>
      </c>
      <c r="JY25">
        <v>56.0917</v>
      </c>
      <c r="JZ25">
        <v>35.6252</v>
      </c>
      <c r="KA25">
        <v>30</v>
      </c>
      <c r="KB25">
        <v>34.7588</v>
      </c>
      <c r="KC25">
        <v>34.8437</v>
      </c>
      <c r="KD25">
        <v>26.1357</v>
      </c>
      <c r="KE25">
        <v>0</v>
      </c>
      <c r="KF25">
        <v>100</v>
      </c>
      <c r="KG25">
        <v>56.1437</v>
      </c>
      <c r="KH25">
        <v>420</v>
      </c>
      <c r="KI25">
        <v>21.8788</v>
      </c>
      <c r="KJ25">
        <v>91.774</v>
      </c>
      <c r="KK25">
        <v>97.3336</v>
      </c>
    </row>
    <row r="26" spans="1:297">
      <c r="A26">
        <v>10</v>
      </c>
      <c r="B26">
        <v>1762192765</v>
      </c>
      <c r="C26">
        <v>2429</v>
      </c>
      <c r="D26" t="s">
        <v>471</v>
      </c>
      <c r="E26" t="s">
        <v>472</v>
      </c>
      <c r="F26">
        <v>5</v>
      </c>
      <c r="G26" t="s">
        <v>473</v>
      </c>
      <c r="H26" t="s">
        <v>436</v>
      </c>
      <c r="I26">
        <v>1762192756.5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428.510266942333</v>
      </c>
      <c r="AK26">
        <v>441.336654545454</v>
      </c>
      <c r="AL26">
        <v>-0.0029654684605584</v>
      </c>
      <c r="AM26">
        <v>63.4816031476757</v>
      </c>
      <c r="AN26">
        <f>(AP26 - AO26 + DY26*1E3/(8.314*(EA26+273.15)) * AR26/DX26 * AQ26) * DX26/(100*DL26) * 1000/(1000 - AP26)</f>
        <v>0</v>
      </c>
      <c r="AO26">
        <v>19.8981392577957</v>
      </c>
      <c r="AP26">
        <v>27.1523175757576</v>
      </c>
      <c r="AQ26">
        <v>0.000526252107094674</v>
      </c>
      <c r="AR26">
        <v>102.992415521878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474</v>
      </c>
      <c r="AY26">
        <v>5090.42</v>
      </c>
      <c r="AZ26">
        <v>1004.02307692308</v>
      </c>
      <c r="BA26">
        <v>2111.46</v>
      </c>
      <c r="BB26">
        <f>1-AZ26/BA26</f>
        <v>0</v>
      </c>
      <c r="BC26">
        <v>-10.4663113238761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1762192756.5</v>
      </c>
      <c r="DR26">
        <v>429.4153125</v>
      </c>
      <c r="DS26">
        <v>419.9905625</v>
      </c>
      <c r="DT26">
        <v>27.12485</v>
      </c>
      <c r="DU26">
        <v>19.8971875</v>
      </c>
      <c r="DV26">
        <v>420.87175</v>
      </c>
      <c r="DW26">
        <v>26.796125</v>
      </c>
      <c r="DX26">
        <v>500.0425625</v>
      </c>
      <c r="DY26">
        <v>90.85885</v>
      </c>
      <c r="DZ26">
        <v>0.1000277</v>
      </c>
      <c r="EA26">
        <v>45.012325</v>
      </c>
      <c r="EB26">
        <v>41.9339</v>
      </c>
      <c r="EC26">
        <v>999.9</v>
      </c>
      <c r="ED26">
        <v>0</v>
      </c>
      <c r="EE26">
        <v>0</v>
      </c>
      <c r="EF26">
        <v>9991.054375</v>
      </c>
      <c r="EG26">
        <v>0</v>
      </c>
      <c r="EH26">
        <v>0.2747315</v>
      </c>
      <c r="EI26">
        <v>9.4248425</v>
      </c>
      <c r="EJ26">
        <v>441.3880625</v>
      </c>
      <c r="EK26">
        <v>428.51675</v>
      </c>
      <c r="EL26">
        <v>7.227665625</v>
      </c>
      <c r="EM26">
        <v>419.9905625</v>
      </c>
      <c r="EN26">
        <v>19.8971875</v>
      </c>
      <c r="EO26">
        <v>2.4645325</v>
      </c>
      <c r="EP26">
        <v>1.807835625</v>
      </c>
      <c r="EQ26">
        <v>20.79415625</v>
      </c>
      <c r="ER26">
        <v>15.8547</v>
      </c>
      <c r="ES26">
        <v>0.00500016</v>
      </c>
      <c r="ET26">
        <v>0</v>
      </c>
      <c r="EU26">
        <v>0</v>
      </c>
      <c r="EV26">
        <v>0</v>
      </c>
      <c r="EW26">
        <v>1004.00625</v>
      </c>
      <c r="EX26">
        <v>0.00500016</v>
      </c>
      <c r="EY26">
        <v>6.18125</v>
      </c>
      <c r="EZ26">
        <v>-0.6375</v>
      </c>
      <c r="FA26">
        <v>43.92925</v>
      </c>
      <c r="FB26">
        <v>47.226375</v>
      </c>
      <c r="FC26">
        <v>45.70275</v>
      </c>
      <c r="FD26">
        <v>47.753875</v>
      </c>
      <c r="FE26">
        <v>47.742125</v>
      </c>
      <c r="FF26">
        <v>0</v>
      </c>
      <c r="FG26">
        <v>0</v>
      </c>
      <c r="FH26">
        <v>0</v>
      </c>
      <c r="FI26">
        <v>548.400000095367</v>
      </c>
      <c r="FJ26">
        <v>0</v>
      </c>
      <c r="FK26">
        <v>1004.02307692308</v>
      </c>
      <c r="FL26">
        <v>0.471794748956308</v>
      </c>
      <c r="FM26">
        <v>6.54700867618315</v>
      </c>
      <c r="FN26">
        <v>5.86538461538461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9.4325235</v>
      </c>
      <c r="GD26">
        <v>-0.280786917293221</v>
      </c>
      <c r="GE26">
        <v>0.035517011033447</v>
      </c>
      <c r="GF26">
        <v>1</v>
      </c>
      <c r="GG26">
        <v>1002.73823529412</v>
      </c>
      <c r="GH26">
        <v>15.5217723301875</v>
      </c>
      <c r="GI26">
        <v>5.22730471016105</v>
      </c>
      <c r="GJ26">
        <v>-1</v>
      </c>
      <c r="GK26">
        <v>7.2176895</v>
      </c>
      <c r="GL26">
        <v>0.191845263157907</v>
      </c>
      <c r="GM26">
        <v>0.0186093249407387</v>
      </c>
      <c r="GN26">
        <v>0</v>
      </c>
      <c r="GO26">
        <v>1</v>
      </c>
      <c r="GP26">
        <v>2</v>
      </c>
      <c r="GQ26" t="s">
        <v>441</v>
      </c>
      <c r="GR26">
        <v>3.12401</v>
      </c>
      <c r="GS26">
        <v>2.72559</v>
      </c>
      <c r="GT26">
        <v>0.0888786</v>
      </c>
      <c r="GU26">
        <v>0.0886194</v>
      </c>
      <c r="GV26">
        <v>0.109813</v>
      </c>
      <c r="GW26">
        <v>0.0882218</v>
      </c>
      <c r="GX26">
        <v>23061.1</v>
      </c>
      <c r="GY26">
        <v>21867.4</v>
      </c>
      <c r="GZ26">
        <v>22665.7</v>
      </c>
      <c r="HA26">
        <v>23396.6</v>
      </c>
      <c r="HB26">
        <v>34452.8</v>
      </c>
      <c r="HC26">
        <v>35331.9</v>
      </c>
      <c r="HD26">
        <v>40935.5</v>
      </c>
      <c r="HE26">
        <v>41757.9</v>
      </c>
      <c r="HF26">
        <v>1.83792</v>
      </c>
      <c r="HG26">
        <v>2.23695</v>
      </c>
      <c r="HH26">
        <v>0.177529</v>
      </c>
      <c r="HI26">
        <v>0</v>
      </c>
      <c r="HJ26">
        <v>39.0731</v>
      </c>
      <c r="HK26">
        <v>999.9</v>
      </c>
      <c r="HL26">
        <v>51.666</v>
      </c>
      <c r="HM26">
        <v>26.848</v>
      </c>
      <c r="HN26">
        <v>20.1716</v>
      </c>
      <c r="HO26">
        <v>54.7792</v>
      </c>
      <c r="HP26">
        <v>31.5986</v>
      </c>
      <c r="HQ26">
        <v>2</v>
      </c>
      <c r="HR26">
        <v>0.658608</v>
      </c>
      <c r="HS26">
        <v>-5.88799</v>
      </c>
      <c r="HT26">
        <v>20.1422</v>
      </c>
      <c r="HU26">
        <v>5.22987</v>
      </c>
      <c r="HV26">
        <v>11.998</v>
      </c>
      <c r="HW26">
        <v>4.95575</v>
      </c>
      <c r="HX26">
        <v>3.304</v>
      </c>
      <c r="HY26">
        <v>9999</v>
      </c>
      <c r="HZ26">
        <v>9999</v>
      </c>
      <c r="IA26">
        <v>9999</v>
      </c>
      <c r="IB26">
        <v>999.9</v>
      </c>
      <c r="IC26">
        <v>1.86847</v>
      </c>
      <c r="ID26">
        <v>1.86417</v>
      </c>
      <c r="IE26">
        <v>1.8718</v>
      </c>
      <c r="IF26">
        <v>1.86264</v>
      </c>
      <c r="IG26">
        <v>1.86203</v>
      </c>
      <c r="IH26">
        <v>1.86849</v>
      </c>
      <c r="II26">
        <v>1.85867</v>
      </c>
      <c r="IJ26">
        <v>1.86508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8.544</v>
      </c>
      <c r="IY26">
        <v>0.3287</v>
      </c>
      <c r="IZ26">
        <v>5.68464161616582</v>
      </c>
      <c r="JA26">
        <v>0.0084032629040739</v>
      </c>
      <c r="JB26">
        <v>-4.27142149824345e-06</v>
      </c>
      <c r="JC26">
        <v>1.06016907176734e-09</v>
      </c>
      <c r="JD26">
        <v>0.328744801655011</v>
      </c>
      <c r="JE26">
        <v>0</v>
      </c>
      <c r="JF26">
        <v>0</v>
      </c>
      <c r="JG26">
        <v>0</v>
      </c>
      <c r="JH26">
        <v>-1</v>
      </c>
      <c r="JI26">
        <v>2195</v>
      </c>
      <c r="JJ26">
        <v>1</v>
      </c>
      <c r="JK26">
        <v>22</v>
      </c>
      <c r="JL26">
        <v>29369879.4</v>
      </c>
      <c r="JM26">
        <v>29369879.4</v>
      </c>
      <c r="JN26">
        <v>1.30615</v>
      </c>
      <c r="JO26">
        <v>2.36084</v>
      </c>
      <c r="JP26">
        <v>2.09839</v>
      </c>
      <c r="JQ26">
        <v>2.65015</v>
      </c>
      <c r="JR26">
        <v>2.24365</v>
      </c>
      <c r="JS26">
        <v>2.27661</v>
      </c>
      <c r="JT26">
        <v>33.9413</v>
      </c>
      <c r="JU26">
        <v>24.2451</v>
      </c>
      <c r="JV26">
        <v>18</v>
      </c>
      <c r="JW26">
        <v>558.145</v>
      </c>
      <c r="JX26">
        <v>840.642</v>
      </c>
      <c r="JY26">
        <v>54.3693</v>
      </c>
      <c r="JZ26">
        <v>35.8946</v>
      </c>
      <c r="KA26">
        <v>30.0008</v>
      </c>
      <c r="KB26">
        <v>34.936</v>
      </c>
      <c r="KC26">
        <v>35.0115</v>
      </c>
      <c r="KD26">
        <v>26.18</v>
      </c>
      <c r="KE26">
        <v>0</v>
      </c>
      <c r="KF26">
        <v>100</v>
      </c>
      <c r="KG26">
        <v>54.412</v>
      </c>
      <c r="KH26">
        <v>420</v>
      </c>
      <c r="KI26">
        <v>21.8788</v>
      </c>
      <c r="KJ26">
        <v>91.6888</v>
      </c>
      <c r="KK26">
        <v>97.2903</v>
      </c>
    </row>
    <row r="27" spans="1:297">
      <c r="A27">
        <v>11</v>
      </c>
      <c r="B27">
        <v>1762192896</v>
      </c>
      <c r="C27">
        <v>2560</v>
      </c>
      <c r="D27" t="s">
        <v>475</v>
      </c>
      <c r="E27" t="s">
        <v>476</v>
      </c>
      <c r="F27">
        <v>5</v>
      </c>
      <c r="G27" t="s">
        <v>473</v>
      </c>
      <c r="H27" t="s">
        <v>436</v>
      </c>
      <c r="I27">
        <v>1762192888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428.511304350378</v>
      </c>
      <c r="AK27">
        <v>441.311242424242</v>
      </c>
      <c r="AL27">
        <v>0.00414245924608211</v>
      </c>
      <c r="AM27">
        <v>63.4816031476757</v>
      </c>
      <c r="AN27">
        <f>(AP27 - AO27 + DY27*1E3/(8.314*(EA27+273.15)) * AR27/DX27 * AQ27) * DX27/(100*DL27) * 1000/(1000 - AP27)</f>
        <v>0</v>
      </c>
      <c r="AO27">
        <v>19.8939461919108</v>
      </c>
      <c r="AP27">
        <v>28.0042654545455</v>
      </c>
      <c r="AQ27">
        <v>0.00872310414301426</v>
      </c>
      <c r="AR27">
        <v>102.992415521878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477</v>
      </c>
      <c r="AY27">
        <v>5090.33</v>
      </c>
      <c r="AZ27">
        <v>1046.49615384615</v>
      </c>
      <c r="BA27">
        <v>2081.7</v>
      </c>
      <c r="BB27">
        <f>1-AZ27/BA27</f>
        <v>0</v>
      </c>
      <c r="BC27">
        <v>-10.469270667438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1762192888</v>
      </c>
      <c r="DR27">
        <v>428.927733333333</v>
      </c>
      <c r="DS27">
        <v>419.9878</v>
      </c>
      <c r="DT27">
        <v>27.9441933333333</v>
      </c>
      <c r="DU27">
        <v>19.8944333333333</v>
      </c>
      <c r="DV27">
        <v>420.386533333333</v>
      </c>
      <c r="DW27">
        <v>27.6154333333333</v>
      </c>
      <c r="DX27">
        <v>500.005666666667</v>
      </c>
      <c r="DY27">
        <v>90.85458</v>
      </c>
      <c r="DZ27">
        <v>0.0999855333333333</v>
      </c>
      <c r="EA27">
        <v>45.2458066666667</v>
      </c>
      <c r="EB27">
        <v>41.9524</v>
      </c>
      <c r="EC27">
        <v>999.9</v>
      </c>
      <c r="ED27">
        <v>0</v>
      </c>
      <c r="EE27">
        <v>0</v>
      </c>
      <c r="EF27">
        <v>10014.2453333333</v>
      </c>
      <c r="EG27">
        <v>0</v>
      </c>
      <c r="EH27">
        <v>0.274406933333333</v>
      </c>
      <c r="EI27">
        <v>8.93995133333333</v>
      </c>
      <c r="EJ27">
        <v>441.2584</v>
      </c>
      <c r="EK27">
        <v>428.512733333333</v>
      </c>
      <c r="EL27">
        <v>8.049754</v>
      </c>
      <c r="EM27">
        <v>419.9878</v>
      </c>
      <c r="EN27">
        <v>19.8944333333333</v>
      </c>
      <c r="EO27">
        <v>2.538858</v>
      </c>
      <c r="EP27">
        <v>1.8075</v>
      </c>
      <c r="EQ27">
        <v>21.2777466666667</v>
      </c>
      <c r="ER27">
        <v>15.8518133333333</v>
      </c>
      <c r="ES27">
        <v>0.00500016</v>
      </c>
      <c r="ET27">
        <v>0</v>
      </c>
      <c r="EU27">
        <v>0</v>
      </c>
      <c r="EV27">
        <v>0</v>
      </c>
      <c r="EW27">
        <v>1046.97333333333</v>
      </c>
      <c r="EX27">
        <v>0.00500016</v>
      </c>
      <c r="EY27">
        <v>9.34666666666667</v>
      </c>
      <c r="EZ27">
        <v>-0.22</v>
      </c>
      <c r="FA27">
        <v>44.125</v>
      </c>
      <c r="FB27">
        <v>47.437</v>
      </c>
      <c r="FC27">
        <v>45.8956666666667</v>
      </c>
      <c r="FD27">
        <v>47.937</v>
      </c>
      <c r="FE27">
        <v>47.937</v>
      </c>
      <c r="FF27">
        <v>0</v>
      </c>
      <c r="FG27">
        <v>0</v>
      </c>
      <c r="FH27">
        <v>0</v>
      </c>
      <c r="FI27">
        <v>129.600000143051</v>
      </c>
      <c r="FJ27">
        <v>0</v>
      </c>
      <c r="FK27">
        <v>1046.49615384615</v>
      </c>
      <c r="FL27">
        <v>-34.6222223203131</v>
      </c>
      <c r="FM27">
        <v>25.6410259383652</v>
      </c>
      <c r="FN27">
        <v>8.99230769230769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8.9559025</v>
      </c>
      <c r="GD27">
        <v>-0.154293383458656</v>
      </c>
      <c r="GE27">
        <v>0.0495161601777641</v>
      </c>
      <c r="GF27">
        <v>1</v>
      </c>
      <c r="GG27">
        <v>1047.50588235294</v>
      </c>
      <c r="GH27">
        <v>-30.8877004947042</v>
      </c>
      <c r="GI27">
        <v>5.35344535440776</v>
      </c>
      <c r="GJ27">
        <v>-1</v>
      </c>
      <c r="GK27">
        <v>8.028024</v>
      </c>
      <c r="GL27">
        <v>0.52142436090225</v>
      </c>
      <c r="GM27">
        <v>0.0501587668708074</v>
      </c>
      <c r="GN27">
        <v>0</v>
      </c>
      <c r="GO27">
        <v>1</v>
      </c>
      <c r="GP27">
        <v>2</v>
      </c>
      <c r="GQ27" t="s">
        <v>441</v>
      </c>
      <c r="GR27">
        <v>3.12407</v>
      </c>
      <c r="GS27">
        <v>2.72576</v>
      </c>
      <c r="GT27">
        <v>0.0887668</v>
      </c>
      <c r="GU27">
        <v>0.0885725</v>
      </c>
      <c r="GV27">
        <v>0.11223</v>
      </c>
      <c r="GW27">
        <v>0.0881706</v>
      </c>
      <c r="GX27">
        <v>23050.6</v>
      </c>
      <c r="GY27">
        <v>21859.4</v>
      </c>
      <c r="GZ27">
        <v>22653.2</v>
      </c>
      <c r="HA27">
        <v>23387.7</v>
      </c>
      <c r="HB27">
        <v>34342.8</v>
      </c>
      <c r="HC27">
        <v>35322.2</v>
      </c>
      <c r="HD27">
        <v>40915.3</v>
      </c>
      <c r="HE27">
        <v>41744.3</v>
      </c>
      <c r="HF27">
        <v>1.83668</v>
      </c>
      <c r="HG27">
        <v>2.23382</v>
      </c>
      <c r="HH27">
        <v>0.17447</v>
      </c>
      <c r="HI27">
        <v>0</v>
      </c>
      <c r="HJ27">
        <v>39.1645</v>
      </c>
      <c r="HK27">
        <v>999.9</v>
      </c>
      <c r="HL27">
        <v>51.544</v>
      </c>
      <c r="HM27">
        <v>26.919</v>
      </c>
      <c r="HN27">
        <v>20.2079</v>
      </c>
      <c r="HO27">
        <v>54.6992</v>
      </c>
      <c r="HP27">
        <v>31.5505</v>
      </c>
      <c r="HQ27">
        <v>2</v>
      </c>
      <c r="HR27">
        <v>0.674736</v>
      </c>
      <c r="HS27">
        <v>-6.24169</v>
      </c>
      <c r="HT27">
        <v>20.1315</v>
      </c>
      <c r="HU27">
        <v>5.23481</v>
      </c>
      <c r="HV27">
        <v>11.998</v>
      </c>
      <c r="HW27">
        <v>4.9557</v>
      </c>
      <c r="HX27">
        <v>3.30398</v>
      </c>
      <c r="HY27">
        <v>9999</v>
      </c>
      <c r="HZ27">
        <v>9999</v>
      </c>
      <c r="IA27">
        <v>9999</v>
      </c>
      <c r="IB27">
        <v>999.9</v>
      </c>
      <c r="IC27">
        <v>1.86845</v>
      </c>
      <c r="ID27">
        <v>1.86417</v>
      </c>
      <c r="IE27">
        <v>1.8718</v>
      </c>
      <c r="IF27">
        <v>1.86264</v>
      </c>
      <c r="IG27">
        <v>1.86203</v>
      </c>
      <c r="IH27">
        <v>1.86851</v>
      </c>
      <c r="II27">
        <v>1.85867</v>
      </c>
      <c r="IJ27">
        <v>1.86509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8.542</v>
      </c>
      <c r="IY27">
        <v>0.3287</v>
      </c>
      <c r="IZ27">
        <v>5.68464161616582</v>
      </c>
      <c r="JA27">
        <v>0.0084032629040739</v>
      </c>
      <c r="JB27">
        <v>-4.27142149824345e-06</v>
      </c>
      <c r="JC27">
        <v>1.06016907176734e-09</v>
      </c>
      <c r="JD27">
        <v>0.328744801655011</v>
      </c>
      <c r="JE27">
        <v>0</v>
      </c>
      <c r="JF27">
        <v>0</v>
      </c>
      <c r="JG27">
        <v>0</v>
      </c>
      <c r="JH27">
        <v>-1</v>
      </c>
      <c r="JI27">
        <v>2195</v>
      </c>
      <c r="JJ27">
        <v>1</v>
      </c>
      <c r="JK27">
        <v>22</v>
      </c>
      <c r="JL27">
        <v>29369881.6</v>
      </c>
      <c r="JM27">
        <v>29369881.6</v>
      </c>
      <c r="JN27">
        <v>1.30615</v>
      </c>
      <c r="JO27">
        <v>2.35474</v>
      </c>
      <c r="JP27">
        <v>2.09839</v>
      </c>
      <c r="JQ27">
        <v>2.65015</v>
      </c>
      <c r="JR27">
        <v>2.24365</v>
      </c>
      <c r="JS27">
        <v>2.27783</v>
      </c>
      <c r="JT27">
        <v>33.9865</v>
      </c>
      <c r="JU27">
        <v>24.2364</v>
      </c>
      <c r="JV27">
        <v>18</v>
      </c>
      <c r="JW27">
        <v>558.559</v>
      </c>
      <c r="JX27">
        <v>839.649</v>
      </c>
      <c r="JY27">
        <v>55.6573</v>
      </c>
      <c r="JZ27">
        <v>36.0747</v>
      </c>
      <c r="KA27">
        <v>30.0006</v>
      </c>
      <c r="KB27">
        <v>35.1008</v>
      </c>
      <c r="KC27">
        <v>35.1786</v>
      </c>
      <c r="KD27">
        <v>26.1924</v>
      </c>
      <c r="KE27">
        <v>0</v>
      </c>
      <c r="KF27">
        <v>100</v>
      </c>
      <c r="KG27">
        <v>55.6613</v>
      </c>
      <c r="KH27">
        <v>420</v>
      </c>
      <c r="KI27">
        <v>21.8788</v>
      </c>
      <c r="KJ27">
        <v>91.6417</v>
      </c>
      <c r="KK27">
        <v>97.2567</v>
      </c>
    </row>
    <row r="28" spans="1:297">
      <c r="A28">
        <v>12</v>
      </c>
      <c r="B28">
        <v>1762193014</v>
      </c>
      <c r="C28">
        <v>2678</v>
      </c>
      <c r="D28" t="s">
        <v>478</v>
      </c>
      <c r="E28" t="s">
        <v>479</v>
      </c>
      <c r="F28">
        <v>5</v>
      </c>
      <c r="G28" t="s">
        <v>473</v>
      </c>
      <c r="H28" t="s">
        <v>436</v>
      </c>
      <c r="I28">
        <v>1762193005.5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428.525006271446</v>
      </c>
      <c r="AK28">
        <v>441.21083030303</v>
      </c>
      <c r="AL28">
        <v>-0.000173446590655364</v>
      </c>
      <c r="AM28">
        <v>63.4816031476757</v>
      </c>
      <c r="AN28">
        <f>(AP28 - AO28 + DY28*1E3/(8.314*(EA28+273.15)) * AR28/DX28 * AQ28) * DX28/(100*DL28) * 1000/(1000 - AP28)</f>
        <v>0</v>
      </c>
      <c r="AO28">
        <v>19.8915800786465</v>
      </c>
      <c r="AP28">
        <v>29.0647072727273</v>
      </c>
      <c r="AQ28">
        <v>0.00915413729017902</v>
      </c>
      <c r="AR28">
        <v>102.992415521878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480</v>
      </c>
      <c r="AY28">
        <v>5089.96</v>
      </c>
      <c r="AZ28">
        <v>1055.856</v>
      </c>
      <c r="BA28">
        <v>2062.96</v>
      </c>
      <c r="BB28">
        <f>1-AZ28/BA28</f>
        <v>0</v>
      </c>
      <c r="BC28">
        <v>-10.3614203395427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1762193005.5</v>
      </c>
      <c r="DR28">
        <v>428.3950625</v>
      </c>
      <c r="DS28">
        <v>419.980625</v>
      </c>
      <c r="DT28">
        <v>28.9999125</v>
      </c>
      <c r="DU28">
        <v>19.8921</v>
      </c>
      <c r="DV28">
        <v>419.8568125</v>
      </c>
      <c r="DW28">
        <v>28.67119375</v>
      </c>
      <c r="DX28">
        <v>500.0389375</v>
      </c>
      <c r="DY28">
        <v>90.8523</v>
      </c>
      <c r="DZ28">
        <v>0.1000133375</v>
      </c>
      <c r="EA28">
        <v>45.48526875</v>
      </c>
      <c r="EB28">
        <v>41.995425</v>
      </c>
      <c r="EC28">
        <v>999.9</v>
      </c>
      <c r="ED28">
        <v>0</v>
      </c>
      <c r="EE28">
        <v>0</v>
      </c>
      <c r="EF28">
        <v>9988.5475</v>
      </c>
      <c r="EG28">
        <v>0</v>
      </c>
      <c r="EH28">
        <v>0.2747315</v>
      </c>
      <c r="EI28">
        <v>8.414483125</v>
      </c>
      <c r="EJ28">
        <v>441.189625</v>
      </c>
      <c r="EK28">
        <v>428.5045625</v>
      </c>
      <c r="EL28">
        <v>9.107828125</v>
      </c>
      <c r="EM28">
        <v>419.980625</v>
      </c>
      <c r="EN28">
        <v>19.8921</v>
      </c>
      <c r="EO28">
        <v>2.634710625</v>
      </c>
      <c r="EP28">
        <v>1.807241875</v>
      </c>
      <c r="EQ28">
        <v>21.88346875</v>
      </c>
      <c r="ER28">
        <v>15.8495875</v>
      </c>
      <c r="ES28">
        <v>0.00500016</v>
      </c>
      <c r="ET28">
        <v>0</v>
      </c>
      <c r="EU28">
        <v>0</v>
      </c>
      <c r="EV28">
        <v>0</v>
      </c>
      <c r="EW28">
        <v>1056.7</v>
      </c>
      <c r="EX28">
        <v>0.00500016</v>
      </c>
      <c r="EY28">
        <v>10.35</v>
      </c>
      <c r="EZ28">
        <v>0.25625</v>
      </c>
      <c r="FA28">
        <v>44.261625</v>
      </c>
      <c r="FB28">
        <v>47.562</v>
      </c>
      <c r="FC28">
        <v>46.062</v>
      </c>
      <c r="FD28">
        <v>48.0974375</v>
      </c>
      <c r="FE28">
        <v>48.0738125</v>
      </c>
      <c r="FF28">
        <v>0</v>
      </c>
      <c r="FG28">
        <v>0</v>
      </c>
      <c r="FH28">
        <v>0</v>
      </c>
      <c r="FI28">
        <v>116.100000143051</v>
      </c>
      <c r="FJ28">
        <v>0</v>
      </c>
      <c r="FK28">
        <v>1055.856</v>
      </c>
      <c r="FL28">
        <v>-11.2999997658588</v>
      </c>
      <c r="FM28">
        <v>3.73076923382591</v>
      </c>
      <c r="FN28">
        <v>10.692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8.44027380952381</v>
      </c>
      <c r="GD28">
        <v>-0.394470389610376</v>
      </c>
      <c r="GE28">
        <v>0.0509663766358987</v>
      </c>
      <c r="GF28">
        <v>1</v>
      </c>
      <c r="GG28">
        <v>1056.79117647059</v>
      </c>
      <c r="GH28">
        <v>-11.4148202742833</v>
      </c>
      <c r="GI28">
        <v>5.42723890623296</v>
      </c>
      <c r="GJ28">
        <v>-1</v>
      </c>
      <c r="GK28">
        <v>9.07799380952381</v>
      </c>
      <c r="GL28">
        <v>0.507315584415588</v>
      </c>
      <c r="GM28">
        <v>0.0512118586970029</v>
      </c>
      <c r="GN28">
        <v>0</v>
      </c>
      <c r="GO28">
        <v>1</v>
      </c>
      <c r="GP28">
        <v>2</v>
      </c>
      <c r="GQ28" t="s">
        <v>441</v>
      </c>
      <c r="GR28">
        <v>3.12406</v>
      </c>
      <c r="GS28">
        <v>2.72562</v>
      </c>
      <c r="GT28">
        <v>0.0886534</v>
      </c>
      <c r="GU28">
        <v>0.088541</v>
      </c>
      <c r="GV28">
        <v>0.115168</v>
      </c>
      <c r="GW28">
        <v>0.0881251</v>
      </c>
      <c r="GX28">
        <v>23041.8</v>
      </c>
      <c r="GY28">
        <v>21853</v>
      </c>
      <c r="GZ28">
        <v>22642.4</v>
      </c>
      <c r="HA28">
        <v>23380.7</v>
      </c>
      <c r="HB28">
        <v>34215.6</v>
      </c>
      <c r="HC28">
        <v>35314.2</v>
      </c>
      <c r="HD28">
        <v>40898.5</v>
      </c>
      <c r="HE28">
        <v>41733</v>
      </c>
      <c r="HF28">
        <v>1.83608</v>
      </c>
      <c r="HG28">
        <v>2.23088</v>
      </c>
      <c r="HH28">
        <v>0.167474</v>
      </c>
      <c r="HI28">
        <v>0</v>
      </c>
      <c r="HJ28">
        <v>39.3187</v>
      </c>
      <c r="HK28">
        <v>999.9</v>
      </c>
      <c r="HL28">
        <v>51.422</v>
      </c>
      <c r="HM28">
        <v>26.959</v>
      </c>
      <c r="HN28">
        <v>20.2099</v>
      </c>
      <c r="HO28">
        <v>55.3792</v>
      </c>
      <c r="HP28">
        <v>31.5024</v>
      </c>
      <c r="HQ28">
        <v>2</v>
      </c>
      <c r="HR28">
        <v>0.686047</v>
      </c>
      <c r="HS28">
        <v>-6.01094</v>
      </c>
      <c r="HT28">
        <v>20.1388</v>
      </c>
      <c r="HU28">
        <v>5.23331</v>
      </c>
      <c r="HV28">
        <v>11.998</v>
      </c>
      <c r="HW28">
        <v>4.9554</v>
      </c>
      <c r="HX28">
        <v>3.30398</v>
      </c>
      <c r="HY28">
        <v>9999</v>
      </c>
      <c r="HZ28">
        <v>9999</v>
      </c>
      <c r="IA28">
        <v>9999</v>
      </c>
      <c r="IB28">
        <v>999.9</v>
      </c>
      <c r="IC28">
        <v>1.86844</v>
      </c>
      <c r="ID28">
        <v>1.86417</v>
      </c>
      <c r="IE28">
        <v>1.8718</v>
      </c>
      <c r="IF28">
        <v>1.86264</v>
      </c>
      <c r="IG28">
        <v>1.86203</v>
      </c>
      <c r="IH28">
        <v>1.86848</v>
      </c>
      <c r="II28">
        <v>1.85867</v>
      </c>
      <c r="IJ28">
        <v>1.86508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8.538</v>
      </c>
      <c r="IY28">
        <v>0.3287</v>
      </c>
      <c r="IZ28">
        <v>5.68464161616582</v>
      </c>
      <c r="JA28">
        <v>0.0084032629040739</v>
      </c>
      <c r="JB28">
        <v>-4.27142149824345e-06</v>
      </c>
      <c r="JC28">
        <v>1.06016907176734e-09</v>
      </c>
      <c r="JD28">
        <v>0.328744801655011</v>
      </c>
      <c r="JE28">
        <v>0</v>
      </c>
      <c r="JF28">
        <v>0</v>
      </c>
      <c r="JG28">
        <v>0</v>
      </c>
      <c r="JH28">
        <v>-1</v>
      </c>
      <c r="JI28">
        <v>2195</v>
      </c>
      <c r="JJ28">
        <v>1</v>
      </c>
      <c r="JK28">
        <v>22</v>
      </c>
      <c r="JL28">
        <v>29369883.6</v>
      </c>
      <c r="JM28">
        <v>29369883.6</v>
      </c>
      <c r="JN28">
        <v>1.30737</v>
      </c>
      <c r="JO28">
        <v>2.3645</v>
      </c>
      <c r="JP28">
        <v>2.09839</v>
      </c>
      <c r="JQ28">
        <v>2.65015</v>
      </c>
      <c r="JR28">
        <v>2.24365</v>
      </c>
      <c r="JS28">
        <v>2.36206</v>
      </c>
      <c r="JT28">
        <v>34.0545</v>
      </c>
      <c r="JU28">
        <v>24.2451</v>
      </c>
      <c r="JV28">
        <v>18</v>
      </c>
      <c r="JW28">
        <v>559.261</v>
      </c>
      <c r="JX28">
        <v>838.545</v>
      </c>
      <c r="JY28">
        <v>55.69</v>
      </c>
      <c r="JZ28">
        <v>36.2327</v>
      </c>
      <c r="KA28">
        <v>30.0006</v>
      </c>
      <c r="KB28">
        <v>35.2453</v>
      </c>
      <c r="KC28">
        <v>35.3246</v>
      </c>
      <c r="KD28">
        <v>26.2009</v>
      </c>
      <c r="KE28">
        <v>0</v>
      </c>
      <c r="KF28">
        <v>100</v>
      </c>
      <c r="KG28">
        <v>55.7017</v>
      </c>
      <c r="KH28">
        <v>420</v>
      </c>
      <c r="KI28">
        <v>21.8788</v>
      </c>
      <c r="KJ28">
        <v>91.6018</v>
      </c>
      <c r="KK28">
        <v>97.2293</v>
      </c>
    </row>
    <row r="29" spans="1:297">
      <c r="A29">
        <v>13</v>
      </c>
      <c r="B29">
        <v>1762193480</v>
      </c>
      <c r="C29">
        <v>3144</v>
      </c>
      <c r="D29" t="s">
        <v>481</v>
      </c>
      <c r="E29" t="s">
        <v>482</v>
      </c>
      <c r="F29">
        <v>5</v>
      </c>
      <c r="G29" t="s">
        <v>473</v>
      </c>
      <c r="H29" t="s">
        <v>436</v>
      </c>
      <c r="I29">
        <v>1762193471.5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428.499471590651</v>
      </c>
      <c r="AK29">
        <v>440.937</v>
      </c>
      <c r="AL29">
        <v>-0.00737373158375875</v>
      </c>
      <c r="AM29">
        <v>63.7130906067513</v>
      </c>
      <c r="AN29">
        <f>(AP29 - AO29 + DY29*1E3/(8.314*(EA29+273.15)) * AR29/DX29 * AQ29) * DX29/(100*DL29) * 1000/(1000 - AP29)</f>
        <v>0</v>
      </c>
      <c r="AO29">
        <v>19.8388888126129</v>
      </c>
      <c r="AP29">
        <v>27.1268884848485</v>
      </c>
      <c r="AQ29">
        <v>0.0059370004822138</v>
      </c>
      <c r="AR29">
        <v>103.112537033073</v>
      </c>
      <c r="AS29">
        <v>16</v>
      </c>
      <c r="AT29">
        <v>3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483</v>
      </c>
      <c r="AY29">
        <v>5080.73</v>
      </c>
      <c r="AZ29">
        <v>740.24</v>
      </c>
      <c r="BA29">
        <v>2153.35</v>
      </c>
      <c r="BB29">
        <f>1-AZ29/BA29</f>
        <v>0</v>
      </c>
      <c r="BC29">
        <v>-10.1326571356799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1762193471.5</v>
      </c>
      <c r="DR29">
        <v>429.0859375</v>
      </c>
      <c r="DS29">
        <v>419.9820625</v>
      </c>
      <c r="DT29">
        <v>27.08493125</v>
      </c>
      <c r="DU29">
        <v>19.84008125</v>
      </c>
      <c r="DV29">
        <v>420.5440625</v>
      </c>
      <c r="DW29">
        <v>26.75619375</v>
      </c>
      <c r="DX29">
        <v>499.9985625</v>
      </c>
      <c r="DY29">
        <v>90.86509375</v>
      </c>
      <c r="DZ29">
        <v>0.100064175</v>
      </c>
      <c r="EA29">
        <v>45.947875</v>
      </c>
      <c r="EB29">
        <v>42.0734875</v>
      </c>
      <c r="EC29">
        <v>999.9</v>
      </c>
      <c r="ED29">
        <v>0</v>
      </c>
      <c r="EE29">
        <v>0</v>
      </c>
      <c r="EF29">
        <v>9985.784375</v>
      </c>
      <c r="EG29">
        <v>0</v>
      </c>
      <c r="EH29">
        <v>0.278209</v>
      </c>
      <c r="EI29">
        <v>9.10376375</v>
      </c>
      <c r="EJ29">
        <v>441.0313125</v>
      </c>
      <c r="EK29">
        <v>428.48325</v>
      </c>
      <c r="EL29">
        <v>7.244853125</v>
      </c>
      <c r="EM29">
        <v>419.9820625</v>
      </c>
      <c r="EN29">
        <v>19.84008125</v>
      </c>
      <c r="EO29">
        <v>2.461076875</v>
      </c>
      <c r="EP29">
        <v>1.80277125</v>
      </c>
      <c r="EQ29">
        <v>20.77135</v>
      </c>
      <c r="ER29">
        <v>15.8108375</v>
      </c>
      <c r="ES29">
        <v>0.00500016</v>
      </c>
      <c r="ET29">
        <v>0</v>
      </c>
      <c r="EU29">
        <v>0</v>
      </c>
      <c r="EV29">
        <v>0</v>
      </c>
      <c r="EW29">
        <v>739.94375</v>
      </c>
      <c r="EX29">
        <v>0.00500016</v>
      </c>
      <c r="EY29">
        <v>14.95</v>
      </c>
      <c r="EZ29">
        <v>-0.48125</v>
      </c>
      <c r="FA29">
        <v>44.9881875</v>
      </c>
      <c r="FB29">
        <v>48.261625</v>
      </c>
      <c r="FC29">
        <v>46.7655</v>
      </c>
      <c r="FD29">
        <v>48.851375</v>
      </c>
      <c r="FE29">
        <v>48.812</v>
      </c>
      <c r="FF29">
        <v>0</v>
      </c>
      <c r="FG29">
        <v>0</v>
      </c>
      <c r="FH29">
        <v>0</v>
      </c>
      <c r="FI29">
        <v>464.599999904633</v>
      </c>
      <c r="FJ29">
        <v>0</v>
      </c>
      <c r="FK29">
        <v>740.24</v>
      </c>
      <c r="FL29">
        <v>30.3307695949106</v>
      </c>
      <c r="FM29">
        <v>-1.89230775677945</v>
      </c>
      <c r="FN29">
        <v>14.996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9.15715571428571</v>
      </c>
      <c r="GD29">
        <v>-1.06044077922077</v>
      </c>
      <c r="GE29">
        <v>0.116604126308244</v>
      </c>
      <c r="GF29">
        <v>0</v>
      </c>
      <c r="GG29">
        <v>739.402941176471</v>
      </c>
      <c r="GH29">
        <v>25.8166538349624</v>
      </c>
      <c r="GI29">
        <v>6.7985069854957</v>
      </c>
      <c r="GJ29">
        <v>-1</v>
      </c>
      <c r="GK29">
        <v>7.22071952380952</v>
      </c>
      <c r="GL29">
        <v>0.396292207792212</v>
      </c>
      <c r="GM29">
        <v>0.0402904011345478</v>
      </c>
      <c r="GN29">
        <v>0</v>
      </c>
      <c r="GO29">
        <v>0</v>
      </c>
      <c r="GP29">
        <v>2</v>
      </c>
      <c r="GQ29" t="s">
        <v>484</v>
      </c>
      <c r="GR29">
        <v>3.12421</v>
      </c>
      <c r="GS29">
        <v>2.7254</v>
      </c>
      <c r="GT29">
        <v>0.0886037</v>
      </c>
      <c r="GU29">
        <v>0.0884043</v>
      </c>
      <c r="GV29">
        <v>0.109504</v>
      </c>
      <c r="GW29">
        <v>0.0878282</v>
      </c>
      <c r="GX29">
        <v>22991.3</v>
      </c>
      <c r="GY29">
        <v>21819.7</v>
      </c>
      <c r="GZ29">
        <v>22594.7</v>
      </c>
      <c r="HA29">
        <v>23344.9</v>
      </c>
      <c r="HB29">
        <v>34370.7</v>
      </c>
      <c r="HC29">
        <v>35276.7</v>
      </c>
      <c r="HD29">
        <v>40822.5</v>
      </c>
      <c r="HE29">
        <v>41676.2</v>
      </c>
      <c r="HF29">
        <v>1.77665</v>
      </c>
      <c r="HG29">
        <v>2.21747</v>
      </c>
      <c r="HH29">
        <v>0.105396</v>
      </c>
      <c r="HI29">
        <v>0</v>
      </c>
      <c r="HJ29">
        <v>40.3858</v>
      </c>
      <c r="HK29">
        <v>999.9</v>
      </c>
      <c r="HL29">
        <v>50.91</v>
      </c>
      <c r="HM29">
        <v>27.14</v>
      </c>
      <c r="HN29">
        <v>20.2186</v>
      </c>
      <c r="HO29">
        <v>55.5192</v>
      </c>
      <c r="HP29">
        <v>31.3261</v>
      </c>
      <c r="HQ29">
        <v>2</v>
      </c>
      <c r="HR29">
        <v>0.740589</v>
      </c>
      <c r="HS29">
        <v>-4.12094</v>
      </c>
      <c r="HT29">
        <v>20.1876</v>
      </c>
      <c r="HU29">
        <v>5.22957</v>
      </c>
      <c r="HV29">
        <v>11.998</v>
      </c>
      <c r="HW29">
        <v>4.9555</v>
      </c>
      <c r="HX29">
        <v>3.304</v>
      </c>
      <c r="HY29">
        <v>9999</v>
      </c>
      <c r="HZ29">
        <v>9999</v>
      </c>
      <c r="IA29">
        <v>9999</v>
      </c>
      <c r="IB29">
        <v>999.9</v>
      </c>
      <c r="IC29">
        <v>1.86848</v>
      </c>
      <c r="ID29">
        <v>1.86417</v>
      </c>
      <c r="IE29">
        <v>1.8718</v>
      </c>
      <c r="IF29">
        <v>1.86264</v>
      </c>
      <c r="IG29">
        <v>1.86203</v>
      </c>
      <c r="IH29">
        <v>1.86854</v>
      </c>
      <c r="II29">
        <v>1.85867</v>
      </c>
      <c r="IJ29">
        <v>1.86508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8.542</v>
      </c>
      <c r="IY29">
        <v>0.3288</v>
      </c>
      <c r="IZ29">
        <v>5.68464161616582</v>
      </c>
      <c r="JA29">
        <v>0.0084032629040739</v>
      </c>
      <c r="JB29">
        <v>-4.27142149824345e-06</v>
      </c>
      <c r="JC29">
        <v>1.06016907176734e-09</v>
      </c>
      <c r="JD29">
        <v>0.328744801655011</v>
      </c>
      <c r="JE29">
        <v>0</v>
      </c>
      <c r="JF29">
        <v>0</v>
      </c>
      <c r="JG29">
        <v>0</v>
      </c>
      <c r="JH29">
        <v>-1</v>
      </c>
      <c r="JI29">
        <v>2195</v>
      </c>
      <c r="JJ29">
        <v>1</v>
      </c>
      <c r="JK29">
        <v>22</v>
      </c>
      <c r="JL29">
        <v>29369891.3</v>
      </c>
      <c r="JM29">
        <v>29369891.3</v>
      </c>
      <c r="JN29">
        <v>1.30859</v>
      </c>
      <c r="JO29">
        <v>2.36206</v>
      </c>
      <c r="JP29">
        <v>2.09839</v>
      </c>
      <c r="JQ29">
        <v>2.64893</v>
      </c>
      <c r="JR29">
        <v>2.24365</v>
      </c>
      <c r="JS29">
        <v>2.24121</v>
      </c>
      <c r="JT29">
        <v>34.1678</v>
      </c>
      <c r="JU29">
        <v>24.2714</v>
      </c>
      <c r="JV29">
        <v>18</v>
      </c>
      <c r="JW29">
        <v>524.191</v>
      </c>
      <c r="JX29">
        <v>833.759</v>
      </c>
      <c r="JY29">
        <v>53.9363</v>
      </c>
      <c r="JZ29">
        <v>36.9882</v>
      </c>
      <c r="KA29">
        <v>30.0002</v>
      </c>
      <c r="KB29">
        <v>35.9317</v>
      </c>
      <c r="KC29">
        <v>36.0104</v>
      </c>
      <c r="KD29">
        <v>26.2239</v>
      </c>
      <c r="KE29">
        <v>0</v>
      </c>
      <c r="KF29">
        <v>100</v>
      </c>
      <c r="KG29">
        <v>53.9092</v>
      </c>
      <c r="KH29">
        <v>420</v>
      </c>
      <c r="KI29">
        <v>21.8788</v>
      </c>
      <c r="KJ29">
        <v>91.4236</v>
      </c>
      <c r="KK29">
        <v>97.0911</v>
      </c>
    </row>
    <row r="30" spans="1:297">
      <c r="A30">
        <v>14</v>
      </c>
      <c r="B30">
        <v>1762193637.1</v>
      </c>
      <c r="C30">
        <v>3301.09999990463</v>
      </c>
      <c r="D30" t="s">
        <v>485</v>
      </c>
      <c r="E30" t="s">
        <v>486</v>
      </c>
      <c r="F30">
        <v>5</v>
      </c>
      <c r="G30" t="s">
        <v>473</v>
      </c>
      <c r="H30" t="s">
        <v>436</v>
      </c>
      <c r="I30">
        <v>1762193629.1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428.433680819325</v>
      </c>
      <c r="AK30">
        <v>440.628751515151</v>
      </c>
      <c r="AL30">
        <v>0.00641897827355347</v>
      </c>
      <c r="AM30">
        <v>63.7130906067513</v>
      </c>
      <c r="AN30">
        <f>(AP30 - AO30 + DY30*1E3/(8.314*(EA30+273.15)) * AR30/DX30 * AQ30) * DX30/(100*DL30) * 1000/(1000 - AP30)</f>
        <v>0</v>
      </c>
      <c r="AO30">
        <v>19.7944344526965</v>
      </c>
      <c r="AP30">
        <v>28.3425478787879</v>
      </c>
      <c r="AQ30">
        <v>0.00922261112432261</v>
      </c>
      <c r="AR30">
        <v>103.112537033073</v>
      </c>
      <c r="AS30">
        <v>15</v>
      </c>
      <c r="AT30">
        <v>3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487</v>
      </c>
      <c r="AY30">
        <v>5079.83</v>
      </c>
      <c r="AZ30">
        <v>773.419230769231</v>
      </c>
      <c r="BA30">
        <v>2098.42</v>
      </c>
      <c r="BB30">
        <f>1-AZ30/BA30</f>
        <v>0</v>
      </c>
      <c r="BC30">
        <v>-9.98440684558283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1762193629.1</v>
      </c>
      <c r="DR30">
        <v>428.144466666667</v>
      </c>
      <c r="DS30">
        <v>419.982533333333</v>
      </c>
      <c r="DT30">
        <v>28.27544</v>
      </c>
      <c r="DU30">
        <v>19.7962266666667</v>
      </c>
      <c r="DV30">
        <v>419.607466666667</v>
      </c>
      <c r="DW30">
        <v>27.9467</v>
      </c>
      <c r="DX30">
        <v>500.007133333333</v>
      </c>
      <c r="DY30">
        <v>90.8642133333333</v>
      </c>
      <c r="DZ30">
        <v>0.09993782</v>
      </c>
      <c r="EA30">
        <v>45.9083133333333</v>
      </c>
      <c r="EB30">
        <v>41.95676</v>
      </c>
      <c r="EC30">
        <v>999.9</v>
      </c>
      <c r="ED30">
        <v>0</v>
      </c>
      <c r="EE30">
        <v>0</v>
      </c>
      <c r="EF30">
        <v>10000.1273333333</v>
      </c>
      <c r="EG30">
        <v>0</v>
      </c>
      <c r="EH30">
        <v>0.278209</v>
      </c>
      <c r="EI30">
        <v>8.16189266666667</v>
      </c>
      <c r="EJ30">
        <v>440.602733333333</v>
      </c>
      <c r="EK30">
        <v>428.464666666667</v>
      </c>
      <c r="EL30">
        <v>8.47921333333333</v>
      </c>
      <c r="EM30">
        <v>419.982533333333</v>
      </c>
      <c r="EN30">
        <v>19.7962266666667</v>
      </c>
      <c r="EO30">
        <v>2.56922533333333</v>
      </c>
      <c r="EP30">
        <v>1.798768</v>
      </c>
      <c r="EQ30">
        <v>21.4717866666667</v>
      </c>
      <c r="ER30">
        <v>15.7760866666667</v>
      </c>
      <c r="ES30">
        <v>0.00500016</v>
      </c>
      <c r="ET30">
        <v>0</v>
      </c>
      <c r="EU30">
        <v>0</v>
      </c>
      <c r="EV30">
        <v>0</v>
      </c>
      <c r="EW30">
        <v>774.046666666667</v>
      </c>
      <c r="EX30">
        <v>0.00500016</v>
      </c>
      <c r="EY30">
        <v>15.3466666666667</v>
      </c>
      <c r="EZ30">
        <v>-0.126666666666667</v>
      </c>
      <c r="FA30">
        <v>45.3246</v>
      </c>
      <c r="FB30">
        <v>48.625</v>
      </c>
      <c r="FC30">
        <v>47.125</v>
      </c>
      <c r="FD30">
        <v>49.1912</v>
      </c>
      <c r="FE30">
        <v>49.125</v>
      </c>
      <c r="FF30">
        <v>0</v>
      </c>
      <c r="FG30">
        <v>0</v>
      </c>
      <c r="FH30">
        <v>0</v>
      </c>
      <c r="FI30">
        <v>156.200000047684</v>
      </c>
      <c r="FJ30">
        <v>0</v>
      </c>
      <c r="FK30">
        <v>773.419230769231</v>
      </c>
      <c r="FL30">
        <v>-33.0290598080768</v>
      </c>
      <c r="FM30">
        <v>6.89914501031435</v>
      </c>
      <c r="FN30">
        <v>15.8230769230769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8.17758952380952</v>
      </c>
      <c r="GD30">
        <v>-0.263174025974022</v>
      </c>
      <c r="GE30">
        <v>0.043697167879917</v>
      </c>
      <c r="GF30">
        <v>1</v>
      </c>
      <c r="GG30">
        <v>774.305882352941</v>
      </c>
      <c r="GH30">
        <v>-18.2551565131052</v>
      </c>
      <c r="GI30">
        <v>5.96780288550793</v>
      </c>
      <c r="GJ30">
        <v>-1</v>
      </c>
      <c r="GK30">
        <v>8.4489719047619</v>
      </c>
      <c r="GL30">
        <v>0.60724207792208</v>
      </c>
      <c r="GM30">
        <v>0.0613068191359033</v>
      </c>
      <c r="GN30">
        <v>0</v>
      </c>
      <c r="GO30">
        <v>1</v>
      </c>
      <c r="GP30">
        <v>2</v>
      </c>
      <c r="GQ30" t="s">
        <v>441</v>
      </c>
      <c r="GR30">
        <v>3.12396</v>
      </c>
      <c r="GS30">
        <v>2.72555</v>
      </c>
      <c r="GT30">
        <v>0.0883948</v>
      </c>
      <c r="GU30">
        <v>0.0883267</v>
      </c>
      <c r="GV30">
        <v>0.112898</v>
      </c>
      <c r="GW30">
        <v>0.0876177</v>
      </c>
      <c r="GX30">
        <v>22968.8</v>
      </c>
      <c r="GY30">
        <v>21800.8</v>
      </c>
      <c r="GZ30">
        <v>22568.7</v>
      </c>
      <c r="HA30">
        <v>23324.2</v>
      </c>
      <c r="HB30">
        <v>34205.7</v>
      </c>
      <c r="HC30">
        <v>35256.7</v>
      </c>
      <c r="HD30">
        <v>40780.7</v>
      </c>
      <c r="HE30">
        <v>41643.4</v>
      </c>
      <c r="HF30">
        <v>1.7761</v>
      </c>
      <c r="HG30">
        <v>2.211</v>
      </c>
      <c r="HH30">
        <v>0.0853837</v>
      </c>
      <c r="HI30">
        <v>0</v>
      </c>
      <c r="HJ30">
        <v>40.61</v>
      </c>
      <c r="HK30">
        <v>999.9</v>
      </c>
      <c r="HL30">
        <v>50.69</v>
      </c>
      <c r="HM30">
        <v>27.18</v>
      </c>
      <c r="HN30">
        <v>20.1779</v>
      </c>
      <c r="HO30">
        <v>55.1001</v>
      </c>
      <c r="HP30">
        <v>31.1218</v>
      </c>
      <c r="HQ30">
        <v>2</v>
      </c>
      <c r="HR30">
        <v>0.776918</v>
      </c>
      <c r="HS30">
        <v>-5.44778</v>
      </c>
      <c r="HT30">
        <v>20.1522</v>
      </c>
      <c r="HU30">
        <v>5.23451</v>
      </c>
      <c r="HV30">
        <v>11.998</v>
      </c>
      <c r="HW30">
        <v>4.9555</v>
      </c>
      <c r="HX30">
        <v>3.304</v>
      </c>
      <c r="HY30">
        <v>9999</v>
      </c>
      <c r="HZ30">
        <v>9999</v>
      </c>
      <c r="IA30">
        <v>9999</v>
      </c>
      <c r="IB30">
        <v>999.9</v>
      </c>
      <c r="IC30">
        <v>1.86845</v>
      </c>
      <c r="ID30">
        <v>1.86416</v>
      </c>
      <c r="IE30">
        <v>1.87181</v>
      </c>
      <c r="IF30">
        <v>1.86264</v>
      </c>
      <c r="IG30">
        <v>1.86203</v>
      </c>
      <c r="IH30">
        <v>1.86847</v>
      </c>
      <c r="II30">
        <v>1.85867</v>
      </c>
      <c r="IJ30">
        <v>1.86508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8.537</v>
      </c>
      <c r="IY30">
        <v>0.3288</v>
      </c>
      <c r="IZ30">
        <v>5.68464161616582</v>
      </c>
      <c r="JA30">
        <v>0.0084032629040739</v>
      </c>
      <c r="JB30">
        <v>-4.27142149824345e-06</v>
      </c>
      <c r="JC30">
        <v>1.06016907176734e-09</v>
      </c>
      <c r="JD30">
        <v>0.328744801655011</v>
      </c>
      <c r="JE30">
        <v>0</v>
      </c>
      <c r="JF30">
        <v>0</v>
      </c>
      <c r="JG30">
        <v>0</v>
      </c>
      <c r="JH30">
        <v>-1</v>
      </c>
      <c r="JI30">
        <v>2195</v>
      </c>
      <c r="JJ30">
        <v>1</v>
      </c>
      <c r="JK30">
        <v>22</v>
      </c>
      <c r="JL30">
        <v>29369894</v>
      </c>
      <c r="JM30">
        <v>29369894</v>
      </c>
      <c r="JN30">
        <v>1.30859</v>
      </c>
      <c r="JO30">
        <v>2.35352</v>
      </c>
      <c r="JP30">
        <v>2.09839</v>
      </c>
      <c r="JQ30">
        <v>2.65015</v>
      </c>
      <c r="JR30">
        <v>2.24365</v>
      </c>
      <c r="JS30">
        <v>2.33032</v>
      </c>
      <c r="JT30">
        <v>34.2133</v>
      </c>
      <c r="JU30">
        <v>24.2626</v>
      </c>
      <c r="JV30">
        <v>18</v>
      </c>
      <c r="JW30">
        <v>526.33</v>
      </c>
      <c r="JX30">
        <v>831.68</v>
      </c>
      <c r="JY30">
        <v>54.5051</v>
      </c>
      <c r="JZ30">
        <v>37.3467</v>
      </c>
      <c r="KA30">
        <v>30.0012</v>
      </c>
      <c r="KB30">
        <v>36.2861</v>
      </c>
      <c r="KC30">
        <v>36.3632</v>
      </c>
      <c r="KD30">
        <v>26.2297</v>
      </c>
      <c r="KE30">
        <v>0</v>
      </c>
      <c r="KF30">
        <v>100</v>
      </c>
      <c r="KG30">
        <v>54.535</v>
      </c>
      <c r="KH30">
        <v>420</v>
      </c>
      <c r="KI30">
        <v>21.8788</v>
      </c>
      <c r="KJ30">
        <v>91.3258</v>
      </c>
      <c r="KK30">
        <v>97.0113</v>
      </c>
    </row>
    <row r="31" spans="1:297">
      <c r="A31">
        <v>15</v>
      </c>
      <c r="B31">
        <v>1762193754.1</v>
      </c>
      <c r="C31">
        <v>3418.09999990463</v>
      </c>
      <c r="D31" t="s">
        <v>488</v>
      </c>
      <c r="E31" t="s">
        <v>489</v>
      </c>
      <c r="F31">
        <v>5</v>
      </c>
      <c r="G31" t="s">
        <v>473</v>
      </c>
      <c r="H31" t="s">
        <v>436</v>
      </c>
      <c r="I31">
        <v>1762193745.6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428.456465638111</v>
      </c>
      <c r="AK31">
        <v>440.804042424242</v>
      </c>
      <c r="AL31">
        <v>-0.0442980476698633</v>
      </c>
      <c r="AM31">
        <v>63.7130906067513</v>
      </c>
      <c r="AN31">
        <f>(AP31 - AO31 + DY31*1E3/(8.314*(EA31+273.15)) * AR31/DX31 * AQ31) * DX31/(100*DL31) * 1000/(1000 - AP31)</f>
        <v>0</v>
      </c>
      <c r="AO31">
        <v>19.7612792410279</v>
      </c>
      <c r="AP31">
        <v>29.4502309090909</v>
      </c>
      <c r="AQ31">
        <v>0.0082329672288159</v>
      </c>
      <c r="AR31">
        <v>103.112537033073</v>
      </c>
      <c r="AS31">
        <v>13</v>
      </c>
      <c r="AT31">
        <v>3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490</v>
      </c>
      <c r="AY31">
        <v>5078.94</v>
      </c>
      <c r="AZ31">
        <v>783.032</v>
      </c>
      <c r="BA31">
        <v>2070.4</v>
      </c>
      <c r="BB31">
        <f>1-AZ31/BA31</f>
        <v>0</v>
      </c>
      <c r="BC31">
        <v>-9.92915521901344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1762193745.6</v>
      </c>
      <c r="DR31">
        <v>427.9421875</v>
      </c>
      <c r="DS31">
        <v>420.0125</v>
      </c>
      <c r="DT31">
        <v>29.3874</v>
      </c>
      <c r="DU31">
        <v>19.7622625</v>
      </c>
      <c r="DV31">
        <v>419.40625</v>
      </c>
      <c r="DW31">
        <v>29.0586875</v>
      </c>
      <c r="DX31">
        <v>500.035625</v>
      </c>
      <c r="DY31">
        <v>90.8642875</v>
      </c>
      <c r="DZ31">
        <v>0.0999999375</v>
      </c>
      <c r="EA31">
        <v>46.07244375</v>
      </c>
      <c r="EB31">
        <v>42.029075</v>
      </c>
      <c r="EC31">
        <v>999.9</v>
      </c>
      <c r="ED31">
        <v>0</v>
      </c>
      <c r="EE31">
        <v>0</v>
      </c>
      <c r="EF31">
        <v>10007.78375</v>
      </c>
      <c r="EG31">
        <v>0</v>
      </c>
      <c r="EH31">
        <v>0.278209</v>
      </c>
      <c r="EI31">
        <v>7.929879375</v>
      </c>
      <c r="EJ31">
        <v>440.8990625</v>
      </c>
      <c r="EK31">
        <v>428.480125</v>
      </c>
      <c r="EL31">
        <v>9.625158125</v>
      </c>
      <c r="EM31">
        <v>420.0125</v>
      </c>
      <c r="EN31">
        <v>19.7622625</v>
      </c>
      <c r="EO31">
        <v>2.670266875</v>
      </c>
      <c r="EP31">
        <v>1.79568375</v>
      </c>
      <c r="EQ31">
        <v>22.10326875</v>
      </c>
      <c r="ER31">
        <v>15.7492625</v>
      </c>
      <c r="ES31">
        <v>0.00500016</v>
      </c>
      <c r="ET31">
        <v>0</v>
      </c>
      <c r="EU31">
        <v>0</v>
      </c>
      <c r="EV31">
        <v>0</v>
      </c>
      <c r="EW31">
        <v>784.24375</v>
      </c>
      <c r="EX31">
        <v>0.00500016</v>
      </c>
      <c r="EY31">
        <v>18.28125</v>
      </c>
      <c r="EZ31">
        <v>-0.0875</v>
      </c>
      <c r="FA31">
        <v>45.625</v>
      </c>
      <c r="FB31">
        <v>48.925375</v>
      </c>
      <c r="FC31">
        <v>47.394375</v>
      </c>
      <c r="FD31">
        <v>49.503875</v>
      </c>
      <c r="FE31">
        <v>49.433125</v>
      </c>
      <c r="FF31">
        <v>0</v>
      </c>
      <c r="FG31">
        <v>0</v>
      </c>
      <c r="FH31">
        <v>0</v>
      </c>
      <c r="FI31">
        <v>115.799999952316</v>
      </c>
      <c r="FJ31">
        <v>0</v>
      </c>
      <c r="FK31">
        <v>783.032</v>
      </c>
      <c r="FL31">
        <v>-10.8538460295853</v>
      </c>
      <c r="FM31">
        <v>1.73076921875423</v>
      </c>
      <c r="FN31">
        <v>16.524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7.93742714285714</v>
      </c>
      <c r="GD31">
        <v>0.0695844155844212</v>
      </c>
      <c r="GE31">
        <v>0.0614795084051711</v>
      </c>
      <c r="GF31">
        <v>1</v>
      </c>
      <c r="GG31">
        <v>783.5</v>
      </c>
      <c r="GH31">
        <v>-7.30939645346791</v>
      </c>
      <c r="GI31">
        <v>4.91582079795908</v>
      </c>
      <c r="GJ31">
        <v>-1</v>
      </c>
      <c r="GK31">
        <v>9.59488523809524</v>
      </c>
      <c r="GL31">
        <v>0.520636363636363</v>
      </c>
      <c r="GM31">
        <v>0.052581643512419</v>
      </c>
      <c r="GN31">
        <v>0</v>
      </c>
      <c r="GO31">
        <v>1</v>
      </c>
      <c r="GP31">
        <v>2</v>
      </c>
      <c r="GQ31" t="s">
        <v>441</v>
      </c>
      <c r="GR31">
        <v>3.12395</v>
      </c>
      <c r="GS31">
        <v>2.7253</v>
      </c>
      <c r="GT31">
        <v>0.0882719</v>
      </c>
      <c r="GU31">
        <v>0.0882569</v>
      </c>
      <c r="GV31">
        <v>0.1159</v>
      </c>
      <c r="GW31">
        <v>0.0874376</v>
      </c>
      <c r="GX31">
        <v>22947.9</v>
      </c>
      <c r="GY31">
        <v>21784.3</v>
      </c>
      <c r="GZ31">
        <v>22546.5</v>
      </c>
      <c r="HA31">
        <v>23306.3</v>
      </c>
      <c r="HB31">
        <v>34061.4</v>
      </c>
      <c r="HC31">
        <v>35238.4</v>
      </c>
      <c r="HD31">
        <v>40745.4</v>
      </c>
      <c r="HE31">
        <v>41614</v>
      </c>
      <c r="HF31">
        <v>1.77535</v>
      </c>
      <c r="HG31">
        <v>2.20578</v>
      </c>
      <c r="HH31">
        <v>0.0658333</v>
      </c>
      <c r="HI31">
        <v>0</v>
      </c>
      <c r="HJ31">
        <v>40.9467</v>
      </c>
      <c r="HK31">
        <v>999.9</v>
      </c>
      <c r="HL31">
        <v>50.543</v>
      </c>
      <c r="HM31">
        <v>27.221</v>
      </c>
      <c r="HN31">
        <v>20.1709</v>
      </c>
      <c r="HO31">
        <v>55.4902</v>
      </c>
      <c r="HP31">
        <v>31.0016</v>
      </c>
      <c r="HQ31">
        <v>2</v>
      </c>
      <c r="HR31">
        <v>0.805008</v>
      </c>
      <c r="HS31">
        <v>-4.97417</v>
      </c>
      <c r="HT31">
        <v>20.1649</v>
      </c>
      <c r="HU31">
        <v>5.23436</v>
      </c>
      <c r="HV31">
        <v>11.998</v>
      </c>
      <c r="HW31">
        <v>4.9541</v>
      </c>
      <c r="HX31">
        <v>3.304</v>
      </c>
      <c r="HY31">
        <v>9999</v>
      </c>
      <c r="HZ31">
        <v>9999</v>
      </c>
      <c r="IA31">
        <v>9999</v>
      </c>
      <c r="IB31">
        <v>999.9</v>
      </c>
      <c r="IC31">
        <v>1.86844</v>
      </c>
      <c r="ID31">
        <v>1.86417</v>
      </c>
      <c r="IE31">
        <v>1.87181</v>
      </c>
      <c r="IF31">
        <v>1.86264</v>
      </c>
      <c r="IG31">
        <v>1.86203</v>
      </c>
      <c r="IH31">
        <v>1.86856</v>
      </c>
      <c r="II31">
        <v>1.85867</v>
      </c>
      <c r="IJ31">
        <v>1.86508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8.535</v>
      </c>
      <c r="IY31">
        <v>0.3288</v>
      </c>
      <c r="IZ31">
        <v>5.68464161616582</v>
      </c>
      <c r="JA31">
        <v>0.0084032629040739</v>
      </c>
      <c r="JB31">
        <v>-4.27142149824345e-06</v>
      </c>
      <c r="JC31">
        <v>1.06016907176734e-09</v>
      </c>
      <c r="JD31">
        <v>0.328744801655011</v>
      </c>
      <c r="JE31">
        <v>0</v>
      </c>
      <c r="JF31">
        <v>0</v>
      </c>
      <c r="JG31">
        <v>0</v>
      </c>
      <c r="JH31">
        <v>-1</v>
      </c>
      <c r="JI31">
        <v>2195</v>
      </c>
      <c r="JJ31">
        <v>1</v>
      </c>
      <c r="JK31">
        <v>22</v>
      </c>
      <c r="JL31">
        <v>29369895.9</v>
      </c>
      <c r="JM31">
        <v>29369895.9</v>
      </c>
      <c r="JN31">
        <v>1.30859</v>
      </c>
      <c r="JO31">
        <v>2.35596</v>
      </c>
      <c r="JP31">
        <v>2.09839</v>
      </c>
      <c r="JQ31">
        <v>2.64893</v>
      </c>
      <c r="JR31">
        <v>2.24365</v>
      </c>
      <c r="JS31">
        <v>2.27539</v>
      </c>
      <c r="JT31">
        <v>34.2133</v>
      </c>
      <c r="JU31">
        <v>24.2539</v>
      </c>
      <c r="JV31">
        <v>18</v>
      </c>
      <c r="JW31">
        <v>528.064</v>
      </c>
      <c r="JX31">
        <v>830.352</v>
      </c>
      <c r="JY31">
        <v>54.2305</v>
      </c>
      <c r="JZ31">
        <v>37.6776</v>
      </c>
      <c r="KA31">
        <v>30.0013</v>
      </c>
      <c r="KB31">
        <v>36.6023</v>
      </c>
      <c r="KC31">
        <v>36.677</v>
      </c>
      <c r="KD31">
        <v>26.231</v>
      </c>
      <c r="KE31">
        <v>0</v>
      </c>
      <c r="KF31">
        <v>100</v>
      </c>
      <c r="KG31">
        <v>54.2314</v>
      </c>
      <c r="KH31">
        <v>420</v>
      </c>
      <c r="KI31">
        <v>21.8788</v>
      </c>
      <c r="KJ31">
        <v>91.2428</v>
      </c>
      <c r="KK31">
        <v>96.9405</v>
      </c>
    </row>
    <row r="32" spans="1:297">
      <c r="A32">
        <v>16</v>
      </c>
      <c r="B32">
        <v>1762194149.1</v>
      </c>
      <c r="C32">
        <v>3813.09999990463</v>
      </c>
      <c r="D32" t="s">
        <v>491</v>
      </c>
      <c r="E32" t="s">
        <v>492</v>
      </c>
      <c r="F32">
        <v>5</v>
      </c>
      <c r="G32" t="s">
        <v>493</v>
      </c>
      <c r="H32" t="s">
        <v>436</v>
      </c>
      <c r="I32">
        <v>1762194140.6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428.405099967061</v>
      </c>
      <c r="AK32">
        <v>438.016315151515</v>
      </c>
      <c r="AL32">
        <v>0.00425832734996094</v>
      </c>
      <c r="AM32">
        <v>64.0547078357018</v>
      </c>
      <c r="AN32">
        <f>(AP32 - AO32 + DY32*1E3/(8.314*(EA32+273.15)) * AR32/DX32 * AQ32) * DX32/(100*DL32) * 1000/(1000 - AP32)</f>
        <v>0</v>
      </c>
      <c r="AO32">
        <v>19.6300479214136</v>
      </c>
      <c r="AP32">
        <v>33.9201818181818</v>
      </c>
      <c r="AQ32">
        <v>0.00990107355563374</v>
      </c>
      <c r="AR32">
        <v>103.74816460187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494</v>
      </c>
      <c r="AY32">
        <v>5091.65</v>
      </c>
      <c r="AZ32">
        <v>1029.04</v>
      </c>
      <c r="BA32">
        <v>2298.14</v>
      </c>
      <c r="BB32">
        <f>1-AZ32/BA32</f>
        <v>0</v>
      </c>
      <c r="BC32">
        <v>-7.86771110682146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1762194140.6</v>
      </c>
      <c r="DR32">
        <v>423.161875</v>
      </c>
      <c r="DS32">
        <v>419.993125</v>
      </c>
      <c r="DT32">
        <v>33.84654375</v>
      </c>
      <c r="DU32">
        <v>19.63241875</v>
      </c>
      <c r="DV32">
        <v>414.65175</v>
      </c>
      <c r="DW32">
        <v>33.5177875</v>
      </c>
      <c r="DX32">
        <v>500.0288125</v>
      </c>
      <c r="DY32">
        <v>90.85210625</v>
      </c>
      <c r="DZ32">
        <v>0.1000211375</v>
      </c>
      <c r="EA32">
        <v>48.2036</v>
      </c>
      <c r="EB32">
        <v>43.27523125</v>
      </c>
      <c r="EC32">
        <v>999.9</v>
      </c>
      <c r="ED32">
        <v>0</v>
      </c>
      <c r="EE32">
        <v>0</v>
      </c>
      <c r="EF32">
        <v>10006.40625</v>
      </c>
      <c r="EG32">
        <v>0</v>
      </c>
      <c r="EH32">
        <v>0.278209</v>
      </c>
      <c r="EI32">
        <v>3.16886375</v>
      </c>
      <c r="EJ32">
        <v>437.986375</v>
      </c>
      <c r="EK32">
        <v>428.40375</v>
      </c>
      <c r="EL32">
        <v>14.2141125</v>
      </c>
      <c r="EM32">
        <v>419.993125</v>
      </c>
      <c r="EN32">
        <v>19.63241875</v>
      </c>
      <c r="EO32">
        <v>3.075029375</v>
      </c>
      <c r="EP32">
        <v>1.7836475</v>
      </c>
      <c r="EQ32">
        <v>24.43985</v>
      </c>
      <c r="ER32">
        <v>15.6442125</v>
      </c>
      <c r="ES32">
        <v>0.00500016</v>
      </c>
      <c r="ET32">
        <v>0</v>
      </c>
      <c r="EU32">
        <v>0</v>
      </c>
      <c r="EV32">
        <v>0</v>
      </c>
      <c r="EW32">
        <v>1029.925</v>
      </c>
      <c r="EX32">
        <v>0.00500016</v>
      </c>
      <c r="EY32">
        <v>28.21875</v>
      </c>
      <c r="EZ32">
        <v>0.7625</v>
      </c>
      <c r="FA32">
        <v>46.687</v>
      </c>
      <c r="FB32">
        <v>50.058125</v>
      </c>
      <c r="FC32">
        <v>48.45275</v>
      </c>
      <c r="FD32">
        <v>50.675375</v>
      </c>
      <c r="FE32">
        <v>50.50775</v>
      </c>
      <c r="FF32">
        <v>0</v>
      </c>
      <c r="FG32">
        <v>0</v>
      </c>
      <c r="FH32">
        <v>0</v>
      </c>
      <c r="FI32">
        <v>394</v>
      </c>
      <c r="FJ32">
        <v>0</v>
      </c>
      <c r="FK32">
        <v>1029.04</v>
      </c>
      <c r="FL32">
        <v>-31.5615383080925</v>
      </c>
      <c r="FM32">
        <v>13.5923074208773</v>
      </c>
      <c r="FN32">
        <v>28.864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3.1976245</v>
      </c>
      <c r="GD32">
        <v>-0.476882255639097</v>
      </c>
      <c r="GE32">
        <v>0.0549095837240641</v>
      </c>
      <c r="GF32">
        <v>1</v>
      </c>
      <c r="GG32">
        <v>1029.92941176471</v>
      </c>
      <c r="GH32">
        <v>5.33537058921118</v>
      </c>
      <c r="GI32">
        <v>4.50702258649273</v>
      </c>
      <c r="GJ32">
        <v>-1</v>
      </c>
      <c r="GK32">
        <v>14.18134</v>
      </c>
      <c r="GL32">
        <v>0.640078195488729</v>
      </c>
      <c r="GM32">
        <v>0.0615872665410632</v>
      </c>
      <c r="GN32">
        <v>0</v>
      </c>
      <c r="GO32">
        <v>1</v>
      </c>
      <c r="GP32">
        <v>2</v>
      </c>
      <c r="GQ32" t="s">
        <v>441</v>
      </c>
      <c r="GR32">
        <v>3.12378</v>
      </c>
      <c r="GS32">
        <v>2.72566</v>
      </c>
      <c r="GT32">
        <v>0.0872597</v>
      </c>
      <c r="GU32">
        <v>0.0879624</v>
      </c>
      <c r="GV32">
        <v>0.127582</v>
      </c>
      <c r="GW32">
        <v>0.0867417</v>
      </c>
      <c r="GX32">
        <v>22874.9</v>
      </c>
      <c r="GY32">
        <v>21714.6</v>
      </c>
      <c r="GZ32">
        <v>22455.2</v>
      </c>
      <c r="HA32">
        <v>23230.5</v>
      </c>
      <c r="HB32">
        <v>33496.1</v>
      </c>
      <c r="HC32">
        <v>35160.7</v>
      </c>
      <c r="HD32">
        <v>40599.2</v>
      </c>
      <c r="HE32">
        <v>41492.5</v>
      </c>
      <c r="HF32">
        <v>1.81303</v>
      </c>
      <c r="HG32">
        <v>2.18278</v>
      </c>
      <c r="HH32">
        <v>0.0397786</v>
      </c>
      <c r="HI32">
        <v>0</v>
      </c>
      <c r="HJ32">
        <v>42.6786</v>
      </c>
      <c r="HK32">
        <v>999.9</v>
      </c>
      <c r="HL32">
        <v>50.079</v>
      </c>
      <c r="HM32">
        <v>27.291</v>
      </c>
      <c r="HN32">
        <v>20.0688</v>
      </c>
      <c r="HO32">
        <v>54.7201</v>
      </c>
      <c r="HP32">
        <v>30.6731</v>
      </c>
      <c r="HQ32">
        <v>2</v>
      </c>
      <c r="HR32">
        <v>0.942154</v>
      </c>
      <c r="HS32">
        <v>-6.66667</v>
      </c>
      <c r="HT32">
        <v>20.1149</v>
      </c>
      <c r="HU32">
        <v>5.23286</v>
      </c>
      <c r="HV32">
        <v>11.998</v>
      </c>
      <c r="HW32">
        <v>4.95425</v>
      </c>
      <c r="HX32">
        <v>3.30398</v>
      </c>
      <c r="HY32">
        <v>9999</v>
      </c>
      <c r="HZ32">
        <v>9999</v>
      </c>
      <c r="IA32">
        <v>9999</v>
      </c>
      <c r="IB32">
        <v>999.9</v>
      </c>
      <c r="IC32">
        <v>1.86848</v>
      </c>
      <c r="ID32">
        <v>1.86417</v>
      </c>
      <c r="IE32">
        <v>1.87181</v>
      </c>
      <c r="IF32">
        <v>1.86264</v>
      </c>
      <c r="IG32">
        <v>1.86203</v>
      </c>
      <c r="IH32">
        <v>1.86857</v>
      </c>
      <c r="II32">
        <v>1.85867</v>
      </c>
      <c r="IJ32">
        <v>1.86508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8.51</v>
      </c>
      <c r="IY32">
        <v>0.3288</v>
      </c>
      <c r="IZ32">
        <v>5.68464161616582</v>
      </c>
      <c r="JA32">
        <v>0.0084032629040739</v>
      </c>
      <c r="JB32">
        <v>-4.27142149824345e-06</v>
      </c>
      <c r="JC32">
        <v>1.06016907176734e-09</v>
      </c>
      <c r="JD32">
        <v>0.328744801655011</v>
      </c>
      <c r="JE32">
        <v>0</v>
      </c>
      <c r="JF32">
        <v>0</v>
      </c>
      <c r="JG32">
        <v>0</v>
      </c>
      <c r="JH32">
        <v>-1</v>
      </c>
      <c r="JI32">
        <v>2195</v>
      </c>
      <c r="JJ32">
        <v>1</v>
      </c>
      <c r="JK32">
        <v>22</v>
      </c>
      <c r="JL32">
        <v>29369902.5</v>
      </c>
      <c r="JM32">
        <v>29369902.5</v>
      </c>
      <c r="JN32">
        <v>1.30859</v>
      </c>
      <c r="JO32">
        <v>2.35229</v>
      </c>
      <c r="JP32">
        <v>2.09839</v>
      </c>
      <c r="JQ32">
        <v>2.64893</v>
      </c>
      <c r="JR32">
        <v>2.24365</v>
      </c>
      <c r="JS32">
        <v>2.35229</v>
      </c>
      <c r="JT32">
        <v>34.3042</v>
      </c>
      <c r="JU32">
        <v>24.2364</v>
      </c>
      <c r="JV32">
        <v>18</v>
      </c>
      <c r="JW32">
        <v>563.459</v>
      </c>
      <c r="JX32">
        <v>823.214</v>
      </c>
      <c r="JY32">
        <v>60.3872</v>
      </c>
      <c r="JZ32">
        <v>39.1249</v>
      </c>
      <c r="KA32">
        <v>30.0021</v>
      </c>
      <c r="KB32">
        <v>37.9178</v>
      </c>
      <c r="KC32">
        <v>37.98</v>
      </c>
      <c r="KD32">
        <v>26.2431</v>
      </c>
      <c r="KE32">
        <v>0</v>
      </c>
      <c r="KF32">
        <v>100</v>
      </c>
      <c r="KG32">
        <v>284.033</v>
      </c>
      <c r="KH32">
        <v>420</v>
      </c>
      <c r="KI32">
        <v>21.8788</v>
      </c>
      <c r="KJ32">
        <v>90.9005</v>
      </c>
      <c r="KK32">
        <v>96.646</v>
      </c>
    </row>
    <row r="33" spans="1:297">
      <c r="A33">
        <v>17</v>
      </c>
      <c r="B33">
        <v>1762194243.1</v>
      </c>
      <c r="C33">
        <v>3907.09999990463</v>
      </c>
      <c r="D33" t="s">
        <v>495</v>
      </c>
      <c r="E33" t="s">
        <v>496</v>
      </c>
      <c r="F33">
        <v>5</v>
      </c>
      <c r="G33" t="s">
        <v>493</v>
      </c>
      <c r="H33" t="s">
        <v>436</v>
      </c>
      <c r="I33">
        <v>1762194234.6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428.365083894048</v>
      </c>
      <c r="AK33">
        <v>437.665551515151</v>
      </c>
      <c r="AL33">
        <v>-0.000506564393645852</v>
      </c>
      <c r="AM33">
        <v>64.0547078357018</v>
      </c>
      <c r="AN33">
        <f>(AP33 - AO33 + DY33*1E3/(8.314*(EA33+273.15)) * AR33/DX33 * AQ33) * DX33/(100*DL33) * 1000/(1000 - AP33)</f>
        <v>0</v>
      </c>
      <c r="AO33">
        <v>19.5817032377312</v>
      </c>
      <c r="AP33">
        <v>34.8128224242424</v>
      </c>
      <c r="AQ33">
        <v>0.0108486181830059</v>
      </c>
      <c r="AR33">
        <v>103.74816460187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497</v>
      </c>
      <c r="AY33">
        <v>5090.39</v>
      </c>
      <c r="AZ33">
        <v>1091.18846153846</v>
      </c>
      <c r="BA33">
        <v>2264.16</v>
      </c>
      <c r="BB33">
        <f>1-AZ33/BA33</f>
        <v>0</v>
      </c>
      <c r="BC33">
        <v>-7.59660732572081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1762194234.6</v>
      </c>
      <c r="DR33">
        <v>422.4581875</v>
      </c>
      <c r="DS33">
        <v>420.00275</v>
      </c>
      <c r="DT33">
        <v>34.74205625</v>
      </c>
      <c r="DU33">
        <v>19.5829875</v>
      </c>
      <c r="DV33">
        <v>413.95175</v>
      </c>
      <c r="DW33">
        <v>34.41331875</v>
      </c>
      <c r="DX33">
        <v>499.9863125</v>
      </c>
      <c r="DY33">
        <v>90.83630625</v>
      </c>
      <c r="DZ33">
        <v>0.09995529375</v>
      </c>
      <c r="EA33">
        <v>48.93410625</v>
      </c>
      <c r="EB33">
        <v>43.82404375</v>
      </c>
      <c r="EC33">
        <v>999.9</v>
      </c>
      <c r="ED33">
        <v>0</v>
      </c>
      <c r="EE33">
        <v>0</v>
      </c>
      <c r="EF33">
        <v>10007.3075</v>
      </c>
      <c r="EG33">
        <v>0</v>
      </c>
      <c r="EH33">
        <v>0.278209</v>
      </c>
      <c r="EI33">
        <v>2.4553875</v>
      </c>
      <c r="EJ33">
        <v>437.6635625</v>
      </c>
      <c r="EK33">
        <v>428.3920625</v>
      </c>
      <c r="EL33">
        <v>15.15905625</v>
      </c>
      <c r="EM33">
        <v>420.00275</v>
      </c>
      <c r="EN33">
        <v>19.5829875</v>
      </c>
      <c r="EO33">
        <v>3.15584</v>
      </c>
      <c r="EP33">
        <v>1.77884625</v>
      </c>
      <c r="EQ33">
        <v>24.8738375</v>
      </c>
      <c r="ER33">
        <v>15.60214375</v>
      </c>
      <c r="ES33">
        <v>0.00500016</v>
      </c>
      <c r="ET33">
        <v>0</v>
      </c>
      <c r="EU33">
        <v>0</v>
      </c>
      <c r="EV33">
        <v>0</v>
      </c>
      <c r="EW33">
        <v>1093.2125</v>
      </c>
      <c r="EX33">
        <v>0.00500016</v>
      </c>
      <c r="EY33">
        <v>30.425</v>
      </c>
      <c r="EZ33">
        <v>-0.09375</v>
      </c>
      <c r="FA33">
        <v>47.069875</v>
      </c>
      <c r="FB33">
        <v>50.406</v>
      </c>
      <c r="FC33">
        <v>48.808125</v>
      </c>
      <c r="FD33">
        <v>51.0465</v>
      </c>
      <c r="FE33">
        <v>50.92925</v>
      </c>
      <c r="FF33">
        <v>0</v>
      </c>
      <c r="FG33">
        <v>0</v>
      </c>
      <c r="FH33">
        <v>0</v>
      </c>
      <c r="FI33">
        <v>92.7000000476837</v>
      </c>
      <c r="FJ33">
        <v>0</v>
      </c>
      <c r="FK33">
        <v>1091.18846153846</v>
      </c>
      <c r="FL33">
        <v>-44.7760684516644</v>
      </c>
      <c r="FM33">
        <v>8.25982941179244</v>
      </c>
      <c r="FN33">
        <v>31.1692307692308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2.45890666666667</v>
      </c>
      <c r="GD33">
        <v>-0.125904155844155</v>
      </c>
      <c r="GE33">
        <v>0.045860798627953</v>
      </c>
      <c r="GF33">
        <v>1</v>
      </c>
      <c r="GG33">
        <v>1092.91470588235</v>
      </c>
      <c r="GH33">
        <v>-26.9289534541129</v>
      </c>
      <c r="GI33">
        <v>6.30425310932516</v>
      </c>
      <c r="GJ33">
        <v>-1</v>
      </c>
      <c r="GK33">
        <v>15.1390380952381</v>
      </c>
      <c r="GL33">
        <v>0.492506493506504</v>
      </c>
      <c r="GM33">
        <v>0.0499422473719631</v>
      </c>
      <c r="GN33">
        <v>0</v>
      </c>
      <c r="GO33">
        <v>1</v>
      </c>
      <c r="GP33">
        <v>2</v>
      </c>
      <c r="GQ33" t="s">
        <v>441</v>
      </c>
      <c r="GR33">
        <v>3.12381</v>
      </c>
      <c r="GS33">
        <v>2.7256</v>
      </c>
      <c r="GT33">
        <v>0.087045</v>
      </c>
      <c r="GU33">
        <v>0.0878574</v>
      </c>
      <c r="GV33">
        <v>0.129734</v>
      </c>
      <c r="GW33">
        <v>0.0864855</v>
      </c>
      <c r="GX33">
        <v>22847.9</v>
      </c>
      <c r="GY33">
        <v>21691.8</v>
      </c>
      <c r="GZ33">
        <v>22425.4</v>
      </c>
      <c r="HA33">
        <v>23205.6</v>
      </c>
      <c r="HB33">
        <v>33375.8</v>
      </c>
      <c r="HC33">
        <v>35135.8</v>
      </c>
      <c r="HD33">
        <v>40551.2</v>
      </c>
      <c r="HE33">
        <v>41452.2</v>
      </c>
      <c r="HF33">
        <v>1.80875</v>
      </c>
      <c r="HG33">
        <v>2.17493</v>
      </c>
      <c r="HH33">
        <v>0.0300594</v>
      </c>
      <c r="HI33">
        <v>0</v>
      </c>
      <c r="HJ33">
        <v>43.4018</v>
      </c>
      <c r="HK33">
        <v>999.9</v>
      </c>
      <c r="HL33">
        <v>49.982</v>
      </c>
      <c r="HM33">
        <v>27.321</v>
      </c>
      <c r="HN33">
        <v>20.0674</v>
      </c>
      <c r="HO33">
        <v>55.4901</v>
      </c>
      <c r="HP33">
        <v>30.5248</v>
      </c>
      <c r="HQ33">
        <v>2</v>
      </c>
      <c r="HR33">
        <v>0.983996</v>
      </c>
      <c r="HS33">
        <v>-6.66667</v>
      </c>
      <c r="HT33">
        <v>20.1133</v>
      </c>
      <c r="HU33">
        <v>5.23406</v>
      </c>
      <c r="HV33">
        <v>11.998</v>
      </c>
      <c r="HW33">
        <v>4.95485</v>
      </c>
      <c r="HX33">
        <v>3.304</v>
      </c>
      <c r="HY33">
        <v>9999</v>
      </c>
      <c r="HZ33">
        <v>9999</v>
      </c>
      <c r="IA33">
        <v>9999</v>
      </c>
      <c r="IB33">
        <v>999.9</v>
      </c>
      <c r="IC33">
        <v>1.86847</v>
      </c>
      <c r="ID33">
        <v>1.86418</v>
      </c>
      <c r="IE33">
        <v>1.8718</v>
      </c>
      <c r="IF33">
        <v>1.86263</v>
      </c>
      <c r="IG33">
        <v>1.86203</v>
      </c>
      <c r="IH33">
        <v>1.86856</v>
      </c>
      <c r="II33">
        <v>1.85867</v>
      </c>
      <c r="IJ33">
        <v>1.86508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8.506</v>
      </c>
      <c r="IY33">
        <v>0.3288</v>
      </c>
      <c r="IZ33">
        <v>5.68464161616582</v>
      </c>
      <c r="JA33">
        <v>0.0084032629040739</v>
      </c>
      <c r="JB33">
        <v>-4.27142149824345e-06</v>
      </c>
      <c r="JC33">
        <v>1.06016907176734e-09</v>
      </c>
      <c r="JD33">
        <v>0.328744801655011</v>
      </c>
      <c r="JE33">
        <v>0</v>
      </c>
      <c r="JF33">
        <v>0</v>
      </c>
      <c r="JG33">
        <v>0</v>
      </c>
      <c r="JH33">
        <v>-1</v>
      </c>
      <c r="JI33">
        <v>2195</v>
      </c>
      <c r="JJ33">
        <v>1</v>
      </c>
      <c r="JK33">
        <v>22</v>
      </c>
      <c r="JL33">
        <v>29369904.1</v>
      </c>
      <c r="JM33">
        <v>29369904.1</v>
      </c>
      <c r="JN33">
        <v>1.30859</v>
      </c>
      <c r="JO33">
        <v>2.36084</v>
      </c>
      <c r="JP33">
        <v>2.09839</v>
      </c>
      <c r="JQ33">
        <v>2.64893</v>
      </c>
      <c r="JR33">
        <v>2.24365</v>
      </c>
      <c r="JS33">
        <v>2.27417</v>
      </c>
      <c r="JT33">
        <v>34.3042</v>
      </c>
      <c r="JU33">
        <v>24.2188</v>
      </c>
      <c r="JV33">
        <v>18</v>
      </c>
      <c r="JW33">
        <v>563.617</v>
      </c>
      <c r="JX33">
        <v>820.468</v>
      </c>
      <c r="JY33">
        <v>60.5765</v>
      </c>
      <c r="JZ33">
        <v>39.6228</v>
      </c>
      <c r="KA33">
        <v>30.0023</v>
      </c>
      <c r="KB33">
        <v>38.3448</v>
      </c>
      <c r="KC33">
        <v>38.408</v>
      </c>
      <c r="KD33">
        <v>26.2453</v>
      </c>
      <c r="KE33">
        <v>0</v>
      </c>
      <c r="KF33">
        <v>100</v>
      </c>
      <c r="KG33">
        <v>77.6342</v>
      </c>
      <c r="KH33">
        <v>420</v>
      </c>
      <c r="KI33">
        <v>21.8788</v>
      </c>
      <c r="KJ33">
        <v>90.7883</v>
      </c>
      <c r="KK33">
        <v>96.5486</v>
      </c>
    </row>
    <row r="34" spans="1:297">
      <c r="A34">
        <v>18</v>
      </c>
      <c r="B34">
        <v>1762194454.1</v>
      </c>
      <c r="C34">
        <v>4118.09999990463</v>
      </c>
      <c r="D34" t="s">
        <v>498</v>
      </c>
      <c r="E34" t="s">
        <v>499</v>
      </c>
      <c r="F34">
        <v>5</v>
      </c>
      <c r="G34" t="s">
        <v>493</v>
      </c>
      <c r="H34" t="s">
        <v>436</v>
      </c>
      <c r="I34">
        <v>1762194446.1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428.290595107497</v>
      </c>
      <c r="AK34">
        <v>437.427527272727</v>
      </c>
      <c r="AL34">
        <v>0.0248501064818828</v>
      </c>
      <c r="AM34">
        <v>64.0547078357018</v>
      </c>
      <c r="AN34">
        <f>(AP34 - AO34 + DY34*1E3/(8.314*(EA34+273.15)) * AR34/DX34 * AQ34) * DX34/(100*DL34) * 1000/(1000 - AP34)</f>
        <v>0</v>
      </c>
      <c r="AO34">
        <v>19.483026001811</v>
      </c>
      <c r="AP34">
        <v>36.8702684848485</v>
      </c>
      <c r="AQ34">
        <v>0.00887769252105151</v>
      </c>
      <c r="AR34">
        <v>103.74816460187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500</v>
      </c>
      <c r="AY34">
        <v>5086.84</v>
      </c>
      <c r="AZ34">
        <v>1122.996</v>
      </c>
      <c r="BA34">
        <v>2180.89</v>
      </c>
      <c r="BB34">
        <f>1-AZ34/BA34</f>
        <v>0</v>
      </c>
      <c r="BC34">
        <v>-7.55488187060931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1762194446.1</v>
      </c>
      <c r="DR34">
        <v>421.2582</v>
      </c>
      <c r="DS34">
        <v>419.977666666667</v>
      </c>
      <c r="DT34">
        <v>36.8028466666667</v>
      </c>
      <c r="DU34">
        <v>19.48502</v>
      </c>
      <c r="DV34">
        <v>412.7584</v>
      </c>
      <c r="DW34">
        <v>36.4741066666667</v>
      </c>
      <c r="DX34">
        <v>500.088066666667</v>
      </c>
      <c r="DY34">
        <v>90.8556</v>
      </c>
      <c r="DZ34">
        <v>0.10011524</v>
      </c>
      <c r="EA34">
        <v>50.5488466666667</v>
      </c>
      <c r="EB34">
        <v>45.03526</v>
      </c>
      <c r="EC34">
        <v>999.9</v>
      </c>
      <c r="ED34">
        <v>0</v>
      </c>
      <c r="EE34">
        <v>0</v>
      </c>
      <c r="EF34">
        <v>9954.624</v>
      </c>
      <c r="EG34">
        <v>0</v>
      </c>
      <c r="EH34">
        <v>0.278209</v>
      </c>
      <c r="EI34">
        <v>1.28066133333333</v>
      </c>
      <c r="EJ34">
        <v>437.354266666667</v>
      </c>
      <c r="EK34">
        <v>428.323666666667</v>
      </c>
      <c r="EL34">
        <v>17.31784</v>
      </c>
      <c r="EM34">
        <v>419.977666666667</v>
      </c>
      <c r="EN34">
        <v>19.48502</v>
      </c>
      <c r="EO34">
        <v>3.343746</v>
      </c>
      <c r="EP34">
        <v>1.77032333333333</v>
      </c>
      <c r="EQ34">
        <v>25.8465533333333</v>
      </c>
      <c r="ER34">
        <v>15.52718</v>
      </c>
      <c r="ES34">
        <v>0.00500016</v>
      </c>
      <c r="ET34">
        <v>0</v>
      </c>
      <c r="EU34">
        <v>0</v>
      </c>
      <c r="EV34">
        <v>0</v>
      </c>
      <c r="EW34">
        <v>1123.86666666667</v>
      </c>
      <c r="EX34">
        <v>0.00500016</v>
      </c>
      <c r="EY34">
        <v>39.5066666666667</v>
      </c>
      <c r="EZ34">
        <v>0.78</v>
      </c>
      <c r="FA34">
        <v>47.9622</v>
      </c>
      <c r="FB34">
        <v>51.2416</v>
      </c>
      <c r="FC34">
        <v>49.6663333333333</v>
      </c>
      <c r="FD34">
        <v>51.9328666666667</v>
      </c>
      <c r="FE34">
        <v>51.8791333333333</v>
      </c>
      <c r="FF34">
        <v>0</v>
      </c>
      <c r="FG34">
        <v>0</v>
      </c>
      <c r="FH34">
        <v>0</v>
      </c>
      <c r="FI34">
        <v>209.200000047684</v>
      </c>
      <c r="FJ34">
        <v>0</v>
      </c>
      <c r="FK34">
        <v>1122.996</v>
      </c>
      <c r="FL34">
        <v>6.52307717211842</v>
      </c>
      <c r="FM34">
        <v>12.2461534608749</v>
      </c>
      <c r="FN34">
        <v>39.56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1.299462</v>
      </c>
      <c r="GD34">
        <v>-0.216627067669173</v>
      </c>
      <c r="GE34">
        <v>0.0456442131710034</v>
      </c>
      <c r="GF34">
        <v>1</v>
      </c>
      <c r="GG34">
        <v>1122.15294117647</v>
      </c>
      <c r="GH34">
        <v>23.7769290226252</v>
      </c>
      <c r="GI34">
        <v>6.37546931578686</v>
      </c>
      <c r="GJ34">
        <v>-1</v>
      </c>
      <c r="GK34">
        <v>17.291225</v>
      </c>
      <c r="GL34">
        <v>0.646651127819542</v>
      </c>
      <c r="GM34">
        <v>0.0622708428961743</v>
      </c>
      <c r="GN34">
        <v>0</v>
      </c>
      <c r="GO34">
        <v>1</v>
      </c>
      <c r="GP34">
        <v>2</v>
      </c>
      <c r="GQ34" t="s">
        <v>441</v>
      </c>
      <c r="GR34">
        <v>3.12397</v>
      </c>
      <c r="GS34">
        <v>2.72442</v>
      </c>
      <c r="GT34">
        <v>0.0866833</v>
      </c>
      <c r="GU34">
        <v>0.0876472</v>
      </c>
      <c r="GV34">
        <v>0.134718</v>
      </c>
      <c r="GW34">
        <v>0.0859932</v>
      </c>
      <c r="GX34">
        <v>22781.5</v>
      </c>
      <c r="GY34">
        <v>21638.3</v>
      </c>
      <c r="GZ34">
        <v>22355.8</v>
      </c>
      <c r="HA34">
        <v>23148</v>
      </c>
      <c r="HB34">
        <v>33098.4</v>
      </c>
      <c r="HC34">
        <v>35075.3</v>
      </c>
      <c r="HD34">
        <v>40440.2</v>
      </c>
      <c r="HE34">
        <v>41360.1</v>
      </c>
      <c r="HF34">
        <v>1.79895</v>
      </c>
      <c r="HG34">
        <v>2.15587</v>
      </c>
      <c r="HH34">
        <v>0.0110865</v>
      </c>
      <c r="HI34">
        <v>0</v>
      </c>
      <c r="HJ34">
        <v>44.89</v>
      </c>
      <c r="HK34">
        <v>999.9</v>
      </c>
      <c r="HL34">
        <v>49.738</v>
      </c>
      <c r="HM34">
        <v>27.352</v>
      </c>
      <c r="HN34">
        <v>20.002</v>
      </c>
      <c r="HO34">
        <v>57.9701</v>
      </c>
      <c r="HP34">
        <v>29.996</v>
      </c>
      <c r="HQ34">
        <v>2</v>
      </c>
      <c r="HR34">
        <v>1.08249</v>
      </c>
      <c r="HS34">
        <v>-6.66667</v>
      </c>
      <c r="HT34">
        <v>20.1137</v>
      </c>
      <c r="HU34">
        <v>5.23316</v>
      </c>
      <c r="HV34">
        <v>11.998</v>
      </c>
      <c r="HW34">
        <v>4.955</v>
      </c>
      <c r="HX34">
        <v>3.304</v>
      </c>
      <c r="HY34">
        <v>9999</v>
      </c>
      <c r="HZ34">
        <v>9999</v>
      </c>
      <c r="IA34">
        <v>9999</v>
      </c>
      <c r="IB34">
        <v>999.9</v>
      </c>
      <c r="IC34">
        <v>1.86847</v>
      </c>
      <c r="ID34">
        <v>1.86417</v>
      </c>
      <c r="IE34">
        <v>1.8718</v>
      </c>
      <c r="IF34">
        <v>1.86263</v>
      </c>
      <c r="IG34">
        <v>1.86203</v>
      </c>
      <c r="IH34">
        <v>1.86851</v>
      </c>
      <c r="II34">
        <v>1.85867</v>
      </c>
      <c r="IJ34">
        <v>1.86508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8.5</v>
      </c>
      <c r="IY34">
        <v>0.3288</v>
      </c>
      <c r="IZ34">
        <v>5.68464161616582</v>
      </c>
      <c r="JA34">
        <v>0.0084032629040739</v>
      </c>
      <c r="JB34">
        <v>-4.27142149824345e-06</v>
      </c>
      <c r="JC34">
        <v>1.06016907176734e-09</v>
      </c>
      <c r="JD34">
        <v>0.328744801655011</v>
      </c>
      <c r="JE34">
        <v>0</v>
      </c>
      <c r="JF34">
        <v>0</v>
      </c>
      <c r="JG34">
        <v>0</v>
      </c>
      <c r="JH34">
        <v>-1</v>
      </c>
      <c r="JI34">
        <v>2195</v>
      </c>
      <c r="JJ34">
        <v>1</v>
      </c>
      <c r="JK34">
        <v>22</v>
      </c>
      <c r="JL34">
        <v>29369907.6</v>
      </c>
      <c r="JM34">
        <v>29369907.6</v>
      </c>
      <c r="JN34">
        <v>1.30981</v>
      </c>
      <c r="JO34">
        <v>2.35962</v>
      </c>
      <c r="JP34">
        <v>2.09839</v>
      </c>
      <c r="JQ34">
        <v>2.65015</v>
      </c>
      <c r="JR34">
        <v>2.24365</v>
      </c>
      <c r="JS34">
        <v>2.31201</v>
      </c>
      <c r="JT34">
        <v>34.3269</v>
      </c>
      <c r="JU34">
        <v>24.2364</v>
      </c>
      <c r="JV34">
        <v>18</v>
      </c>
      <c r="JW34">
        <v>564.314</v>
      </c>
      <c r="JX34">
        <v>813.633</v>
      </c>
      <c r="JY34">
        <v>62.7328</v>
      </c>
      <c r="JZ34">
        <v>40.788</v>
      </c>
      <c r="KA34">
        <v>30.0024</v>
      </c>
      <c r="KB34">
        <v>39.3843</v>
      </c>
      <c r="KC34">
        <v>39.4484</v>
      </c>
      <c r="KD34">
        <v>26.2614</v>
      </c>
      <c r="KE34">
        <v>0</v>
      </c>
      <c r="KF34">
        <v>100</v>
      </c>
      <c r="KG34">
        <v>150.267</v>
      </c>
      <c r="KH34">
        <v>420</v>
      </c>
      <c r="KI34">
        <v>21.8788</v>
      </c>
      <c r="KJ34">
        <v>90.528</v>
      </c>
      <c r="KK34">
        <v>96.3251</v>
      </c>
    </row>
    <row r="35" spans="1:297">
      <c r="A35">
        <v>19</v>
      </c>
      <c r="B35">
        <v>1762195157.1</v>
      </c>
      <c r="C35">
        <v>4821.09999990463</v>
      </c>
      <c r="D35" t="s">
        <v>501</v>
      </c>
      <c r="E35" t="s">
        <v>502</v>
      </c>
      <c r="F35">
        <v>5</v>
      </c>
      <c r="G35" t="s">
        <v>503</v>
      </c>
      <c r="H35" t="s">
        <v>436</v>
      </c>
      <c r="I35">
        <v>1762195149.1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428.217689552722</v>
      </c>
      <c r="AK35">
        <v>441.117127272727</v>
      </c>
      <c r="AL35">
        <v>-0.000955213846548516</v>
      </c>
      <c r="AM35">
        <v>64.2643777370344</v>
      </c>
      <c r="AN35">
        <f>(AP35 - AO35 + DY35*1E3/(8.314*(EA35+273.15)) * AR35/DX35 * AQ35) * DX35/(100*DL35) * 1000/(1000 - AP35)</f>
        <v>0</v>
      </c>
      <c r="AO35">
        <v>19.2447854186352</v>
      </c>
      <c r="AP35">
        <v>41.74846</v>
      </c>
      <c r="AQ35">
        <v>0.001905594341768</v>
      </c>
      <c r="AR35">
        <v>106.11844270652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504</v>
      </c>
      <c r="AY35">
        <v>5075.74</v>
      </c>
      <c r="AZ35">
        <v>1490.684</v>
      </c>
      <c r="BA35">
        <v>2023.56</v>
      </c>
      <c r="BB35">
        <f>1-AZ35/BA35</f>
        <v>0</v>
      </c>
      <c r="BC35">
        <v>-10.5397782139748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1762195149.1</v>
      </c>
      <c r="DR35">
        <v>422.680333333333</v>
      </c>
      <c r="DS35">
        <v>419.997266666667</v>
      </c>
      <c r="DT35">
        <v>41.7175866666667</v>
      </c>
      <c r="DU35">
        <v>19.2438</v>
      </c>
      <c r="DV35">
        <v>414.1726</v>
      </c>
      <c r="DW35">
        <v>41.3888466666667</v>
      </c>
      <c r="DX35">
        <v>500.021866666667</v>
      </c>
      <c r="DY35">
        <v>90.8555733333333</v>
      </c>
      <c r="DZ35">
        <v>0.0999695133333333</v>
      </c>
      <c r="EA35">
        <v>53.9342666666667</v>
      </c>
      <c r="EB35">
        <v>47.9974333333333</v>
      </c>
      <c r="EC35">
        <v>999.9</v>
      </c>
      <c r="ED35">
        <v>0</v>
      </c>
      <c r="EE35">
        <v>0</v>
      </c>
      <c r="EF35">
        <v>9998.79333333333</v>
      </c>
      <c r="EG35">
        <v>0</v>
      </c>
      <c r="EH35">
        <v>0.278209</v>
      </c>
      <c r="EI35">
        <v>2.68296133333333</v>
      </c>
      <c r="EJ35">
        <v>441.081266666667</v>
      </c>
      <c r="EK35">
        <v>428.2384</v>
      </c>
      <c r="EL35">
        <v>22.4737666666667</v>
      </c>
      <c r="EM35">
        <v>419.997266666667</v>
      </c>
      <c r="EN35">
        <v>19.2438</v>
      </c>
      <c r="EO35">
        <v>3.79027466666667</v>
      </c>
      <c r="EP35">
        <v>1.74840733333333</v>
      </c>
      <c r="EQ35">
        <v>27.97934</v>
      </c>
      <c r="ER35">
        <v>15.333</v>
      </c>
      <c r="ES35">
        <v>0.00500016</v>
      </c>
      <c r="ET35">
        <v>0</v>
      </c>
      <c r="EU35">
        <v>0</v>
      </c>
      <c r="EV35">
        <v>0</v>
      </c>
      <c r="EW35">
        <v>1490.08666666667</v>
      </c>
      <c r="EX35">
        <v>0.00500016</v>
      </c>
      <c r="EY35">
        <v>58.0066666666667</v>
      </c>
      <c r="EZ35">
        <v>1.86666666666667</v>
      </c>
      <c r="FA35">
        <v>49.7582666666667</v>
      </c>
      <c r="FB35">
        <v>52.7706666666667</v>
      </c>
      <c r="FC35">
        <v>51.2122</v>
      </c>
      <c r="FD35">
        <v>53.3372</v>
      </c>
      <c r="FE35">
        <v>53.7541333333333</v>
      </c>
      <c r="FF35">
        <v>0</v>
      </c>
      <c r="FG35">
        <v>0</v>
      </c>
      <c r="FH35">
        <v>0</v>
      </c>
      <c r="FI35">
        <v>701.600000143051</v>
      </c>
      <c r="FJ35">
        <v>0</v>
      </c>
      <c r="FK35">
        <v>1490.684</v>
      </c>
      <c r="FL35">
        <v>11.4384615169532</v>
      </c>
      <c r="FM35">
        <v>-11.6692306968823</v>
      </c>
      <c r="FN35">
        <v>58.804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2.7082919047619</v>
      </c>
      <c r="GD35">
        <v>-0.236583896103898</v>
      </c>
      <c r="GE35">
        <v>0.0744952556251577</v>
      </c>
      <c r="GF35">
        <v>1</v>
      </c>
      <c r="GG35">
        <v>1487.36764705882</v>
      </c>
      <c r="GH35">
        <v>33.92055012175</v>
      </c>
      <c r="GI35">
        <v>6.99948403931382</v>
      </c>
      <c r="GJ35">
        <v>-1</v>
      </c>
      <c r="GK35">
        <v>22.4545523809524</v>
      </c>
      <c r="GL35">
        <v>0.350509090909091</v>
      </c>
      <c r="GM35">
        <v>0.0359236574000721</v>
      </c>
      <c r="GN35">
        <v>0</v>
      </c>
      <c r="GO35">
        <v>1</v>
      </c>
      <c r="GP35">
        <v>2</v>
      </c>
      <c r="GQ35" t="s">
        <v>441</v>
      </c>
      <c r="GR35">
        <v>3.12297</v>
      </c>
      <c r="GS35">
        <v>2.72569</v>
      </c>
      <c r="GT35">
        <v>0.0861274</v>
      </c>
      <c r="GU35">
        <v>0.0868275</v>
      </c>
      <c r="GV35">
        <v>0.14545</v>
      </c>
      <c r="GW35">
        <v>0.0844741</v>
      </c>
      <c r="GX35">
        <v>22524.8</v>
      </c>
      <c r="GY35">
        <v>21447.4</v>
      </c>
      <c r="GZ35">
        <v>22105.9</v>
      </c>
      <c r="HA35">
        <v>22940.6</v>
      </c>
      <c r="HB35">
        <v>32383.4</v>
      </c>
      <c r="HC35">
        <v>34843.5</v>
      </c>
      <c r="HD35">
        <v>40042</v>
      </c>
      <c r="HE35">
        <v>41024.2</v>
      </c>
      <c r="HF35">
        <v>1.7633</v>
      </c>
      <c r="HG35">
        <v>2.0964</v>
      </c>
      <c r="HH35">
        <v>-0.0456125</v>
      </c>
      <c r="HI35">
        <v>0</v>
      </c>
      <c r="HJ35">
        <v>48.7104</v>
      </c>
      <c r="HK35">
        <v>999.9</v>
      </c>
      <c r="HL35">
        <v>49.127</v>
      </c>
      <c r="HM35">
        <v>27.392</v>
      </c>
      <c r="HN35">
        <v>19.8041</v>
      </c>
      <c r="HO35">
        <v>58.9501</v>
      </c>
      <c r="HP35">
        <v>29.0024</v>
      </c>
      <c r="HQ35">
        <v>2</v>
      </c>
      <c r="HR35">
        <v>1.43514</v>
      </c>
      <c r="HS35">
        <v>-6.55484</v>
      </c>
      <c r="HT35">
        <v>20.1071</v>
      </c>
      <c r="HU35">
        <v>5.23077</v>
      </c>
      <c r="HV35">
        <v>11.9996</v>
      </c>
      <c r="HW35">
        <v>4.9537</v>
      </c>
      <c r="HX35">
        <v>3.304</v>
      </c>
      <c r="HY35">
        <v>9999</v>
      </c>
      <c r="HZ35">
        <v>9999</v>
      </c>
      <c r="IA35">
        <v>9999</v>
      </c>
      <c r="IB35">
        <v>999.9</v>
      </c>
      <c r="IC35">
        <v>1.86846</v>
      </c>
      <c r="ID35">
        <v>1.86417</v>
      </c>
      <c r="IE35">
        <v>1.8718</v>
      </c>
      <c r="IF35">
        <v>1.86263</v>
      </c>
      <c r="IG35">
        <v>1.86203</v>
      </c>
      <c r="IH35">
        <v>1.86849</v>
      </c>
      <c r="II35">
        <v>1.85865</v>
      </c>
      <c r="IJ35">
        <v>1.86508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8.508</v>
      </c>
      <c r="IY35">
        <v>0.3287</v>
      </c>
      <c r="IZ35">
        <v>5.68464161616582</v>
      </c>
      <c r="JA35">
        <v>0.0084032629040739</v>
      </c>
      <c r="JB35">
        <v>-4.27142149824345e-06</v>
      </c>
      <c r="JC35">
        <v>1.06016907176734e-09</v>
      </c>
      <c r="JD35">
        <v>0.328744801655011</v>
      </c>
      <c r="JE35">
        <v>0</v>
      </c>
      <c r="JF35">
        <v>0</v>
      </c>
      <c r="JG35">
        <v>0</v>
      </c>
      <c r="JH35">
        <v>-1</v>
      </c>
      <c r="JI35">
        <v>2195</v>
      </c>
      <c r="JJ35">
        <v>1</v>
      </c>
      <c r="JK35">
        <v>22</v>
      </c>
      <c r="JL35">
        <v>29369919.3</v>
      </c>
      <c r="JM35">
        <v>29369919.3</v>
      </c>
      <c r="JN35">
        <v>1.31104</v>
      </c>
      <c r="JO35">
        <v>2.36206</v>
      </c>
      <c r="JP35">
        <v>2.09839</v>
      </c>
      <c r="JQ35">
        <v>2.64893</v>
      </c>
      <c r="JR35">
        <v>2.24365</v>
      </c>
      <c r="JS35">
        <v>2.31079</v>
      </c>
      <c r="JT35">
        <v>34.3952</v>
      </c>
      <c r="JU35">
        <v>24.2188</v>
      </c>
      <c r="JV35">
        <v>18</v>
      </c>
      <c r="JW35">
        <v>565.899</v>
      </c>
      <c r="JX35">
        <v>797.23</v>
      </c>
      <c r="JY35">
        <v>64.0844</v>
      </c>
      <c r="JZ35">
        <v>44.8334</v>
      </c>
      <c r="KA35">
        <v>30.0038</v>
      </c>
      <c r="KB35">
        <v>43.2174</v>
      </c>
      <c r="KC35">
        <v>43.2853</v>
      </c>
      <c r="KD35">
        <v>26.2717</v>
      </c>
      <c r="KE35">
        <v>0</v>
      </c>
      <c r="KF35">
        <v>100</v>
      </c>
      <c r="KG35">
        <v>64.4473</v>
      </c>
      <c r="KH35">
        <v>420</v>
      </c>
      <c r="KI35">
        <v>21.8788</v>
      </c>
      <c r="KJ35">
        <v>89.5937</v>
      </c>
      <c r="KK35">
        <v>95.5136</v>
      </c>
    </row>
    <row r="36" spans="1:297">
      <c r="A36">
        <v>20</v>
      </c>
      <c r="B36">
        <v>1762195312</v>
      </c>
      <c r="C36">
        <v>4976</v>
      </c>
      <c r="D36" t="s">
        <v>505</v>
      </c>
      <c r="E36" t="s">
        <v>506</v>
      </c>
      <c r="F36">
        <v>5</v>
      </c>
      <c r="G36" t="s">
        <v>503</v>
      </c>
      <c r="H36" t="s">
        <v>436</v>
      </c>
      <c r="I36">
        <v>1762195304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428.222541063345</v>
      </c>
      <c r="AK36">
        <v>440.291472727273</v>
      </c>
      <c r="AL36">
        <v>0.000785937742717633</v>
      </c>
      <c r="AM36">
        <v>64.2643777370344</v>
      </c>
      <c r="AN36">
        <f>(AP36 - AO36 + DY36*1E3/(8.314*(EA36+273.15)) * AR36/DX36 * AQ36) * DX36/(100*DL36) * 1000/(1000 - AP36)</f>
        <v>0</v>
      </c>
      <c r="AO36">
        <v>19.2952322916595</v>
      </c>
      <c r="AP36">
        <v>42.433696969697</v>
      </c>
      <c r="AQ36">
        <v>0.011123559630961</v>
      </c>
      <c r="AR36">
        <v>106.11844270652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507</v>
      </c>
      <c r="AY36">
        <v>5073.75</v>
      </c>
      <c r="AZ36">
        <v>1530.668</v>
      </c>
      <c r="BA36">
        <v>2001.41</v>
      </c>
      <c r="BB36">
        <f>1-AZ36/BA36</f>
        <v>0</v>
      </c>
      <c r="BC36">
        <v>-9.86597485211977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1762195304</v>
      </c>
      <c r="DR36">
        <v>421.6468</v>
      </c>
      <c r="DS36">
        <v>419.9872</v>
      </c>
      <c r="DT36">
        <v>42.3564866666667</v>
      </c>
      <c r="DU36">
        <v>19.29554</v>
      </c>
      <c r="DV36">
        <v>413.144733333333</v>
      </c>
      <c r="DW36">
        <v>42.0277533333333</v>
      </c>
      <c r="DX36">
        <v>499.991666666667</v>
      </c>
      <c r="DY36">
        <v>90.84572</v>
      </c>
      <c r="DZ36">
        <v>0.09999846</v>
      </c>
      <c r="EA36">
        <v>53.6886133333333</v>
      </c>
      <c r="EB36">
        <v>47.82652</v>
      </c>
      <c r="EC36">
        <v>999.9</v>
      </c>
      <c r="ED36">
        <v>0</v>
      </c>
      <c r="EE36">
        <v>0</v>
      </c>
      <c r="EF36">
        <v>9999.506</v>
      </c>
      <c r="EG36">
        <v>0</v>
      </c>
      <c r="EH36">
        <v>0.278209</v>
      </c>
      <c r="EI36">
        <v>1.65951933333333</v>
      </c>
      <c r="EJ36">
        <v>440.296266666667</v>
      </c>
      <c r="EK36">
        <v>428.250666666667</v>
      </c>
      <c r="EL36">
        <v>23.0609666666667</v>
      </c>
      <c r="EM36">
        <v>419.9872</v>
      </c>
      <c r="EN36">
        <v>19.29554</v>
      </c>
      <c r="EO36">
        <v>3.847904</v>
      </c>
      <c r="EP36">
        <v>1.75291733333333</v>
      </c>
      <c r="EQ36">
        <v>28.2384066666667</v>
      </c>
      <c r="ER36">
        <v>15.3731466666667</v>
      </c>
      <c r="ES36">
        <v>0.00500016</v>
      </c>
      <c r="ET36">
        <v>0</v>
      </c>
      <c r="EU36">
        <v>0</v>
      </c>
      <c r="EV36">
        <v>0</v>
      </c>
      <c r="EW36">
        <v>1530.58</v>
      </c>
      <c r="EX36">
        <v>0.00500016</v>
      </c>
      <c r="EY36">
        <v>66.62</v>
      </c>
      <c r="EZ36">
        <v>1.88</v>
      </c>
      <c r="FA36">
        <v>50.2996</v>
      </c>
      <c r="FB36">
        <v>53.3204</v>
      </c>
      <c r="FC36">
        <v>51.7624</v>
      </c>
      <c r="FD36">
        <v>53.875</v>
      </c>
      <c r="FE36">
        <v>54.2582666666667</v>
      </c>
      <c r="FF36">
        <v>0</v>
      </c>
      <c r="FG36">
        <v>0</v>
      </c>
      <c r="FH36">
        <v>0</v>
      </c>
      <c r="FI36">
        <v>153.799999952316</v>
      </c>
      <c r="FJ36">
        <v>0</v>
      </c>
      <c r="FK36">
        <v>1530.668</v>
      </c>
      <c r="FL36">
        <v>36.9538459380484</v>
      </c>
      <c r="FM36">
        <v>32.3769231851285</v>
      </c>
      <c r="FN36">
        <v>66.212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1.67892476190476</v>
      </c>
      <c r="GD36">
        <v>-0.433705714285716</v>
      </c>
      <c r="GE36">
        <v>0.0466774334809861</v>
      </c>
      <c r="GF36">
        <v>1</v>
      </c>
      <c r="GG36">
        <v>1528.87352941176</v>
      </c>
      <c r="GH36">
        <v>35.6378914858882</v>
      </c>
      <c r="GI36">
        <v>7.48855239382201</v>
      </c>
      <c r="GJ36">
        <v>-1</v>
      </c>
      <c r="GK36">
        <v>23.0303952380952</v>
      </c>
      <c r="GL36">
        <v>0.6245298701299</v>
      </c>
      <c r="GM36">
        <v>0.0631435965625025</v>
      </c>
      <c r="GN36">
        <v>0</v>
      </c>
      <c r="GO36">
        <v>1</v>
      </c>
      <c r="GP36">
        <v>2</v>
      </c>
      <c r="GQ36" t="s">
        <v>441</v>
      </c>
      <c r="GR36">
        <v>3.1231</v>
      </c>
      <c r="GS36">
        <v>2.72554</v>
      </c>
      <c r="GT36">
        <v>0.0857805</v>
      </c>
      <c r="GU36">
        <v>0.0866605</v>
      </c>
      <c r="GV36">
        <v>0.146814</v>
      </c>
      <c r="GW36">
        <v>0.0844775</v>
      </c>
      <c r="GX36">
        <v>22480</v>
      </c>
      <c r="GY36">
        <v>21410.3</v>
      </c>
      <c r="GZ36">
        <v>22056.6</v>
      </c>
      <c r="HA36">
        <v>22899.8</v>
      </c>
      <c r="HB36">
        <v>32272.1</v>
      </c>
      <c r="HC36">
        <v>34786.8</v>
      </c>
      <c r="HD36">
        <v>39964.1</v>
      </c>
      <c r="HE36">
        <v>40958.6</v>
      </c>
      <c r="HF36">
        <v>1.75517</v>
      </c>
      <c r="HG36">
        <v>2.08477</v>
      </c>
      <c r="HH36">
        <v>-0.0549629</v>
      </c>
      <c r="HI36">
        <v>0</v>
      </c>
      <c r="HJ36">
        <v>48.6537</v>
      </c>
      <c r="HK36">
        <v>999.9</v>
      </c>
      <c r="HL36">
        <v>49.225</v>
      </c>
      <c r="HM36">
        <v>27.402</v>
      </c>
      <c r="HN36">
        <v>19.8568</v>
      </c>
      <c r="HO36">
        <v>58.8101</v>
      </c>
      <c r="HP36">
        <v>28.766</v>
      </c>
      <c r="HQ36">
        <v>2</v>
      </c>
      <c r="HR36">
        <v>1.50921</v>
      </c>
      <c r="HS36">
        <v>-6.66667</v>
      </c>
      <c r="HT36">
        <v>20.1046</v>
      </c>
      <c r="HU36">
        <v>5.23002</v>
      </c>
      <c r="HV36">
        <v>12.0028</v>
      </c>
      <c r="HW36">
        <v>4.95355</v>
      </c>
      <c r="HX36">
        <v>3.304</v>
      </c>
      <c r="HY36">
        <v>9999</v>
      </c>
      <c r="HZ36">
        <v>9999</v>
      </c>
      <c r="IA36">
        <v>9999</v>
      </c>
      <c r="IB36">
        <v>999.9</v>
      </c>
      <c r="IC36">
        <v>1.86845</v>
      </c>
      <c r="ID36">
        <v>1.86417</v>
      </c>
      <c r="IE36">
        <v>1.8718</v>
      </c>
      <c r="IF36">
        <v>1.86261</v>
      </c>
      <c r="IG36">
        <v>1.86203</v>
      </c>
      <c r="IH36">
        <v>1.86853</v>
      </c>
      <c r="II36">
        <v>1.85865</v>
      </c>
      <c r="IJ36">
        <v>1.86508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8.502</v>
      </c>
      <c r="IY36">
        <v>0.3287</v>
      </c>
      <c r="IZ36">
        <v>5.68464161616582</v>
      </c>
      <c r="JA36">
        <v>0.0084032629040739</v>
      </c>
      <c r="JB36">
        <v>-4.27142149824345e-06</v>
      </c>
      <c r="JC36">
        <v>1.06016907176734e-09</v>
      </c>
      <c r="JD36">
        <v>0.328744801655011</v>
      </c>
      <c r="JE36">
        <v>0</v>
      </c>
      <c r="JF36">
        <v>0</v>
      </c>
      <c r="JG36">
        <v>0</v>
      </c>
      <c r="JH36">
        <v>-1</v>
      </c>
      <c r="JI36">
        <v>2195</v>
      </c>
      <c r="JJ36">
        <v>1</v>
      </c>
      <c r="JK36">
        <v>22</v>
      </c>
      <c r="JL36">
        <v>29369921.9</v>
      </c>
      <c r="JM36">
        <v>29369921.9</v>
      </c>
      <c r="JN36">
        <v>1.30981</v>
      </c>
      <c r="JO36">
        <v>2.35718</v>
      </c>
      <c r="JP36">
        <v>2.09839</v>
      </c>
      <c r="JQ36">
        <v>2.64893</v>
      </c>
      <c r="JR36">
        <v>2.24365</v>
      </c>
      <c r="JS36">
        <v>2.27783</v>
      </c>
      <c r="JT36">
        <v>34.3952</v>
      </c>
      <c r="JU36">
        <v>24.2276</v>
      </c>
      <c r="JV36">
        <v>18</v>
      </c>
      <c r="JW36">
        <v>565.33</v>
      </c>
      <c r="JX36">
        <v>793.956</v>
      </c>
      <c r="JY36">
        <v>65.2326</v>
      </c>
      <c r="JZ36">
        <v>45.5952</v>
      </c>
      <c r="KA36">
        <v>30.002</v>
      </c>
      <c r="KB36">
        <v>43.9967</v>
      </c>
      <c r="KC36">
        <v>44.0651</v>
      </c>
      <c r="KD36">
        <v>26.2631</v>
      </c>
      <c r="KE36">
        <v>0</v>
      </c>
      <c r="KF36">
        <v>100</v>
      </c>
      <c r="KG36">
        <v>65.6049</v>
      </c>
      <c r="KH36">
        <v>420</v>
      </c>
      <c r="KI36">
        <v>21.8788</v>
      </c>
      <c r="KJ36">
        <v>89.4102</v>
      </c>
      <c r="KK36">
        <v>95.3549</v>
      </c>
    </row>
    <row r="37" spans="1:297">
      <c r="A37">
        <v>21</v>
      </c>
      <c r="B37">
        <v>1762195482</v>
      </c>
      <c r="C37">
        <v>5146</v>
      </c>
      <c r="D37" t="s">
        <v>508</v>
      </c>
      <c r="E37" t="s">
        <v>509</v>
      </c>
      <c r="F37">
        <v>5</v>
      </c>
      <c r="G37" t="s">
        <v>503</v>
      </c>
      <c r="H37" t="s">
        <v>436</v>
      </c>
      <c r="I37">
        <v>1762195474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428.256635351397</v>
      </c>
      <c r="AK37">
        <v>439.886703030303</v>
      </c>
      <c r="AL37">
        <v>-0.00306782159265432</v>
      </c>
      <c r="AM37">
        <v>64.2643777370344</v>
      </c>
      <c r="AN37">
        <f>(AP37 - AO37 + DY37*1E3/(8.314*(EA37+273.15)) * AR37/DX37 * AQ37) * DX37/(100*DL37) * 1000/(1000 - AP37)</f>
        <v>0</v>
      </c>
      <c r="AO37">
        <v>19.3456397130384</v>
      </c>
      <c r="AP37">
        <v>43.3328745454546</v>
      </c>
      <c r="AQ37">
        <v>0.00960765268501697</v>
      </c>
      <c r="AR37">
        <v>106.11844270652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510</v>
      </c>
      <c r="AY37">
        <v>5072.5</v>
      </c>
      <c r="AZ37">
        <v>1590.412</v>
      </c>
      <c r="BA37">
        <v>1975.77</v>
      </c>
      <c r="BB37">
        <f>1-AZ37/BA37</f>
        <v>0</v>
      </c>
      <c r="BC37">
        <v>-9.49382742349882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1762195474</v>
      </c>
      <c r="DR37">
        <v>420.848066666667</v>
      </c>
      <c r="DS37">
        <v>419.9732</v>
      </c>
      <c r="DT37">
        <v>43.26988</v>
      </c>
      <c r="DU37">
        <v>19.3450466666667</v>
      </c>
      <c r="DV37">
        <v>412.350133333333</v>
      </c>
      <c r="DW37">
        <v>42.94114</v>
      </c>
      <c r="DX37">
        <v>500.018866666667</v>
      </c>
      <c r="DY37">
        <v>90.86016</v>
      </c>
      <c r="DZ37">
        <v>0.09996874</v>
      </c>
      <c r="EA37">
        <v>53.90188</v>
      </c>
      <c r="EB37">
        <v>47.7866533333333</v>
      </c>
      <c r="EC37">
        <v>999.9</v>
      </c>
      <c r="ED37">
        <v>0</v>
      </c>
      <c r="EE37">
        <v>0</v>
      </c>
      <c r="EF37">
        <v>10008.3406666667</v>
      </c>
      <c r="EG37">
        <v>0</v>
      </c>
      <c r="EH37">
        <v>0.278209</v>
      </c>
      <c r="EI37">
        <v>0.874727466666667</v>
      </c>
      <c r="EJ37">
        <v>439.881533333333</v>
      </c>
      <c r="EK37">
        <v>428.2578</v>
      </c>
      <c r="EL37">
        <v>23.9248333333333</v>
      </c>
      <c r="EM37">
        <v>419.9732</v>
      </c>
      <c r="EN37">
        <v>19.3450466666667</v>
      </c>
      <c r="EO37">
        <v>3.93150866666667</v>
      </c>
      <c r="EP37">
        <v>1.75769266666667</v>
      </c>
      <c r="EQ37">
        <v>28.60828</v>
      </c>
      <c r="ER37">
        <v>15.4155466666667</v>
      </c>
      <c r="ES37">
        <v>0.00500016</v>
      </c>
      <c r="ET37">
        <v>0</v>
      </c>
      <c r="EU37">
        <v>0</v>
      </c>
      <c r="EV37">
        <v>0</v>
      </c>
      <c r="EW37">
        <v>1590.45333333333</v>
      </c>
      <c r="EX37">
        <v>0.00500016</v>
      </c>
      <c r="EY37">
        <v>69.68</v>
      </c>
      <c r="EZ37">
        <v>1.38</v>
      </c>
      <c r="FA37">
        <v>50.687</v>
      </c>
      <c r="FB37">
        <v>53.7789333333333</v>
      </c>
      <c r="FC37">
        <v>52.2122</v>
      </c>
      <c r="FD37">
        <v>54.312</v>
      </c>
      <c r="FE37">
        <v>54.6663333333333</v>
      </c>
      <c r="FF37">
        <v>0</v>
      </c>
      <c r="FG37">
        <v>0</v>
      </c>
      <c r="FH37">
        <v>0</v>
      </c>
      <c r="FI37">
        <v>169</v>
      </c>
      <c r="FJ37">
        <v>0</v>
      </c>
      <c r="FK37">
        <v>1590.412</v>
      </c>
      <c r="FL37">
        <v>10.769230946518</v>
      </c>
      <c r="FM37">
        <v>7.09230758593635</v>
      </c>
      <c r="FN37">
        <v>70.244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0.907903714285714</v>
      </c>
      <c r="GD37">
        <v>-0.524534103896104</v>
      </c>
      <c r="GE37">
        <v>0.0791575985361709</v>
      </c>
      <c r="GF37">
        <v>0</v>
      </c>
      <c r="GG37">
        <v>1587.79705882353</v>
      </c>
      <c r="GH37">
        <v>30.7119940125806</v>
      </c>
      <c r="GI37">
        <v>6.44736541241814</v>
      </c>
      <c r="GJ37">
        <v>-1</v>
      </c>
      <c r="GK37">
        <v>23.8963857142857</v>
      </c>
      <c r="GL37">
        <v>0.543794805194793</v>
      </c>
      <c r="GM37">
        <v>0.055164544217962</v>
      </c>
      <c r="GN37">
        <v>0</v>
      </c>
      <c r="GO37">
        <v>0</v>
      </c>
      <c r="GP37">
        <v>2</v>
      </c>
      <c r="GQ37" t="s">
        <v>484</v>
      </c>
      <c r="GR37">
        <v>3.123</v>
      </c>
      <c r="GS37">
        <v>2.72556</v>
      </c>
      <c r="GT37">
        <v>0.085532</v>
      </c>
      <c r="GU37">
        <v>0.0865179</v>
      </c>
      <c r="GV37">
        <v>0.148689</v>
      </c>
      <c r="GW37">
        <v>0.0845112</v>
      </c>
      <c r="GX37">
        <v>22441.4</v>
      </c>
      <c r="GY37">
        <v>21380.7</v>
      </c>
      <c r="GZ37">
        <v>22015.2</v>
      </c>
      <c r="HA37">
        <v>22867.4</v>
      </c>
      <c r="HB37">
        <v>32151.2</v>
      </c>
      <c r="HC37">
        <v>34740.6</v>
      </c>
      <c r="HD37">
        <v>39897.4</v>
      </c>
      <c r="HE37">
        <v>40906.6</v>
      </c>
      <c r="HF37">
        <v>1.74923</v>
      </c>
      <c r="HG37">
        <v>2.0747</v>
      </c>
      <c r="HH37">
        <v>-0.0564232</v>
      </c>
      <c r="HI37">
        <v>0</v>
      </c>
      <c r="HJ37">
        <v>48.6862</v>
      </c>
      <c r="HK37">
        <v>999.9</v>
      </c>
      <c r="HL37">
        <v>49.274</v>
      </c>
      <c r="HM37">
        <v>27.402</v>
      </c>
      <c r="HN37">
        <v>19.8732</v>
      </c>
      <c r="HO37">
        <v>58.6701</v>
      </c>
      <c r="HP37">
        <v>28.5337</v>
      </c>
      <c r="HQ37">
        <v>2</v>
      </c>
      <c r="HR37">
        <v>1.56816</v>
      </c>
      <c r="HS37">
        <v>-6.66667</v>
      </c>
      <c r="HT37">
        <v>20.1041</v>
      </c>
      <c r="HU37">
        <v>5.22927</v>
      </c>
      <c r="HV37">
        <v>12.0013</v>
      </c>
      <c r="HW37">
        <v>4.95325</v>
      </c>
      <c r="HX37">
        <v>3.304</v>
      </c>
      <c r="HY37">
        <v>9999</v>
      </c>
      <c r="HZ37">
        <v>9999</v>
      </c>
      <c r="IA37">
        <v>9999</v>
      </c>
      <c r="IB37">
        <v>999.9</v>
      </c>
      <c r="IC37">
        <v>1.86845</v>
      </c>
      <c r="ID37">
        <v>1.86417</v>
      </c>
      <c r="IE37">
        <v>1.8718</v>
      </c>
      <c r="IF37">
        <v>1.8626</v>
      </c>
      <c r="IG37">
        <v>1.86203</v>
      </c>
      <c r="IH37">
        <v>1.86854</v>
      </c>
      <c r="II37">
        <v>1.85867</v>
      </c>
      <c r="IJ37">
        <v>1.86508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8.497</v>
      </c>
      <c r="IY37">
        <v>0.3287</v>
      </c>
      <c r="IZ37">
        <v>5.68464161616582</v>
      </c>
      <c r="JA37">
        <v>0.0084032629040739</v>
      </c>
      <c r="JB37">
        <v>-4.27142149824345e-06</v>
      </c>
      <c r="JC37">
        <v>1.06016907176734e-09</v>
      </c>
      <c r="JD37">
        <v>0.328744801655011</v>
      </c>
      <c r="JE37">
        <v>0</v>
      </c>
      <c r="JF37">
        <v>0</v>
      </c>
      <c r="JG37">
        <v>0</v>
      </c>
      <c r="JH37">
        <v>-1</v>
      </c>
      <c r="JI37">
        <v>2195</v>
      </c>
      <c r="JJ37">
        <v>1</v>
      </c>
      <c r="JK37">
        <v>22</v>
      </c>
      <c r="JL37">
        <v>29369924.7</v>
      </c>
      <c r="JM37">
        <v>29369924.7</v>
      </c>
      <c r="JN37">
        <v>1.30981</v>
      </c>
      <c r="JO37">
        <v>2.35718</v>
      </c>
      <c r="JP37">
        <v>2.09839</v>
      </c>
      <c r="JQ37">
        <v>2.64893</v>
      </c>
      <c r="JR37">
        <v>2.24365</v>
      </c>
      <c r="JS37">
        <v>2.2998</v>
      </c>
      <c r="JT37">
        <v>34.4408</v>
      </c>
      <c r="JU37">
        <v>24.2188</v>
      </c>
      <c r="JV37">
        <v>18</v>
      </c>
      <c r="JW37">
        <v>565.796</v>
      </c>
      <c r="JX37">
        <v>791.436</v>
      </c>
      <c r="JY37">
        <v>65.9207</v>
      </c>
      <c r="JZ37">
        <v>46.2577</v>
      </c>
      <c r="KA37">
        <v>30.0014</v>
      </c>
      <c r="KB37">
        <v>44.7057</v>
      </c>
      <c r="KC37">
        <v>44.7801</v>
      </c>
      <c r="KD37">
        <v>26.2578</v>
      </c>
      <c r="KE37">
        <v>0</v>
      </c>
      <c r="KF37">
        <v>100</v>
      </c>
      <c r="KG37">
        <v>67.7311</v>
      </c>
      <c r="KH37">
        <v>420</v>
      </c>
      <c r="KI37">
        <v>21.8788</v>
      </c>
      <c r="KJ37">
        <v>89.2545</v>
      </c>
      <c r="KK37">
        <v>95.229</v>
      </c>
    </row>
    <row r="38" spans="1:297">
      <c r="A38">
        <v>22</v>
      </c>
      <c r="B38">
        <v>1762196203</v>
      </c>
      <c r="C38">
        <v>5867</v>
      </c>
      <c r="D38" t="s">
        <v>511</v>
      </c>
      <c r="E38" t="s">
        <v>512</v>
      </c>
      <c r="F38">
        <v>5</v>
      </c>
      <c r="G38" t="s">
        <v>513</v>
      </c>
      <c r="H38" t="s">
        <v>436</v>
      </c>
      <c r="I38">
        <v>1762196194.5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428.41487226119</v>
      </c>
      <c r="AK38">
        <v>440.645121212121</v>
      </c>
      <c r="AL38">
        <v>-0.00265624739112413</v>
      </c>
      <c r="AM38">
        <v>64.1373479893142</v>
      </c>
      <c r="AN38">
        <f>(AP38 - AO38 + DY38*1E3/(8.314*(EA38+273.15)) * AR38/DX38 * AQ38) * DX38/(100*DL38) * 1000/(1000 - AP38)</f>
        <v>0</v>
      </c>
      <c r="AO38">
        <v>19.6967959155053</v>
      </c>
      <c r="AP38">
        <v>40.6898132867133</v>
      </c>
      <c r="AQ38">
        <v>0.00105963148597636</v>
      </c>
      <c r="AR38">
        <v>109.07343871426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514</v>
      </c>
      <c r="AY38">
        <v>5073.77</v>
      </c>
      <c r="AZ38">
        <v>1676.604</v>
      </c>
      <c r="BA38">
        <v>1998.45</v>
      </c>
      <c r="BB38">
        <f>1-AZ38/BA38</f>
        <v>0</v>
      </c>
      <c r="BC38">
        <v>-9.98202165746527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1762196194.5</v>
      </c>
      <c r="DR38">
        <v>422.8019375</v>
      </c>
      <c r="DS38">
        <v>420.0280625</v>
      </c>
      <c r="DT38">
        <v>40.6609375</v>
      </c>
      <c r="DU38">
        <v>19.69645625</v>
      </c>
      <c r="DV38">
        <v>414.29375</v>
      </c>
      <c r="DW38">
        <v>40.33219375</v>
      </c>
      <c r="DX38">
        <v>500.0100625</v>
      </c>
      <c r="DY38">
        <v>90.83046875</v>
      </c>
      <c r="DZ38">
        <v>0.09996410625</v>
      </c>
      <c r="EA38">
        <v>53.49270625</v>
      </c>
      <c r="EB38">
        <v>47.686375</v>
      </c>
      <c r="EC38">
        <v>999.9</v>
      </c>
      <c r="ED38">
        <v>0</v>
      </c>
      <c r="EE38">
        <v>0</v>
      </c>
      <c r="EF38">
        <v>10004.2925</v>
      </c>
      <c r="EG38">
        <v>0</v>
      </c>
      <c r="EH38">
        <v>0.278209</v>
      </c>
      <c r="EI38">
        <v>2.773930625</v>
      </c>
      <c r="EJ38">
        <v>440.7220625</v>
      </c>
      <c r="EK38">
        <v>428.467125</v>
      </c>
      <c r="EL38">
        <v>20.96448125</v>
      </c>
      <c r="EM38">
        <v>420.0280625</v>
      </c>
      <c r="EN38">
        <v>19.69645625</v>
      </c>
      <c r="EO38">
        <v>3.693251875</v>
      </c>
      <c r="EP38">
        <v>1.7890375</v>
      </c>
      <c r="EQ38">
        <v>27.5353375</v>
      </c>
      <c r="ER38">
        <v>15.69134375</v>
      </c>
      <c r="ES38">
        <v>0.00500016</v>
      </c>
      <c r="ET38">
        <v>0</v>
      </c>
      <c r="EU38">
        <v>0</v>
      </c>
      <c r="EV38">
        <v>0</v>
      </c>
      <c r="EW38">
        <v>1675.66875</v>
      </c>
      <c r="EX38">
        <v>0.00500016</v>
      </c>
      <c r="EY38">
        <v>56.325</v>
      </c>
      <c r="EZ38">
        <v>1.50625</v>
      </c>
      <c r="FA38">
        <v>49.187</v>
      </c>
      <c r="FB38">
        <v>52.308125</v>
      </c>
      <c r="FC38">
        <v>50.75</v>
      </c>
      <c r="FD38">
        <v>52.75</v>
      </c>
      <c r="FE38">
        <v>53.25</v>
      </c>
      <c r="FF38">
        <v>0</v>
      </c>
      <c r="FG38">
        <v>0</v>
      </c>
      <c r="FH38">
        <v>0</v>
      </c>
      <c r="FI38">
        <v>719.700000047684</v>
      </c>
      <c r="FJ38">
        <v>0</v>
      </c>
      <c r="FK38">
        <v>1676.604</v>
      </c>
      <c r="FL38">
        <v>18.5153849805981</v>
      </c>
      <c r="FM38">
        <v>-1.74615413180977</v>
      </c>
      <c r="FN38">
        <v>57.16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2.8033305</v>
      </c>
      <c r="GD38">
        <v>-0.498556240601499</v>
      </c>
      <c r="GE38">
        <v>0.0794790233630862</v>
      </c>
      <c r="GF38">
        <v>1</v>
      </c>
      <c r="GG38">
        <v>1675.51470588235</v>
      </c>
      <c r="GH38">
        <v>17.9083271211899</v>
      </c>
      <c r="GI38">
        <v>5.70408173529329</v>
      </c>
      <c r="GJ38">
        <v>-1</v>
      </c>
      <c r="GK38">
        <v>20.95565</v>
      </c>
      <c r="GL38">
        <v>0.235082706766913</v>
      </c>
      <c r="GM38">
        <v>0.0230794822298945</v>
      </c>
      <c r="GN38">
        <v>0</v>
      </c>
      <c r="GO38">
        <v>1</v>
      </c>
      <c r="GP38">
        <v>2</v>
      </c>
      <c r="GQ38" t="s">
        <v>441</v>
      </c>
      <c r="GR38">
        <v>3.12308</v>
      </c>
      <c r="GS38">
        <v>2.72563</v>
      </c>
      <c r="GT38">
        <v>0.08591</v>
      </c>
      <c r="GU38">
        <v>0.0866138</v>
      </c>
      <c r="GV38">
        <v>0.142616</v>
      </c>
      <c r="GW38">
        <v>0.085719</v>
      </c>
      <c r="GX38">
        <v>22524.7</v>
      </c>
      <c r="GY38">
        <v>21468.8</v>
      </c>
      <c r="GZ38">
        <v>22101.5</v>
      </c>
      <c r="HA38">
        <v>22958.8</v>
      </c>
      <c r="HB38">
        <v>32487.5</v>
      </c>
      <c r="HC38">
        <v>34825.3</v>
      </c>
      <c r="HD38">
        <v>40039.9</v>
      </c>
      <c r="HE38">
        <v>41058.8</v>
      </c>
      <c r="HF38">
        <v>1.75977</v>
      </c>
      <c r="HG38">
        <v>2.09375</v>
      </c>
      <c r="HH38">
        <v>0.0504404</v>
      </c>
      <c r="HI38">
        <v>0</v>
      </c>
      <c r="HJ38">
        <v>46.8258</v>
      </c>
      <c r="HK38">
        <v>999.9</v>
      </c>
      <c r="HL38">
        <v>49.713</v>
      </c>
      <c r="HM38">
        <v>27.533</v>
      </c>
      <c r="HN38">
        <v>20.2105</v>
      </c>
      <c r="HO38">
        <v>58.3901</v>
      </c>
      <c r="HP38">
        <v>28.8582</v>
      </c>
      <c r="HQ38">
        <v>2</v>
      </c>
      <c r="HR38">
        <v>1.43133</v>
      </c>
      <c r="HS38">
        <v>-6.66667</v>
      </c>
      <c r="HT38">
        <v>20.1089</v>
      </c>
      <c r="HU38">
        <v>5.23331</v>
      </c>
      <c r="HV38">
        <v>11.9993</v>
      </c>
      <c r="HW38">
        <v>4.9537</v>
      </c>
      <c r="HX38">
        <v>3.304</v>
      </c>
      <c r="HY38">
        <v>9999</v>
      </c>
      <c r="HZ38">
        <v>9999</v>
      </c>
      <c r="IA38">
        <v>9999</v>
      </c>
      <c r="IB38">
        <v>999.9</v>
      </c>
      <c r="IC38">
        <v>1.86845</v>
      </c>
      <c r="ID38">
        <v>1.86417</v>
      </c>
      <c r="IE38">
        <v>1.8718</v>
      </c>
      <c r="IF38">
        <v>1.86263</v>
      </c>
      <c r="IG38">
        <v>1.86203</v>
      </c>
      <c r="IH38">
        <v>1.86853</v>
      </c>
      <c r="II38">
        <v>1.85866</v>
      </c>
      <c r="IJ38">
        <v>1.86508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8.508</v>
      </c>
      <c r="IY38">
        <v>0.3287</v>
      </c>
      <c r="IZ38">
        <v>5.68464161616582</v>
      </c>
      <c r="JA38">
        <v>0.0084032629040739</v>
      </c>
      <c r="JB38">
        <v>-4.27142149824345e-06</v>
      </c>
      <c r="JC38">
        <v>1.06016907176734e-09</v>
      </c>
      <c r="JD38">
        <v>0.328744801655011</v>
      </c>
      <c r="JE38">
        <v>0</v>
      </c>
      <c r="JF38">
        <v>0</v>
      </c>
      <c r="JG38">
        <v>0</v>
      </c>
      <c r="JH38">
        <v>-1</v>
      </c>
      <c r="JI38">
        <v>2195</v>
      </c>
      <c r="JJ38">
        <v>1</v>
      </c>
      <c r="JK38">
        <v>22</v>
      </c>
      <c r="JL38">
        <v>29369936.7</v>
      </c>
      <c r="JM38">
        <v>29369936.7</v>
      </c>
      <c r="JN38">
        <v>1.30859</v>
      </c>
      <c r="JO38">
        <v>2.3584</v>
      </c>
      <c r="JP38">
        <v>2.09839</v>
      </c>
      <c r="JQ38">
        <v>2.64893</v>
      </c>
      <c r="JR38">
        <v>2.24365</v>
      </c>
      <c r="JS38">
        <v>2.30835</v>
      </c>
      <c r="JT38">
        <v>34.5549</v>
      </c>
      <c r="JU38">
        <v>24.2276</v>
      </c>
      <c r="JV38">
        <v>18</v>
      </c>
      <c r="JW38">
        <v>569.146</v>
      </c>
      <c r="JX38">
        <v>804.233</v>
      </c>
      <c r="JY38">
        <v>65.4594</v>
      </c>
      <c r="JZ38">
        <v>45.0357</v>
      </c>
      <c r="KA38">
        <v>29.9991</v>
      </c>
      <c r="KB38">
        <v>44.0602</v>
      </c>
      <c r="KC38">
        <v>44.1559</v>
      </c>
      <c r="KD38">
        <v>26.2248</v>
      </c>
      <c r="KE38">
        <v>0</v>
      </c>
      <c r="KF38">
        <v>100</v>
      </c>
      <c r="KG38">
        <v>74.7912</v>
      </c>
      <c r="KH38">
        <v>420</v>
      </c>
      <c r="KI38">
        <v>21.8788</v>
      </c>
      <c r="KJ38">
        <v>89.5843</v>
      </c>
      <c r="KK38">
        <v>95.5926</v>
      </c>
    </row>
    <row r="39" spans="1:297">
      <c r="A39">
        <v>23</v>
      </c>
      <c r="B39">
        <v>1762196411</v>
      </c>
      <c r="C39">
        <v>6075</v>
      </c>
      <c r="D39" t="s">
        <v>515</v>
      </c>
      <c r="E39" t="s">
        <v>516</v>
      </c>
      <c r="F39">
        <v>5</v>
      </c>
      <c r="G39" t="s">
        <v>513</v>
      </c>
      <c r="H39" t="s">
        <v>436</v>
      </c>
      <c r="I39">
        <v>1762196402.5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428.446338776978</v>
      </c>
      <c r="AK39">
        <v>439.955909090909</v>
      </c>
      <c r="AL39">
        <v>0.00509564689424734</v>
      </c>
      <c r="AM39">
        <v>64.1373479893142</v>
      </c>
      <c r="AN39">
        <f>(AP39 - AO39 + DY39*1E3/(8.314*(EA39+273.15)) * AR39/DX39 * AQ39) * DX39/(100*DL39) * 1000/(1000 - AP39)</f>
        <v>0</v>
      </c>
      <c r="AO39">
        <v>19.7489159401295</v>
      </c>
      <c r="AP39">
        <v>41.3715447552448</v>
      </c>
      <c r="AQ39">
        <v>0.00102592389845818</v>
      </c>
      <c r="AR39">
        <v>109.07343871426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517</v>
      </c>
      <c r="AY39">
        <v>5074.73</v>
      </c>
      <c r="AZ39">
        <v>1727.468</v>
      </c>
      <c r="BA39">
        <v>1993.42</v>
      </c>
      <c r="BB39">
        <f>1-AZ39/BA39</f>
        <v>0</v>
      </c>
      <c r="BC39">
        <v>-9.41990746010686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1762196402.5</v>
      </c>
      <c r="DR39">
        <v>421.7033125</v>
      </c>
      <c r="DS39">
        <v>419.9771875</v>
      </c>
      <c r="DT39">
        <v>41.3456125</v>
      </c>
      <c r="DU39">
        <v>19.747975</v>
      </c>
      <c r="DV39">
        <v>413.2009375</v>
      </c>
      <c r="DW39">
        <v>41.0168625</v>
      </c>
      <c r="DX39">
        <v>500.007</v>
      </c>
      <c r="DY39">
        <v>90.8206375</v>
      </c>
      <c r="DZ39">
        <v>0.10003416875</v>
      </c>
      <c r="EA39">
        <v>53.1349875</v>
      </c>
      <c r="EB39">
        <v>47.36006875</v>
      </c>
      <c r="EC39">
        <v>999.9</v>
      </c>
      <c r="ED39">
        <v>0</v>
      </c>
      <c r="EE39">
        <v>0</v>
      </c>
      <c r="EF39">
        <v>9992.931875</v>
      </c>
      <c r="EG39">
        <v>0</v>
      </c>
      <c r="EH39">
        <v>0.278209</v>
      </c>
      <c r="EI39">
        <v>1.72625125</v>
      </c>
      <c r="EJ39">
        <v>439.890875</v>
      </c>
      <c r="EK39">
        <v>428.4378125</v>
      </c>
      <c r="EL39">
        <v>21.59763125</v>
      </c>
      <c r="EM39">
        <v>419.9771875</v>
      </c>
      <c r="EN39">
        <v>19.747975</v>
      </c>
      <c r="EO39">
        <v>3.75503375</v>
      </c>
      <c r="EP39">
        <v>1.793525</v>
      </c>
      <c r="EQ39">
        <v>27.81924375</v>
      </c>
      <c r="ER39">
        <v>15.7304625</v>
      </c>
      <c r="ES39">
        <v>0.00500016</v>
      </c>
      <c r="ET39">
        <v>0</v>
      </c>
      <c r="EU39">
        <v>0</v>
      </c>
      <c r="EV39">
        <v>0</v>
      </c>
      <c r="EW39">
        <v>1727.85</v>
      </c>
      <c r="EX39">
        <v>0.00500016</v>
      </c>
      <c r="EY39">
        <v>50.5125</v>
      </c>
      <c r="EZ39">
        <v>1.21875</v>
      </c>
      <c r="FA39">
        <v>48.933125</v>
      </c>
      <c r="FB39">
        <v>52</v>
      </c>
      <c r="FC39">
        <v>50.444875</v>
      </c>
      <c r="FD39">
        <v>52.48425</v>
      </c>
      <c r="FE39">
        <v>52.9803125</v>
      </c>
      <c r="FF39">
        <v>0</v>
      </c>
      <c r="FG39">
        <v>0</v>
      </c>
      <c r="FH39">
        <v>0</v>
      </c>
      <c r="FI39">
        <v>206.599999904633</v>
      </c>
      <c r="FJ39">
        <v>0</v>
      </c>
      <c r="FK39">
        <v>1727.468</v>
      </c>
      <c r="FL39">
        <v>8.55384615764668</v>
      </c>
      <c r="FM39">
        <v>-12.9461537607325</v>
      </c>
      <c r="FN39">
        <v>51.624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1.73102333333333</v>
      </c>
      <c r="GD39">
        <v>0.0790098701298731</v>
      </c>
      <c r="GE39">
        <v>0.0683960105584928</v>
      </c>
      <c r="GF39">
        <v>1</v>
      </c>
      <c r="GG39">
        <v>1727.88529411765</v>
      </c>
      <c r="GH39">
        <v>14.6753244899096</v>
      </c>
      <c r="GI39">
        <v>7.1283663813272</v>
      </c>
      <c r="GJ39">
        <v>-1</v>
      </c>
      <c r="GK39">
        <v>21.5822428571429</v>
      </c>
      <c r="GL39">
        <v>0.251080519480528</v>
      </c>
      <c r="GM39">
        <v>0.0259895321680277</v>
      </c>
      <c r="GN39">
        <v>0</v>
      </c>
      <c r="GO39">
        <v>1</v>
      </c>
      <c r="GP39">
        <v>2</v>
      </c>
      <c r="GQ39" t="s">
        <v>441</v>
      </c>
      <c r="GR39">
        <v>3.12329</v>
      </c>
      <c r="GS39">
        <v>2.72538</v>
      </c>
      <c r="GT39">
        <v>0.0858423</v>
      </c>
      <c r="GU39">
        <v>0.0866977</v>
      </c>
      <c r="GV39">
        <v>0.144374</v>
      </c>
      <c r="GW39">
        <v>0.0859513</v>
      </c>
      <c r="GX39">
        <v>22549.9</v>
      </c>
      <c r="GY39">
        <v>21488.5</v>
      </c>
      <c r="GZ39">
        <v>22123</v>
      </c>
      <c r="HA39">
        <v>22980.3</v>
      </c>
      <c r="HB39">
        <v>32448.3</v>
      </c>
      <c r="HC39">
        <v>34847</v>
      </c>
      <c r="HD39">
        <v>40073.6</v>
      </c>
      <c r="HE39">
        <v>41094.2</v>
      </c>
      <c r="HF39">
        <v>1.76408</v>
      </c>
      <c r="HG39">
        <v>2.09858</v>
      </c>
      <c r="HH39">
        <v>0.0381246</v>
      </c>
      <c r="HI39">
        <v>0</v>
      </c>
      <c r="HJ39">
        <v>46.7315</v>
      </c>
      <c r="HK39">
        <v>999.9</v>
      </c>
      <c r="HL39">
        <v>49.738</v>
      </c>
      <c r="HM39">
        <v>27.573</v>
      </c>
      <c r="HN39">
        <v>20.2699</v>
      </c>
      <c r="HO39">
        <v>58.2901</v>
      </c>
      <c r="HP39">
        <v>28.9062</v>
      </c>
      <c r="HQ39">
        <v>2</v>
      </c>
      <c r="HR39">
        <v>1.39856</v>
      </c>
      <c r="HS39">
        <v>-6.66667</v>
      </c>
      <c r="HT39">
        <v>20.109</v>
      </c>
      <c r="HU39">
        <v>5.22927</v>
      </c>
      <c r="HV39">
        <v>11.9987</v>
      </c>
      <c r="HW39">
        <v>4.9537</v>
      </c>
      <c r="HX39">
        <v>3.304</v>
      </c>
      <c r="HY39">
        <v>9999</v>
      </c>
      <c r="HZ39">
        <v>9999</v>
      </c>
      <c r="IA39">
        <v>9999</v>
      </c>
      <c r="IB39">
        <v>999.9</v>
      </c>
      <c r="IC39">
        <v>1.86844</v>
      </c>
      <c r="ID39">
        <v>1.86417</v>
      </c>
      <c r="IE39">
        <v>1.8718</v>
      </c>
      <c r="IF39">
        <v>1.86263</v>
      </c>
      <c r="IG39">
        <v>1.86203</v>
      </c>
      <c r="IH39">
        <v>1.86852</v>
      </c>
      <c r="II39">
        <v>1.85865</v>
      </c>
      <c r="IJ39">
        <v>1.86509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8.503</v>
      </c>
      <c r="IY39">
        <v>0.3288</v>
      </c>
      <c r="IZ39">
        <v>5.68464161616582</v>
      </c>
      <c r="JA39">
        <v>0.0084032629040739</v>
      </c>
      <c r="JB39">
        <v>-4.27142149824345e-06</v>
      </c>
      <c r="JC39">
        <v>1.06016907176734e-09</v>
      </c>
      <c r="JD39">
        <v>0.328744801655011</v>
      </c>
      <c r="JE39">
        <v>0</v>
      </c>
      <c r="JF39">
        <v>0</v>
      </c>
      <c r="JG39">
        <v>0</v>
      </c>
      <c r="JH39">
        <v>-1</v>
      </c>
      <c r="JI39">
        <v>2195</v>
      </c>
      <c r="JJ39">
        <v>1</v>
      </c>
      <c r="JK39">
        <v>22</v>
      </c>
      <c r="JL39">
        <v>29369940.2</v>
      </c>
      <c r="JM39">
        <v>29369940.2</v>
      </c>
      <c r="JN39">
        <v>1.30737</v>
      </c>
      <c r="JO39">
        <v>2.3584</v>
      </c>
      <c r="JP39">
        <v>2.09839</v>
      </c>
      <c r="JQ39">
        <v>2.64893</v>
      </c>
      <c r="JR39">
        <v>2.24365</v>
      </c>
      <c r="JS39">
        <v>2.31201</v>
      </c>
      <c r="JT39">
        <v>34.6006</v>
      </c>
      <c r="JU39">
        <v>24.2188</v>
      </c>
      <c r="JV39">
        <v>18</v>
      </c>
      <c r="JW39">
        <v>569.571</v>
      </c>
      <c r="JX39">
        <v>804.729</v>
      </c>
      <c r="JY39">
        <v>65.0976</v>
      </c>
      <c r="JZ39">
        <v>44.6437</v>
      </c>
      <c r="KA39">
        <v>29.9995</v>
      </c>
      <c r="KB39">
        <v>43.6646</v>
      </c>
      <c r="KC39">
        <v>43.7533</v>
      </c>
      <c r="KD39">
        <v>26.2156</v>
      </c>
      <c r="KE39">
        <v>0</v>
      </c>
      <c r="KF39">
        <v>100</v>
      </c>
      <c r="KG39">
        <v>80.9632</v>
      </c>
      <c r="KH39">
        <v>420</v>
      </c>
      <c r="KI39">
        <v>21.8788</v>
      </c>
      <c r="KJ39">
        <v>89.6639</v>
      </c>
      <c r="KK39">
        <v>95.6777</v>
      </c>
    </row>
    <row r="40" spans="1:297">
      <c r="A40">
        <v>24</v>
      </c>
      <c r="B40">
        <v>1762196585</v>
      </c>
      <c r="C40">
        <v>6249</v>
      </c>
      <c r="D40" t="s">
        <v>518</v>
      </c>
      <c r="E40" t="s">
        <v>519</v>
      </c>
      <c r="F40">
        <v>5</v>
      </c>
      <c r="G40" t="s">
        <v>513</v>
      </c>
      <c r="H40" t="s">
        <v>436</v>
      </c>
      <c r="I40">
        <v>1762196577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428.455438234589</v>
      </c>
      <c r="AK40">
        <v>439.523618181818</v>
      </c>
      <c r="AL40">
        <v>-0.0117776234460747</v>
      </c>
      <c r="AM40">
        <v>64.1373479893142</v>
      </c>
      <c r="AN40">
        <f>(AP40 - AO40 + DY40*1E3/(8.314*(EA40+273.15)) * AR40/DX40 * AQ40) * DX40/(100*DL40) * 1000/(1000 - AP40)</f>
        <v>0</v>
      </c>
      <c r="AO40">
        <v>19.7607677890221</v>
      </c>
      <c r="AP40">
        <v>41.8131167832168</v>
      </c>
      <c r="AQ40">
        <v>0.00638668840051787</v>
      </c>
      <c r="AR40">
        <v>109.07343871426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520</v>
      </c>
      <c r="AY40">
        <v>5075.3</v>
      </c>
      <c r="AZ40">
        <v>1756.17307692308</v>
      </c>
      <c r="BA40">
        <v>1983.96</v>
      </c>
      <c r="BB40">
        <f>1-AZ40/BA40</f>
        <v>0</v>
      </c>
      <c r="BC40">
        <v>-8.99952385211816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1762196577</v>
      </c>
      <c r="DR40">
        <v>421.163133333333</v>
      </c>
      <c r="DS40">
        <v>419.994666666667</v>
      </c>
      <c r="DT40">
        <v>41.7671533333333</v>
      </c>
      <c r="DU40">
        <v>19.7608733333333</v>
      </c>
      <c r="DV40">
        <v>412.663733333333</v>
      </c>
      <c r="DW40">
        <v>41.43842</v>
      </c>
      <c r="DX40">
        <v>499.9808</v>
      </c>
      <c r="DY40">
        <v>90.8143333333333</v>
      </c>
      <c r="DZ40">
        <v>0.0999702866666667</v>
      </c>
      <c r="EA40">
        <v>52.8649666666667</v>
      </c>
      <c r="EB40">
        <v>47.05506</v>
      </c>
      <c r="EC40">
        <v>999.9</v>
      </c>
      <c r="ED40">
        <v>0</v>
      </c>
      <c r="EE40">
        <v>0</v>
      </c>
      <c r="EF40">
        <v>9987.38066666667</v>
      </c>
      <c r="EG40">
        <v>0</v>
      </c>
      <c r="EH40">
        <v>0.278209</v>
      </c>
      <c r="EI40">
        <v>1.16840066666667</v>
      </c>
      <c r="EJ40">
        <v>439.520666666667</v>
      </c>
      <c r="EK40">
        <v>428.4616</v>
      </c>
      <c r="EL40">
        <v>22.00628</v>
      </c>
      <c r="EM40">
        <v>419.994666666667</v>
      </c>
      <c r="EN40">
        <v>19.7608733333333</v>
      </c>
      <c r="EO40">
        <v>3.79305666666667</v>
      </c>
      <c r="EP40">
        <v>1.79457</v>
      </c>
      <c r="EQ40">
        <v>27.99194</v>
      </c>
      <c r="ER40">
        <v>15.73958</v>
      </c>
      <c r="ES40">
        <v>0.00500016</v>
      </c>
      <c r="ET40">
        <v>0</v>
      </c>
      <c r="EU40">
        <v>0</v>
      </c>
      <c r="EV40">
        <v>0</v>
      </c>
      <c r="EW40">
        <v>1755.5</v>
      </c>
      <c r="EX40">
        <v>0.00500016</v>
      </c>
      <c r="EY40">
        <v>51.1466666666667</v>
      </c>
      <c r="EZ40">
        <v>1.22</v>
      </c>
      <c r="FA40">
        <v>48.75</v>
      </c>
      <c r="FB40">
        <v>51.8624</v>
      </c>
      <c r="FC40">
        <v>50.312</v>
      </c>
      <c r="FD40">
        <v>52.312</v>
      </c>
      <c r="FE40">
        <v>52.812</v>
      </c>
      <c r="FF40">
        <v>0</v>
      </c>
      <c r="FG40">
        <v>0</v>
      </c>
      <c r="FH40">
        <v>0</v>
      </c>
      <c r="FI40">
        <v>172.599999904633</v>
      </c>
      <c r="FJ40">
        <v>0</v>
      </c>
      <c r="FK40">
        <v>1756.17307692308</v>
      </c>
      <c r="FL40">
        <v>14.3555550602995</v>
      </c>
      <c r="FM40">
        <v>-16.9606838990732</v>
      </c>
      <c r="FN40">
        <v>51.2730769230769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1.193312</v>
      </c>
      <c r="GD40">
        <v>-0.378896842105264</v>
      </c>
      <c r="GE40">
        <v>0.0710733133180099</v>
      </c>
      <c r="GF40">
        <v>1</v>
      </c>
      <c r="GG40">
        <v>1756.71176470588</v>
      </c>
      <c r="GH40">
        <v>4.75171867084077</v>
      </c>
      <c r="GI40">
        <v>4.639394274984</v>
      </c>
      <c r="GJ40">
        <v>-1</v>
      </c>
      <c r="GK40">
        <v>21.98934</v>
      </c>
      <c r="GL40">
        <v>0.4078917293233</v>
      </c>
      <c r="GM40">
        <v>0.0392768430503267</v>
      </c>
      <c r="GN40">
        <v>0</v>
      </c>
      <c r="GO40">
        <v>1</v>
      </c>
      <c r="GP40">
        <v>2</v>
      </c>
      <c r="GQ40" t="s">
        <v>441</v>
      </c>
      <c r="GR40">
        <v>3.12327</v>
      </c>
      <c r="GS40">
        <v>2.72578</v>
      </c>
      <c r="GT40">
        <v>0.0857919</v>
      </c>
      <c r="GU40">
        <v>0.0867441</v>
      </c>
      <c r="GV40">
        <v>0.145459</v>
      </c>
      <c r="GW40">
        <v>0.0860255</v>
      </c>
      <c r="GX40">
        <v>22562.4</v>
      </c>
      <c r="GY40">
        <v>21497.5</v>
      </c>
      <c r="GZ40">
        <v>22133.2</v>
      </c>
      <c r="HA40">
        <v>22990.3</v>
      </c>
      <c r="HB40">
        <v>32420.2</v>
      </c>
      <c r="HC40">
        <v>34857.9</v>
      </c>
      <c r="HD40">
        <v>40089.5</v>
      </c>
      <c r="HE40">
        <v>41110.2</v>
      </c>
      <c r="HF40">
        <v>1.7662</v>
      </c>
      <c r="HG40">
        <v>2.10138</v>
      </c>
      <c r="HH40">
        <v>0.0266619</v>
      </c>
      <c r="HI40">
        <v>0</v>
      </c>
      <c r="HJ40">
        <v>46.5959</v>
      </c>
      <c r="HK40">
        <v>999.9</v>
      </c>
      <c r="HL40">
        <v>49.689</v>
      </c>
      <c r="HM40">
        <v>27.603</v>
      </c>
      <c r="HN40">
        <v>20.2896</v>
      </c>
      <c r="HO40">
        <v>58.8901</v>
      </c>
      <c r="HP40">
        <v>29.0385</v>
      </c>
      <c r="HQ40">
        <v>2</v>
      </c>
      <c r="HR40">
        <v>1.38279</v>
      </c>
      <c r="HS40">
        <v>-6.66667</v>
      </c>
      <c r="HT40">
        <v>20.1089</v>
      </c>
      <c r="HU40">
        <v>5.23212</v>
      </c>
      <c r="HV40">
        <v>11.9981</v>
      </c>
      <c r="HW40">
        <v>4.95375</v>
      </c>
      <c r="HX40">
        <v>3.304</v>
      </c>
      <c r="HY40">
        <v>9999</v>
      </c>
      <c r="HZ40">
        <v>9999</v>
      </c>
      <c r="IA40">
        <v>9999</v>
      </c>
      <c r="IB40">
        <v>999.9</v>
      </c>
      <c r="IC40">
        <v>1.86844</v>
      </c>
      <c r="ID40">
        <v>1.86417</v>
      </c>
      <c r="IE40">
        <v>1.8718</v>
      </c>
      <c r="IF40">
        <v>1.86262</v>
      </c>
      <c r="IG40">
        <v>1.86203</v>
      </c>
      <c r="IH40">
        <v>1.86849</v>
      </c>
      <c r="II40">
        <v>1.85867</v>
      </c>
      <c r="IJ40">
        <v>1.86508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8.499</v>
      </c>
      <c r="IY40">
        <v>0.3287</v>
      </c>
      <c r="IZ40">
        <v>5.68464161616582</v>
      </c>
      <c r="JA40">
        <v>0.0084032629040739</v>
      </c>
      <c r="JB40">
        <v>-4.27142149824345e-06</v>
      </c>
      <c r="JC40">
        <v>1.06016907176734e-09</v>
      </c>
      <c r="JD40">
        <v>0.328744801655011</v>
      </c>
      <c r="JE40">
        <v>0</v>
      </c>
      <c r="JF40">
        <v>0</v>
      </c>
      <c r="JG40">
        <v>0</v>
      </c>
      <c r="JH40">
        <v>-1</v>
      </c>
      <c r="JI40">
        <v>2195</v>
      </c>
      <c r="JJ40">
        <v>1</v>
      </c>
      <c r="JK40">
        <v>22</v>
      </c>
      <c r="JL40">
        <v>29369943.1</v>
      </c>
      <c r="JM40">
        <v>29369943.1</v>
      </c>
      <c r="JN40">
        <v>1.30737</v>
      </c>
      <c r="JO40">
        <v>2.3645</v>
      </c>
      <c r="JP40">
        <v>2.09839</v>
      </c>
      <c r="JQ40">
        <v>2.64771</v>
      </c>
      <c r="JR40">
        <v>2.24365</v>
      </c>
      <c r="JS40">
        <v>2.38892</v>
      </c>
      <c r="JT40">
        <v>34.6235</v>
      </c>
      <c r="JU40">
        <v>24.2276</v>
      </c>
      <c r="JV40">
        <v>18</v>
      </c>
      <c r="JW40">
        <v>569.518</v>
      </c>
      <c r="JX40">
        <v>805.002</v>
      </c>
      <c r="JY40">
        <v>64.799</v>
      </c>
      <c r="JZ40">
        <v>44.4412</v>
      </c>
      <c r="KA40">
        <v>29.9997</v>
      </c>
      <c r="KB40">
        <v>43.4327</v>
      </c>
      <c r="KC40">
        <v>43.5199</v>
      </c>
      <c r="KD40">
        <v>26.2049</v>
      </c>
      <c r="KE40">
        <v>0</v>
      </c>
      <c r="KF40">
        <v>100</v>
      </c>
      <c r="KG40">
        <v>84.6351</v>
      </c>
      <c r="KH40">
        <v>420</v>
      </c>
      <c r="KI40">
        <v>21.8788</v>
      </c>
      <c r="KJ40">
        <v>89.7015</v>
      </c>
      <c r="KK40">
        <v>95.7164</v>
      </c>
    </row>
    <row r="41" spans="1:297">
      <c r="A41">
        <v>25</v>
      </c>
      <c r="B41">
        <v>1762197029.1</v>
      </c>
      <c r="C41">
        <v>6693.09999990463</v>
      </c>
      <c r="D41" t="s">
        <v>521</v>
      </c>
      <c r="E41" t="s">
        <v>522</v>
      </c>
      <c r="F41">
        <v>5</v>
      </c>
      <c r="G41" t="s">
        <v>523</v>
      </c>
      <c r="H41" t="s">
        <v>436</v>
      </c>
      <c r="I41">
        <v>1762197020.6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428.465932993479</v>
      </c>
      <c r="AK41">
        <v>438.947648484848</v>
      </c>
      <c r="AL41">
        <v>-0.0278395205680693</v>
      </c>
      <c r="AM41">
        <v>64.2440910517629</v>
      </c>
      <c r="AN41">
        <f>(AP41 - AO41 + DY41*1E3/(8.314*(EA41+273.15)) * AR41/DX41 * AQ41) * DX41/(100*DL41) * 1000/(1000 - AP41)</f>
        <v>0</v>
      </c>
      <c r="AO41">
        <v>19.7321495136408</v>
      </c>
      <c r="AP41">
        <v>35.3681370629371</v>
      </c>
      <c r="AQ41">
        <v>0.0134672549158772</v>
      </c>
      <c r="AR41">
        <v>106.84018356692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5074.44</v>
      </c>
      <c r="AZ41">
        <v>1169.144</v>
      </c>
      <c r="BA41">
        <v>1939.54</v>
      </c>
      <c r="BB41">
        <f>1-AZ41/BA41</f>
        <v>0</v>
      </c>
      <c r="BC41">
        <v>-8.46427906430692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1762197020.6</v>
      </c>
      <c r="DR41">
        <v>423.5230625</v>
      </c>
      <c r="DS41">
        <v>420.0015</v>
      </c>
      <c r="DT41">
        <v>35.26936875</v>
      </c>
      <c r="DU41">
        <v>19.73148125</v>
      </c>
      <c r="DV41">
        <v>415.0109375</v>
      </c>
      <c r="DW41">
        <v>34.940625</v>
      </c>
      <c r="DX41">
        <v>500.0099375</v>
      </c>
      <c r="DY41">
        <v>90.79341875</v>
      </c>
      <c r="DZ41">
        <v>0.10002553125</v>
      </c>
      <c r="EA41">
        <v>51.45930625</v>
      </c>
      <c r="EB41">
        <v>47.978475</v>
      </c>
      <c r="EC41">
        <v>999.9</v>
      </c>
      <c r="ED41">
        <v>0</v>
      </c>
      <c r="EE41">
        <v>0</v>
      </c>
      <c r="EF41">
        <v>9992.495625</v>
      </c>
      <c r="EG41">
        <v>0</v>
      </c>
      <c r="EH41">
        <v>0.278209</v>
      </c>
      <c r="EI41">
        <v>3.52156125</v>
      </c>
      <c r="EJ41">
        <v>439.006625</v>
      </c>
      <c r="EK41">
        <v>428.4555625</v>
      </c>
      <c r="EL41">
        <v>15.537875</v>
      </c>
      <c r="EM41">
        <v>420.0015</v>
      </c>
      <c r="EN41">
        <v>19.73148125</v>
      </c>
      <c r="EO41">
        <v>3.202226875</v>
      </c>
      <c r="EP41">
        <v>1.791489375</v>
      </c>
      <c r="EQ41">
        <v>25.11856875</v>
      </c>
      <c r="ER41">
        <v>15.71273125</v>
      </c>
      <c r="ES41">
        <v>0.00500016</v>
      </c>
      <c r="ET41">
        <v>0</v>
      </c>
      <c r="EU41">
        <v>0</v>
      </c>
      <c r="EV41">
        <v>0</v>
      </c>
      <c r="EW41">
        <v>1169.475</v>
      </c>
      <c r="EX41">
        <v>0.00500016</v>
      </c>
      <c r="EY41">
        <v>47.95625</v>
      </c>
      <c r="EZ41">
        <v>1.13125</v>
      </c>
      <c r="FA41">
        <v>48.558125</v>
      </c>
      <c r="FB41">
        <v>51.687</v>
      </c>
      <c r="FC41">
        <v>50.128875</v>
      </c>
      <c r="FD41">
        <v>52.125</v>
      </c>
      <c r="FE41">
        <v>52.45275</v>
      </c>
      <c r="FF41">
        <v>0</v>
      </c>
      <c r="FG41">
        <v>0</v>
      </c>
      <c r="FH41">
        <v>0</v>
      </c>
      <c r="FI41">
        <v>443</v>
      </c>
      <c r="FJ41">
        <v>0</v>
      </c>
      <c r="FK41">
        <v>1169.144</v>
      </c>
      <c r="FL41">
        <v>32.4615382047806</v>
      </c>
      <c r="FM41">
        <v>2.49230777300327</v>
      </c>
      <c r="FN41">
        <v>47.732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3.55273904761905</v>
      </c>
      <c r="GD41">
        <v>-0.440636103896101</v>
      </c>
      <c r="GE41">
        <v>0.0705579448400062</v>
      </c>
      <c r="GF41">
        <v>1</v>
      </c>
      <c r="GG41">
        <v>1168.09705882353</v>
      </c>
      <c r="GH41">
        <v>10.0091671840323</v>
      </c>
      <c r="GI41">
        <v>5.12952728553133</v>
      </c>
      <c r="GJ41">
        <v>-1</v>
      </c>
      <c r="GK41">
        <v>15.4946380952381</v>
      </c>
      <c r="GL41">
        <v>0.72146493506493</v>
      </c>
      <c r="GM41">
        <v>0.072879218255376</v>
      </c>
      <c r="GN41">
        <v>0</v>
      </c>
      <c r="GO41">
        <v>1</v>
      </c>
      <c r="GP41">
        <v>2</v>
      </c>
      <c r="GQ41" t="s">
        <v>441</v>
      </c>
      <c r="GR41">
        <v>3.1232</v>
      </c>
      <c r="GS41">
        <v>2.72532</v>
      </c>
      <c r="GT41">
        <v>0.0861591</v>
      </c>
      <c r="GU41">
        <v>0.0867947</v>
      </c>
      <c r="GV41">
        <v>0.129784</v>
      </c>
      <c r="GW41">
        <v>0.085982</v>
      </c>
      <c r="GX41">
        <v>22567.4</v>
      </c>
      <c r="GY41">
        <v>21510</v>
      </c>
      <c r="GZ41">
        <v>22146.2</v>
      </c>
      <c r="HA41">
        <v>23003.5</v>
      </c>
      <c r="HB41">
        <v>33020.4</v>
      </c>
      <c r="HC41">
        <v>34878.7</v>
      </c>
      <c r="HD41">
        <v>40110.3</v>
      </c>
      <c r="HE41">
        <v>41132.3</v>
      </c>
      <c r="HF41">
        <v>1.76157</v>
      </c>
      <c r="HG41">
        <v>2.10455</v>
      </c>
      <c r="HH41">
        <v>0.164695</v>
      </c>
      <c r="HI41">
        <v>0</v>
      </c>
      <c r="HJ41">
        <v>45.3868</v>
      </c>
      <c r="HK41">
        <v>999.9</v>
      </c>
      <c r="HL41">
        <v>49.42</v>
      </c>
      <c r="HM41">
        <v>27.694</v>
      </c>
      <c r="HN41">
        <v>20.2923</v>
      </c>
      <c r="HO41">
        <v>58.5792</v>
      </c>
      <c r="HP41">
        <v>29.0745</v>
      </c>
      <c r="HQ41">
        <v>2</v>
      </c>
      <c r="HR41">
        <v>1.3603</v>
      </c>
      <c r="HS41">
        <v>-6.66667</v>
      </c>
      <c r="HT41">
        <v>20.1087</v>
      </c>
      <c r="HU41">
        <v>5.23406</v>
      </c>
      <c r="HV41">
        <v>11.998</v>
      </c>
      <c r="HW41">
        <v>4.95365</v>
      </c>
      <c r="HX41">
        <v>3.304</v>
      </c>
      <c r="HY41">
        <v>9999</v>
      </c>
      <c r="HZ41">
        <v>9999</v>
      </c>
      <c r="IA41">
        <v>9999</v>
      </c>
      <c r="IB41">
        <v>999.9</v>
      </c>
      <c r="IC41">
        <v>1.86851</v>
      </c>
      <c r="ID41">
        <v>1.86417</v>
      </c>
      <c r="IE41">
        <v>1.8718</v>
      </c>
      <c r="IF41">
        <v>1.86264</v>
      </c>
      <c r="IG41">
        <v>1.86203</v>
      </c>
      <c r="IH41">
        <v>1.86853</v>
      </c>
      <c r="II41">
        <v>1.85866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8.511</v>
      </c>
      <c r="IY41">
        <v>0.3287</v>
      </c>
      <c r="IZ41">
        <v>5.68464161616582</v>
      </c>
      <c r="JA41">
        <v>0.0084032629040739</v>
      </c>
      <c r="JB41">
        <v>-4.27142149824345e-06</v>
      </c>
      <c r="JC41">
        <v>1.06016907176734e-09</v>
      </c>
      <c r="JD41">
        <v>0.328744801655011</v>
      </c>
      <c r="JE41">
        <v>0</v>
      </c>
      <c r="JF41">
        <v>0</v>
      </c>
      <c r="JG41">
        <v>0</v>
      </c>
      <c r="JH41">
        <v>-1</v>
      </c>
      <c r="JI41">
        <v>2195</v>
      </c>
      <c r="JJ41">
        <v>1</v>
      </c>
      <c r="JK41">
        <v>22</v>
      </c>
      <c r="JL41">
        <v>29369950.5</v>
      </c>
      <c r="JM41">
        <v>29369950.5</v>
      </c>
      <c r="JN41">
        <v>1.30493</v>
      </c>
      <c r="JO41">
        <v>2.35962</v>
      </c>
      <c r="JP41">
        <v>2.09839</v>
      </c>
      <c r="JQ41">
        <v>2.64893</v>
      </c>
      <c r="JR41">
        <v>2.24365</v>
      </c>
      <c r="JS41">
        <v>2.30713</v>
      </c>
      <c r="JT41">
        <v>34.6692</v>
      </c>
      <c r="JU41">
        <v>24.2276</v>
      </c>
      <c r="JV41">
        <v>18</v>
      </c>
      <c r="JW41">
        <v>563.845</v>
      </c>
      <c r="JX41">
        <v>804.498</v>
      </c>
      <c r="JY41">
        <v>63.398</v>
      </c>
      <c r="JZ41">
        <v>44.1031</v>
      </c>
      <c r="KA41">
        <v>29.9998</v>
      </c>
      <c r="KB41">
        <v>43.1014</v>
      </c>
      <c r="KC41">
        <v>43.1845</v>
      </c>
      <c r="KD41">
        <v>26.1765</v>
      </c>
      <c r="KE41">
        <v>0</v>
      </c>
      <c r="KF41">
        <v>100</v>
      </c>
      <c r="KG41">
        <v>64.1523</v>
      </c>
      <c r="KH41">
        <v>420</v>
      </c>
      <c r="KI41">
        <v>21.8788</v>
      </c>
      <c r="KJ41">
        <v>89.7502</v>
      </c>
      <c r="KK41">
        <v>95.7691</v>
      </c>
    </row>
    <row r="42" spans="1:297">
      <c r="A42">
        <v>26</v>
      </c>
      <c r="B42">
        <v>1762197160.1</v>
      </c>
      <c r="C42">
        <v>6824.09999990463</v>
      </c>
      <c r="D42" t="s">
        <v>525</v>
      </c>
      <c r="E42" t="s">
        <v>526</v>
      </c>
      <c r="F42">
        <v>5</v>
      </c>
      <c r="G42" t="s">
        <v>523</v>
      </c>
      <c r="H42" t="s">
        <v>436</v>
      </c>
      <c r="I42">
        <v>1762197152.1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428.492496684492</v>
      </c>
      <c r="AK42">
        <v>438.963345454545</v>
      </c>
      <c r="AL42">
        <v>0.00296039190997382</v>
      </c>
      <c r="AM42">
        <v>64.2440910517629</v>
      </c>
      <c r="AN42">
        <f>(AP42 - AO42 + DY42*1E3/(8.314*(EA42+273.15)) * AR42/DX42 * AQ42) * DX42/(100*DL42) * 1000/(1000 - AP42)</f>
        <v>0</v>
      </c>
      <c r="AO42">
        <v>19.7168619957772</v>
      </c>
      <c r="AP42">
        <v>36.6545748251748</v>
      </c>
      <c r="AQ42">
        <v>0.00941901468226073</v>
      </c>
      <c r="AR42">
        <v>106.84018356692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527</v>
      </c>
      <c r="AY42">
        <v>5074.62</v>
      </c>
      <c r="AZ42">
        <v>1241.41923076923</v>
      </c>
      <c r="BA42">
        <v>1916.88</v>
      </c>
      <c r="BB42">
        <f>1-AZ42/BA42</f>
        <v>0</v>
      </c>
      <c r="BC42">
        <v>-8.56408886245417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1762197152.1</v>
      </c>
      <c r="DR42">
        <v>422.8566</v>
      </c>
      <c r="DS42">
        <v>420.013066666667</v>
      </c>
      <c r="DT42">
        <v>36.59132</v>
      </c>
      <c r="DU42">
        <v>19.7175533333333</v>
      </c>
      <c r="DV42">
        <v>414.348066666667</v>
      </c>
      <c r="DW42">
        <v>36.2625666666667</v>
      </c>
      <c r="DX42">
        <v>499.999133333333</v>
      </c>
      <c r="DY42">
        <v>90.79022</v>
      </c>
      <c r="DZ42">
        <v>0.09998868</v>
      </c>
      <c r="EA42">
        <v>51.6845733333333</v>
      </c>
      <c r="EB42">
        <v>48.0112466666667</v>
      </c>
      <c r="EC42">
        <v>999.9</v>
      </c>
      <c r="ED42">
        <v>0</v>
      </c>
      <c r="EE42">
        <v>0</v>
      </c>
      <c r="EF42">
        <v>9992.45133333333</v>
      </c>
      <c r="EG42">
        <v>0</v>
      </c>
      <c r="EH42">
        <v>0.278209</v>
      </c>
      <c r="EI42">
        <v>2.84362</v>
      </c>
      <c r="EJ42">
        <v>438.917133333333</v>
      </c>
      <c r="EK42">
        <v>428.461266666667</v>
      </c>
      <c r="EL42">
        <v>16.8737666666667</v>
      </c>
      <c r="EM42">
        <v>420.013066666667</v>
      </c>
      <c r="EN42">
        <v>19.7175533333333</v>
      </c>
      <c r="EO42">
        <v>3.32213533333333</v>
      </c>
      <c r="EP42">
        <v>1.79016</v>
      </c>
      <c r="EQ42">
        <v>25.7371466666667</v>
      </c>
      <c r="ER42">
        <v>15.70114</v>
      </c>
      <c r="ES42">
        <v>0.00500016</v>
      </c>
      <c r="ET42">
        <v>0</v>
      </c>
      <c r="EU42">
        <v>0</v>
      </c>
      <c r="EV42">
        <v>0</v>
      </c>
      <c r="EW42">
        <v>1241.03333333333</v>
      </c>
      <c r="EX42">
        <v>0.00500016</v>
      </c>
      <c r="EY42">
        <v>46.8333333333333</v>
      </c>
      <c r="EZ42">
        <v>0.9</v>
      </c>
      <c r="FA42">
        <v>48.562</v>
      </c>
      <c r="FB42">
        <v>51.687</v>
      </c>
      <c r="FC42">
        <v>50.125</v>
      </c>
      <c r="FD42">
        <v>52.125</v>
      </c>
      <c r="FE42">
        <v>52.5</v>
      </c>
      <c r="FF42">
        <v>0</v>
      </c>
      <c r="FG42">
        <v>0</v>
      </c>
      <c r="FH42">
        <v>0</v>
      </c>
      <c r="FI42">
        <v>129.200000047684</v>
      </c>
      <c r="FJ42">
        <v>0</v>
      </c>
      <c r="FK42">
        <v>1241.41923076923</v>
      </c>
      <c r="FL42">
        <v>29.8085469219393</v>
      </c>
      <c r="FM42">
        <v>21.917948672052</v>
      </c>
      <c r="FN42">
        <v>47.2730769230769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2.86065714285714</v>
      </c>
      <c r="GD42">
        <v>-0.293118701298705</v>
      </c>
      <c r="GE42">
        <v>0.0413732299167167</v>
      </c>
      <c r="GF42">
        <v>1</v>
      </c>
      <c r="GG42">
        <v>1239.21764705882</v>
      </c>
      <c r="GH42">
        <v>39.8349884778172</v>
      </c>
      <c r="GI42">
        <v>6.98462473572932</v>
      </c>
      <c r="GJ42">
        <v>-1</v>
      </c>
      <c r="GK42">
        <v>16.8533238095238</v>
      </c>
      <c r="GL42">
        <v>0.450335064935052</v>
      </c>
      <c r="GM42">
        <v>0.0459065085619094</v>
      </c>
      <c r="GN42">
        <v>0</v>
      </c>
      <c r="GO42">
        <v>1</v>
      </c>
      <c r="GP42">
        <v>2</v>
      </c>
      <c r="GQ42" t="s">
        <v>441</v>
      </c>
      <c r="GR42">
        <v>3.1233</v>
      </c>
      <c r="GS42">
        <v>2.72551</v>
      </c>
      <c r="GT42">
        <v>0.086092</v>
      </c>
      <c r="GU42">
        <v>0.0868096</v>
      </c>
      <c r="GV42">
        <v>0.133018</v>
      </c>
      <c r="GW42">
        <v>0.0859479</v>
      </c>
      <c r="GX42">
        <v>22571.9</v>
      </c>
      <c r="GY42">
        <v>21512</v>
      </c>
      <c r="GZ42">
        <v>22148.7</v>
      </c>
      <c r="HA42">
        <v>23005.8</v>
      </c>
      <c r="HB42">
        <v>32902.2</v>
      </c>
      <c r="HC42">
        <v>34883.6</v>
      </c>
      <c r="HD42">
        <v>40113.5</v>
      </c>
      <c r="HE42">
        <v>41136.5</v>
      </c>
      <c r="HF42">
        <v>1.76308</v>
      </c>
      <c r="HG42">
        <v>2.10505</v>
      </c>
      <c r="HH42">
        <v>0.149824</v>
      </c>
      <c r="HI42">
        <v>0</v>
      </c>
      <c r="HJ42">
        <v>45.6329</v>
      </c>
      <c r="HK42">
        <v>999.9</v>
      </c>
      <c r="HL42">
        <v>49.298</v>
      </c>
      <c r="HM42">
        <v>27.714</v>
      </c>
      <c r="HN42">
        <v>20.2642</v>
      </c>
      <c r="HO42">
        <v>57.9892</v>
      </c>
      <c r="HP42">
        <v>29.0465</v>
      </c>
      <c r="HQ42">
        <v>2</v>
      </c>
      <c r="HR42">
        <v>1.35423</v>
      </c>
      <c r="HS42">
        <v>-6.07427</v>
      </c>
      <c r="HT42">
        <v>20.1258</v>
      </c>
      <c r="HU42">
        <v>5.23376</v>
      </c>
      <c r="HV42">
        <v>11.998</v>
      </c>
      <c r="HW42">
        <v>4.95385</v>
      </c>
      <c r="HX42">
        <v>3.304</v>
      </c>
      <c r="HY42">
        <v>9999</v>
      </c>
      <c r="HZ42">
        <v>9999</v>
      </c>
      <c r="IA42">
        <v>9999</v>
      </c>
      <c r="IB42">
        <v>999.9</v>
      </c>
      <c r="IC42">
        <v>1.86849</v>
      </c>
      <c r="ID42">
        <v>1.86417</v>
      </c>
      <c r="IE42">
        <v>1.8718</v>
      </c>
      <c r="IF42">
        <v>1.86264</v>
      </c>
      <c r="IG42">
        <v>1.86203</v>
      </c>
      <c r="IH42">
        <v>1.86854</v>
      </c>
      <c r="II42">
        <v>1.85866</v>
      </c>
      <c r="IJ42">
        <v>1.86508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8.509</v>
      </c>
      <c r="IY42">
        <v>0.3288</v>
      </c>
      <c r="IZ42">
        <v>5.68464161616582</v>
      </c>
      <c r="JA42">
        <v>0.0084032629040739</v>
      </c>
      <c r="JB42">
        <v>-4.27142149824345e-06</v>
      </c>
      <c r="JC42">
        <v>1.06016907176734e-09</v>
      </c>
      <c r="JD42">
        <v>0.328744801655011</v>
      </c>
      <c r="JE42">
        <v>0</v>
      </c>
      <c r="JF42">
        <v>0</v>
      </c>
      <c r="JG42">
        <v>0</v>
      </c>
      <c r="JH42">
        <v>-1</v>
      </c>
      <c r="JI42">
        <v>2195</v>
      </c>
      <c r="JJ42">
        <v>1</v>
      </c>
      <c r="JK42">
        <v>22</v>
      </c>
      <c r="JL42">
        <v>29369952.7</v>
      </c>
      <c r="JM42">
        <v>29369952.7</v>
      </c>
      <c r="JN42">
        <v>1.30493</v>
      </c>
      <c r="JO42">
        <v>2.3584</v>
      </c>
      <c r="JP42">
        <v>2.09839</v>
      </c>
      <c r="JQ42">
        <v>2.64771</v>
      </c>
      <c r="JR42">
        <v>2.24365</v>
      </c>
      <c r="JS42">
        <v>2.36816</v>
      </c>
      <c r="JT42">
        <v>34.6921</v>
      </c>
      <c r="JU42">
        <v>24.2364</v>
      </c>
      <c r="JV42">
        <v>18</v>
      </c>
      <c r="JW42">
        <v>564.537</v>
      </c>
      <c r="JX42">
        <v>804.308</v>
      </c>
      <c r="JY42">
        <v>62.5646</v>
      </c>
      <c r="JZ42">
        <v>44.0517</v>
      </c>
      <c r="KA42">
        <v>29.9998</v>
      </c>
      <c r="KB42">
        <v>43.0439</v>
      </c>
      <c r="KC42">
        <v>43.1221</v>
      </c>
      <c r="KD42">
        <v>26.1722</v>
      </c>
      <c r="KE42">
        <v>0</v>
      </c>
      <c r="KF42">
        <v>100</v>
      </c>
      <c r="KG42">
        <v>62.4982</v>
      </c>
      <c r="KH42">
        <v>420</v>
      </c>
      <c r="KI42">
        <v>21.8788</v>
      </c>
      <c r="KJ42">
        <v>89.7583</v>
      </c>
      <c r="KK42">
        <v>95.7787</v>
      </c>
    </row>
    <row r="43" spans="1:297">
      <c r="A43">
        <v>27</v>
      </c>
      <c r="B43">
        <v>1762197280.1</v>
      </c>
      <c r="C43">
        <v>6944.09999990463</v>
      </c>
      <c r="D43" t="s">
        <v>528</v>
      </c>
      <c r="E43" t="s">
        <v>529</v>
      </c>
      <c r="F43">
        <v>5</v>
      </c>
      <c r="G43" t="s">
        <v>523</v>
      </c>
      <c r="H43" t="s">
        <v>436</v>
      </c>
      <c r="I43">
        <v>1762197271.6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428.41517644186</v>
      </c>
      <c r="AK43">
        <v>438.535733333333</v>
      </c>
      <c r="AL43">
        <v>-0.0205335914247607</v>
      </c>
      <c r="AM43">
        <v>64.2440910517629</v>
      </c>
      <c r="AN43">
        <f>(AP43 - AO43 + DY43*1E3/(8.314*(EA43+273.15)) * AR43/DX43 * AQ43) * DX43/(100*DL43) * 1000/(1000 - AP43)</f>
        <v>0</v>
      </c>
      <c r="AO43">
        <v>19.7042826099857</v>
      </c>
      <c r="AP43">
        <v>37.3850594405594</v>
      </c>
      <c r="AQ43">
        <v>0.00868384002093851</v>
      </c>
      <c r="AR43">
        <v>106.84018356692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530</v>
      </c>
      <c r="AY43">
        <v>5074.21</v>
      </c>
      <c r="AZ43">
        <v>1274.80384615385</v>
      </c>
      <c r="BA43">
        <v>1899</v>
      </c>
      <c r="BB43">
        <f>1-AZ43/BA43</f>
        <v>0</v>
      </c>
      <c r="BC43">
        <v>-8.19530927235138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1762197271.6</v>
      </c>
      <c r="DR43">
        <v>422.2060625</v>
      </c>
      <c r="DS43">
        <v>420.0019375</v>
      </c>
      <c r="DT43">
        <v>37.32084375</v>
      </c>
      <c r="DU43">
        <v>19.7042375</v>
      </c>
      <c r="DV43">
        <v>413.701</v>
      </c>
      <c r="DW43">
        <v>36.9921</v>
      </c>
      <c r="DX43">
        <v>500.0105</v>
      </c>
      <c r="DY43">
        <v>90.78831875</v>
      </c>
      <c r="DZ43">
        <v>0.10000570625</v>
      </c>
      <c r="EA43">
        <v>51.5666</v>
      </c>
      <c r="EB43">
        <v>47.8511625</v>
      </c>
      <c r="EC43">
        <v>999.9</v>
      </c>
      <c r="ED43">
        <v>0</v>
      </c>
      <c r="EE43">
        <v>0</v>
      </c>
      <c r="EF43">
        <v>9999.9275</v>
      </c>
      <c r="EG43">
        <v>0</v>
      </c>
      <c r="EH43">
        <v>0.278209</v>
      </c>
      <c r="EI43">
        <v>2.204083125</v>
      </c>
      <c r="EJ43">
        <v>438.5739375</v>
      </c>
      <c r="EK43">
        <v>428.4441875</v>
      </c>
      <c r="EL43">
        <v>17.6166125</v>
      </c>
      <c r="EM43">
        <v>420.0019375</v>
      </c>
      <c r="EN43">
        <v>19.7042375</v>
      </c>
      <c r="EO43">
        <v>3.388295625</v>
      </c>
      <c r="EP43">
        <v>1.788915</v>
      </c>
      <c r="EQ43">
        <v>26.07018125</v>
      </c>
      <c r="ER43">
        <v>15.6902625</v>
      </c>
      <c r="ES43">
        <v>0.00500016</v>
      </c>
      <c r="ET43">
        <v>0</v>
      </c>
      <c r="EU43">
        <v>0</v>
      </c>
      <c r="EV43">
        <v>0</v>
      </c>
      <c r="EW43">
        <v>1276.06875</v>
      </c>
      <c r="EX43">
        <v>0.00500016</v>
      </c>
      <c r="EY43">
        <v>44.24375</v>
      </c>
      <c r="EZ43">
        <v>0.6625</v>
      </c>
      <c r="FA43">
        <v>48.562</v>
      </c>
      <c r="FB43">
        <v>51.687</v>
      </c>
      <c r="FC43">
        <v>50.128875</v>
      </c>
      <c r="FD43">
        <v>52.125</v>
      </c>
      <c r="FE43">
        <v>52.5</v>
      </c>
      <c r="FF43">
        <v>0</v>
      </c>
      <c r="FG43">
        <v>0</v>
      </c>
      <c r="FH43">
        <v>0</v>
      </c>
      <c r="FI43">
        <v>118.600000143051</v>
      </c>
      <c r="FJ43">
        <v>0</v>
      </c>
      <c r="FK43">
        <v>1274.80384615385</v>
      </c>
      <c r="FL43">
        <v>8.12649594889712</v>
      </c>
      <c r="FM43">
        <v>10.6461535817251</v>
      </c>
      <c r="FN43">
        <v>45.8230769230769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2.22691428571429</v>
      </c>
      <c r="GD43">
        <v>-0.406838181818182</v>
      </c>
      <c r="GE43">
        <v>0.0808476172497742</v>
      </c>
      <c r="GF43">
        <v>1</v>
      </c>
      <c r="GG43">
        <v>1273.69117647059</v>
      </c>
      <c r="GH43">
        <v>26.9228419551354</v>
      </c>
      <c r="GI43">
        <v>5.67778786910054</v>
      </c>
      <c r="GJ43">
        <v>-1</v>
      </c>
      <c r="GK43">
        <v>17.5943714285714</v>
      </c>
      <c r="GL43">
        <v>0.522249350649368</v>
      </c>
      <c r="GM43">
        <v>0.052774905137242</v>
      </c>
      <c r="GN43">
        <v>0</v>
      </c>
      <c r="GO43">
        <v>1</v>
      </c>
      <c r="GP43">
        <v>2</v>
      </c>
      <c r="GQ43" t="s">
        <v>441</v>
      </c>
      <c r="GR43">
        <v>3.12342</v>
      </c>
      <c r="GS43">
        <v>2.7255</v>
      </c>
      <c r="GT43">
        <v>0.0859834</v>
      </c>
      <c r="GU43">
        <v>0.0868145</v>
      </c>
      <c r="GV43">
        <v>0.134842</v>
      </c>
      <c r="GW43">
        <v>0.0858978</v>
      </c>
      <c r="GX43">
        <v>22574.3</v>
      </c>
      <c r="GY43">
        <v>21513.1</v>
      </c>
      <c r="GZ43">
        <v>22148.3</v>
      </c>
      <c r="HA43">
        <v>23007</v>
      </c>
      <c r="HB43">
        <v>32833.5</v>
      </c>
      <c r="HC43">
        <v>34887.4</v>
      </c>
      <c r="HD43">
        <v>40112.7</v>
      </c>
      <c r="HE43">
        <v>41138.6</v>
      </c>
      <c r="HF43">
        <v>1.76383</v>
      </c>
      <c r="HG43">
        <v>2.10527</v>
      </c>
      <c r="HH43">
        <v>0.142701</v>
      </c>
      <c r="HI43">
        <v>0</v>
      </c>
      <c r="HJ43">
        <v>45.6117</v>
      </c>
      <c r="HK43">
        <v>999.9</v>
      </c>
      <c r="HL43">
        <v>49.249</v>
      </c>
      <c r="HM43">
        <v>27.724</v>
      </c>
      <c r="HN43">
        <v>20.2581</v>
      </c>
      <c r="HO43">
        <v>58.3192</v>
      </c>
      <c r="HP43">
        <v>29.0184</v>
      </c>
      <c r="HQ43">
        <v>2</v>
      </c>
      <c r="HR43">
        <v>1.35575</v>
      </c>
      <c r="HS43">
        <v>-6.66667</v>
      </c>
      <c r="HT43">
        <v>20.1077</v>
      </c>
      <c r="HU43">
        <v>5.23316</v>
      </c>
      <c r="HV43">
        <v>11.998</v>
      </c>
      <c r="HW43">
        <v>4.95365</v>
      </c>
      <c r="HX43">
        <v>3.304</v>
      </c>
      <c r="HY43">
        <v>9999</v>
      </c>
      <c r="HZ43">
        <v>9999</v>
      </c>
      <c r="IA43">
        <v>9999</v>
      </c>
      <c r="IB43">
        <v>999.9</v>
      </c>
      <c r="IC43">
        <v>1.86846</v>
      </c>
      <c r="ID43">
        <v>1.86417</v>
      </c>
      <c r="IE43">
        <v>1.8718</v>
      </c>
      <c r="IF43">
        <v>1.86264</v>
      </c>
      <c r="IG43">
        <v>1.86203</v>
      </c>
      <c r="IH43">
        <v>1.86857</v>
      </c>
      <c r="II43">
        <v>1.85867</v>
      </c>
      <c r="IJ43">
        <v>1.86508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8.505</v>
      </c>
      <c r="IY43">
        <v>0.3287</v>
      </c>
      <c r="IZ43">
        <v>5.68464161616582</v>
      </c>
      <c r="JA43">
        <v>0.0084032629040739</v>
      </c>
      <c r="JB43">
        <v>-4.27142149824345e-06</v>
      </c>
      <c r="JC43">
        <v>1.06016907176734e-09</v>
      </c>
      <c r="JD43">
        <v>0.328744801655011</v>
      </c>
      <c r="JE43">
        <v>0</v>
      </c>
      <c r="JF43">
        <v>0</v>
      </c>
      <c r="JG43">
        <v>0</v>
      </c>
      <c r="JH43">
        <v>-1</v>
      </c>
      <c r="JI43">
        <v>2195</v>
      </c>
      <c r="JJ43">
        <v>1</v>
      </c>
      <c r="JK43">
        <v>22</v>
      </c>
      <c r="JL43">
        <v>29369954.7</v>
      </c>
      <c r="JM43">
        <v>29369954.7</v>
      </c>
      <c r="JN43">
        <v>1.30493</v>
      </c>
      <c r="JO43">
        <v>2.36572</v>
      </c>
      <c r="JP43">
        <v>2.09839</v>
      </c>
      <c r="JQ43">
        <v>2.64893</v>
      </c>
      <c r="JR43">
        <v>2.24365</v>
      </c>
      <c r="JS43">
        <v>2.36816</v>
      </c>
      <c r="JT43">
        <v>34.715</v>
      </c>
      <c r="JU43">
        <v>24.2276</v>
      </c>
      <c r="JV43">
        <v>18</v>
      </c>
      <c r="JW43">
        <v>564.89</v>
      </c>
      <c r="JX43">
        <v>804.237</v>
      </c>
      <c r="JY43">
        <v>62.9629</v>
      </c>
      <c r="JZ43">
        <v>44.0377</v>
      </c>
      <c r="KA43">
        <v>30.0001</v>
      </c>
      <c r="KB43">
        <v>43.016</v>
      </c>
      <c r="KC43">
        <v>43.0953</v>
      </c>
      <c r="KD43">
        <v>26.1672</v>
      </c>
      <c r="KE43">
        <v>0</v>
      </c>
      <c r="KF43">
        <v>100</v>
      </c>
      <c r="KG43">
        <v>63.0891</v>
      </c>
      <c r="KH43">
        <v>420</v>
      </c>
      <c r="KI43">
        <v>21.8788</v>
      </c>
      <c r="KJ43">
        <v>89.7567</v>
      </c>
      <c r="KK43">
        <v>95.7838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2025-11-02T13:18:32Z</dcterms:created>
  <dcterms:modified xsi:type="dcterms:W3CDTF">2025-11-02T13:18:32Z</dcterms:modified>
</cp:coreProperties>
</file>