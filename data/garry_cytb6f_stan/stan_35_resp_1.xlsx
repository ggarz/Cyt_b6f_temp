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<sst xmlns="http://schemas.openxmlformats.org/spreadsheetml/2006/main" count="955" uniqueCount="452">
  <si>
    <t>File opened</t>
  </si>
  <si>
    <t>2025-10-17 15:28:36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</si>
  <si>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</si>
  <si>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</si>
  <si>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</si>
  <si>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</si>
  <si>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</si>
  <si>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</si>
  <si>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</si>
  <si>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</si>
  <si>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</si>
  <si>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</si>
  <si>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</si>
  <si>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</si>
  <si>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</si>
  <si>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</si>
  <si>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</si>
  <si>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Fri Oct 17 15:00</t>
  </si>
  <si>
    <t>H2O rangematch</t>
  </si>
  <si>
    <t>Fri Oct 17 15:07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</si>
  <si>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</si>
  <si>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</si>
  <si>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</si>
  <si>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</si>
  <si>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</si>
  <si>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</si>
  <si>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</si>
  <si>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</si>
  <si>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</si>
  <si>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15:28:36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</si>
  <si>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</si>
  <si>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</si>
  <si>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</si>
  <si>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</si>
  <si>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</si>
  <si>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</si>
  <si>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</si>
  <si>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</si>
  <si>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</si>
  <si>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</si>
  <si>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</si>
  <si>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</si>
  <si>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</si>
  <si>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</si>
  <si>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</si>
  <si>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</si>
  <si>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</si>
  <si>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</si>
  <si>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</si>
  <si>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</si>
  <si>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</si>
  <si>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</si>
  <si>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</si>
  <si>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</si>
  <si>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</si>
  <si>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</si>
  <si>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</si>
  <si>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</si>
  <si>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</si>
  <si>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</si>
  <si>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</si>
  <si>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</si>
  <si>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</si>
  <si>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</si>
  <si>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</si>
  <si>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</si>
  <si>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</si>
  <si>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</si>
  <si>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</si>
  <si>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</si>
  <si>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</si>
  <si>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</si>
  <si>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</si>
  <si>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</si>
  <si>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</si>
  <si>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</si>
  <si>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</si>
  <si>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</si>
  <si>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</si>
  <si>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</si>
  <si>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</si>
  <si>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</si>
  <si>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-0.115521 174.711 344.832 610.822 853.742 1065.75 1261.56 1421.97</t>
  </si>
  <si>
    <t>Fs_true</t>
  </si>
  <si>
    <t>-1.13064 214.059 385.109 609.236 801.356 1003.28 1200.95 1400.67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</si>
  <si>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</si>
  <si>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</si>
  <si>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</si>
  <si>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</si>
  <si>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</si>
  <si>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</si>
  <si>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</si>
  <si>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</si>
  <si>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</si>
  <si>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</si>
  <si>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</si>
  <si>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</si>
  <si>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</si>
  <si>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</si>
  <si>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</si>
  <si>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</si>
  <si>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</si>
  <si>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</si>
  <si>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</si>
  <si>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</si>
  <si>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</si>
  <si>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</si>
  <si>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</si>
  <si>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</si>
  <si>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</si>
  <si>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</si>
  <si>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</si>
  <si>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</si>
  <si>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</si>
  <si>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</si>
  <si>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</si>
  <si>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</si>
  <si>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</si>
  <si>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</si>
  <si>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</si>
  <si>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</si>
  <si>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</si>
  <si>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</si>
  <si>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</si>
  <si>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</si>
  <si>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</si>
  <si>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</si>
  <si>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</si>
  <si>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</si>
  <si>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</si>
  <si>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</si>
  <si>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</si>
  <si>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</si>
  <si>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</si>
  <si>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</si>
  <si>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</si>
  <si>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</si>
  <si>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</si>
  <si>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</si>
  <si>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</si>
  <si>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</si>
  <si>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</si>
  <si>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</si>
  <si>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</si>
  <si>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</si>
  <si>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</si>
  <si>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</si>
  <si>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</si>
  <si>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</si>
  <si>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</si>
  <si>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</si>
  <si>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</si>
  <si>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</si>
  <si>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</si>
  <si>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</si>
  <si>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</si>
  <si>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</si>
  <si>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</si>
  <si>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</si>
  <si>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</si>
  <si>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</si>
  <si>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</si>
  <si>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</si>
  <si>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</si>
  <si>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</si>
  <si>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</si>
  <si>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</si>
  <si>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</si>
  <si>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</si>
  <si>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</si>
  <si>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</si>
  <si>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</si>
  <si>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</si>
  <si>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</si>
  <si>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</si>
  <si>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</si>
  <si>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</si>
  <si>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</si>
  <si>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</si>
  <si>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</si>
  <si>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</si>
  <si>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</si>
  <si>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</si>
  <si>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</si>
  <si>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</si>
  <si>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</si>
  <si>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</si>
  <si>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</si>
  <si>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</si>
  <si>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</si>
  <si>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</si>
  <si>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</si>
  <si>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</si>
  <si>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</si>
  <si>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</si>
  <si>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</si>
  <si>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</si>
  <si>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</si>
  <si>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</si>
  <si>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</si>
  <si>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</si>
  <si>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</si>
  <si>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</si>
  <si>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</si>
  <si>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</si>
  <si>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</si>
  <si>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</si>
  <si>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</si>
  <si>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</si>
  <si>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</si>
  <si>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</si>
  <si>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</si>
  <si>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</si>
  <si>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</si>
  <si>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</si>
  <si>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</si>
  <si>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</si>
  <si>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</si>
  <si>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</si>
  <si>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</si>
  <si>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</si>
  <si>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</si>
  <si>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</si>
  <si>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</si>
  <si>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</si>
  <si>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</si>
  <si>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</si>
  <si>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</si>
  <si>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</si>
  <si>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</si>
  <si>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</si>
  <si>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</si>
  <si>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</si>
  <si>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</si>
  <si>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</si>
  <si>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</si>
  <si>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</si>
  <si>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</si>
  <si>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</si>
  <si>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</si>
  <si>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</si>
  <si>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</si>
  <si>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</si>
  <si>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</si>
  <si>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</si>
  <si>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</si>
  <si>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</si>
  <si>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</si>
  <si>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</si>
  <si>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</si>
  <si>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</si>
  <si>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</si>
  <si>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</si>
  <si>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</si>
  <si>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</si>
  <si>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</si>
  <si>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</si>
  <si>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</si>
  <si>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</si>
  <si>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</si>
  <si>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</si>
  <si>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</si>
  <si>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</si>
  <si>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</si>
  <si>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</si>
  <si>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</si>
  <si>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</si>
  <si>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</si>
  <si>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</si>
  <si>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</si>
  <si>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</si>
  <si>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</si>
  <si>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</si>
  <si>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</si>
  <si>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</si>
  <si>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</si>
  <si>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</si>
  <si>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</si>
  <si>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</si>
  <si>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</si>
  <si>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</si>
  <si>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</si>
  <si>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</si>
  <si>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</si>
  <si>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</si>
  <si>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</si>
  <si>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</si>
  <si>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</si>
  <si>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</si>
  <si>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</si>
  <si>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</si>
  <si>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</si>
  <si>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</si>
  <si>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</si>
  <si>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</si>
  <si>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</si>
  <si>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</si>
  <si>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</si>
  <si>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</si>
  <si>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</si>
  <si>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</si>
  <si>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</si>
  <si>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</si>
  <si>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</si>
  <si>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</si>
  <si>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</si>
  <si>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</si>
  <si>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</si>
  <si>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</si>
  <si>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</si>
  <si>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</si>
  <si>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</si>
  <si>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</si>
  <si>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</si>
  <si>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</si>
  <si>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</si>
  <si>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</si>
  <si>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</si>
  <si>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</si>
  <si>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</si>
  <si>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</si>
  <si>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</si>
  <si>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</si>
  <si>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</si>
  <si>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</si>
  <si>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</si>
  <si>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</si>
  <si>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</si>
  <si>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</si>
  <si>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</si>
  <si>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</si>
  <si>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</si>
  <si>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</si>
  <si>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</si>
  <si>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</si>
  <si>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</si>
  <si>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</si>
  <si>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</si>
  <si>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</si>
  <si>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</si>
  <si>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</si>
  <si>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</si>
  <si>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</si>
  <si>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</si>
  <si>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</si>
  <si>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</si>
  <si>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</si>
  <si>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</si>
  <si>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</si>
  <si>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</si>
  <si>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</si>
  <si>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</si>
  <si>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</si>
  <si>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</si>
  <si>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</si>
  <si>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</si>
  <si>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</si>
  <si>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</si>
  <si>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</si>
  <si>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</si>
  <si>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</si>
  <si>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</si>
  <si>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</si>
  <si>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</si>
  <si>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</si>
  <si>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</si>
  <si>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</si>
  <si>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</si>
  <si>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</si>
  <si>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</si>
  <si>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</si>
  <si>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</si>
  <si>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</si>
  <si>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</si>
  <si>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</si>
  <si>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</si>
  <si>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</si>
  <si>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</si>
  <si>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</si>
  <si>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</si>
  <si>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</si>
  <si>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</si>
  <si>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</si>
  <si>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</si>
  <si>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</si>
  <si>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</si>
  <si>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</si>
  <si>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</si>
  <si>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</si>
  <si>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</si>
  <si>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</si>
  <si>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</si>
  <si>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</si>
  <si>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</si>
  <si>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</si>
  <si>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</si>
  <si>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</si>
  <si>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</si>
  <si>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</si>
  <si>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</si>
  <si>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</si>
  <si>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</si>
  <si>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</si>
  <si>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</si>
  <si>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</si>
  <si>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</si>
  <si>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</si>
  <si>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</si>
  <si>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</si>
  <si>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</si>
  <si>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</si>
  <si>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</si>
  <si>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</si>
  <si>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</si>
  <si>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</si>
  <si>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</si>
  <si>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</si>
  <si>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</si>
  <si>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</si>
  <si>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</si>
  <si>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</si>
  <si>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</si>
  <si>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</si>
  <si>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</si>
  <si>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</si>
  <si>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</si>
  <si>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</si>
  <si>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</si>
  <si>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</si>
  <si>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</si>
  <si>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</si>
  <si>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</si>
  <si>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</si>
  <si>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20251017 16:17:13</t>
  </si>
  <si>
    <t>16:17:13</t>
  </si>
  <si>
    <t>gg_28</t>
  </si>
  <si>
    <t>stan</t>
  </si>
  <si>
    <t>RECT-1671-20251017-16_16_36</t>
  </si>
  <si>
    <t>-</t>
  </si>
  <si>
    <t>0: Broadleaf</t>
  </si>
  <si>
    <t>--:--:--</t>
  </si>
  <si>
    <t>1/3</t>
  </si>
  <si>
    <t>11111111</t>
  </si>
  <si>
    <t>oooooooo</t>
  </si>
  <si>
    <t>on</t>
  </si>
  <si>
    <t>20251017 16:18:49</t>
  </si>
  <si>
    <t>16:18:49</t>
  </si>
  <si>
    <t>RECT-1672-20251017-16_18_13</t>
  </si>
  <si>
    <t>2/3</t>
  </si>
  <si>
    <t>20251017 16:21:04</t>
  </si>
  <si>
    <t>16:21:04</t>
  </si>
  <si>
    <t>RECT-1673-20251017-16_20_28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</si>
</sst>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9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1760735833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1760735825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428.050225664372</v>
      </c>
      <c r="AK17">
        <v>428.1538121212121</v>
      </c>
      <c r="AL17">
        <v>-0.001914683876820395</v>
      </c>
      <c r="AM17">
        <v>64.84059604213506</v>
      </c>
      <c r="AN17">
        <f>(AP17 - AO17 + DY17*1E3/(8.314*(EA17+273.15)) * AR17/DX17 * AQ17) * DX17/(100*DL17) * 1000/(1000 - AP17)</f>
        <v>0</v>
      </c>
      <c r="AO17">
        <v>18.84238470937217</v>
      </c>
      <c r="AP17">
        <v>18.74455088235294</v>
      </c>
      <c r="AQ17">
        <v>0.0001142599135155794</v>
      </c>
      <c r="AR17">
        <v>105.5470077950729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5220.65</v>
      </c>
      <c r="AZ17">
        <v>564.8000000000001</v>
      </c>
      <c r="BA17">
        <v>2210.2</v>
      </c>
      <c r="BB17">
        <f>1-AZ17/BA17</f>
        <v>0</v>
      </c>
      <c r="BC17">
        <v>-0.09412036883859506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1760735825</v>
      </c>
      <c r="DR17">
        <v>420.1765161290322</v>
      </c>
      <c r="DS17">
        <v>419.998129032258</v>
      </c>
      <c r="DT17">
        <v>18.73706129032258</v>
      </c>
      <c r="DU17">
        <v>18.84472903225806</v>
      </c>
      <c r="DV17">
        <v>423.093935483871</v>
      </c>
      <c r="DW17">
        <v>18.63557741935484</v>
      </c>
      <c r="DX17">
        <v>600.0043870967742</v>
      </c>
      <c r="DY17">
        <v>89.79314516129031</v>
      </c>
      <c r="DZ17">
        <v>0.1000045290322581</v>
      </c>
      <c r="EA17">
        <v>18.62488064516129</v>
      </c>
      <c r="EB17">
        <v>17.99748387096774</v>
      </c>
      <c r="EC17">
        <v>999.9000000000003</v>
      </c>
      <c r="ED17">
        <v>0</v>
      </c>
      <c r="EE17">
        <v>0</v>
      </c>
      <c r="EF17">
        <v>10001.42419354839</v>
      </c>
      <c r="EG17">
        <v>0</v>
      </c>
      <c r="EH17">
        <v>0.2789981935483871</v>
      </c>
      <c r="EI17">
        <v>0.1783162258064516</v>
      </c>
      <c r="EJ17">
        <v>428.1997419354838</v>
      </c>
      <c r="EK17">
        <v>428.0649032258065</v>
      </c>
      <c r="EL17">
        <v>-0.1076740838709677</v>
      </c>
      <c r="EM17">
        <v>419.998129032258</v>
      </c>
      <c r="EN17">
        <v>18.84472903225806</v>
      </c>
      <c r="EO17">
        <v>1.682459677419355</v>
      </c>
      <c r="EP17">
        <v>1.692128709677419</v>
      </c>
      <c r="EQ17">
        <v>14.73553225806452</v>
      </c>
      <c r="ER17">
        <v>14.8244</v>
      </c>
      <c r="ES17">
        <v>0.005000969999999999</v>
      </c>
      <c r="ET17">
        <v>0</v>
      </c>
      <c r="EU17">
        <v>0</v>
      </c>
      <c r="EV17">
        <v>0</v>
      </c>
      <c r="EW17">
        <v>564.858064516129</v>
      </c>
      <c r="EX17">
        <v>0.005000969999999999</v>
      </c>
      <c r="EY17">
        <v>-4.012903225806451</v>
      </c>
      <c r="EZ17">
        <v>-1.167741935483871</v>
      </c>
      <c r="FA17">
        <v>33.83841935483871</v>
      </c>
      <c r="FB17">
        <v>37.93525806451613</v>
      </c>
      <c r="FC17">
        <v>36.12274193548386</v>
      </c>
      <c r="FD17">
        <v>38.22958064516128</v>
      </c>
      <c r="FE17">
        <v>35.26996774193548</v>
      </c>
      <c r="FF17">
        <v>0</v>
      </c>
      <c r="FG17">
        <v>0</v>
      </c>
      <c r="FH17">
        <v>0</v>
      </c>
      <c r="FI17">
        <v>1760735839</v>
      </c>
      <c r="FJ17">
        <v>0</v>
      </c>
      <c r="FK17">
        <v>564.8000000000001</v>
      </c>
      <c r="FL17">
        <v>-10.66153850414586</v>
      </c>
      <c r="FM17">
        <v>-39.3076923061405</v>
      </c>
      <c r="FN17">
        <v>-3.664</v>
      </c>
      <c r="FO17">
        <v>15</v>
      </c>
      <c r="FP17">
        <v>0</v>
      </c>
      <c r="FQ17" t="s">
        <v>440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0.179002</v>
      </c>
      <c r="GD17">
        <v>-0.01073084320557468</v>
      </c>
      <c r="GE17">
        <v>0.02609994666848117</v>
      </c>
      <c r="GF17">
        <v>1</v>
      </c>
      <c r="GG17">
        <v>566.4529411764706</v>
      </c>
      <c r="GH17">
        <v>-21.52177242735107</v>
      </c>
      <c r="GI17">
        <v>7.386005658322702</v>
      </c>
      <c r="GJ17">
        <v>0</v>
      </c>
      <c r="GK17">
        <v>-0.1167381512195122</v>
      </c>
      <c r="GL17">
        <v>0.1405405045296168</v>
      </c>
      <c r="GM17">
        <v>0.01467127787883892</v>
      </c>
      <c r="GN17">
        <v>0</v>
      </c>
      <c r="GO17">
        <v>1</v>
      </c>
      <c r="GP17">
        <v>3</v>
      </c>
      <c r="GQ17" t="s">
        <v>441</v>
      </c>
      <c r="GR17">
        <v>3.25315</v>
      </c>
      <c r="GS17">
        <v>2.76128</v>
      </c>
      <c r="GT17">
        <v>0.09510250000000001</v>
      </c>
      <c r="GU17">
        <v>0.09369189999999999</v>
      </c>
      <c r="GV17">
        <v>0.0897978</v>
      </c>
      <c r="GW17">
        <v>0.0891337</v>
      </c>
      <c r="GX17">
        <v>29133.6</v>
      </c>
      <c r="GY17">
        <v>29133.5</v>
      </c>
      <c r="GZ17">
        <v>29893.9</v>
      </c>
      <c r="HA17">
        <v>29682.3</v>
      </c>
      <c r="HB17">
        <v>35966.4</v>
      </c>
      <c r="HC17">
        <v>35797.1</v>
      </c>
      <c r="HD17">
        <v>42090</v>
      </c>
      <c r="HE17">
        <v>42149</v>
      </c>
      <c r="HF17">
        <v>2.16505</v>
      </c>
      <c r="HG17">
        <v>2.31585</v>
      </c>
      <c r="HH17">
        <v>-0.000543892</v>
      </c>
      <c r="HI17">
        <v>0</v>
      </c>
      <c r="HJ17">
        <v>18.0009</v>
      </c>
      <c r="HK17">
        <v>999.9</v>
      </c>
      <c r="HL17">
        <v>48.8</v>
      </c>
      <c r="HM17">
        <v>29.5</v>
      </c>
      <c r="HN17">
        <v>22.4939</v>
      </c>
      <c r="HO17">
        <v>62.2946</v>
      </c>
      <c r="HP17">
        <v>25.9936</v>
      </c>
      <c r="HQ17">
        <v>2</v>
      </c>
      <c r="HR17">
        <v>-0.328402</v>
      </c>
      <c r="HS17">
        <v>2.2238</v>
      </c>
      <c r="HT17">
        <v>20.3485</v>
      </c>
      <c r="HU17">
        <v>5.22807</v>
      </c>
      <c r="HV17">
        <v>12.0107</v>
      </c>
      <c r="HW17">
        <v>4.9932</v>
      </c>
      <c r="HX17">
        <v>3.2899</v>
      </c>
      <c r="HY17">
        <v>9999</v>
      </c>
      <c r="HZ17">
        <v>9999</v>
      </c>
      <c r="IA17">
        <v>9999</v>
      </c>
      <c r="IB17">
        <v>999.9</v>
      </c>
      <c r="IC17">
        <v>4.9729</v>
      </c>
      <c r="ID17">
        <v>1.86661</v>
      </c>
      <c r="IE17">
        <v>1.86584</v>
      </c>
      <c r="IF17">
        <v>1.86585</v>
      </c>
      <c r="IG17">
        <v>1.86773</v>
      </c>
      <c r="IH17">
        <v>1.87018</v>
      </c>
      <c r="II17">
        <v>1.86877</v>
      </c>
      <c r="IJ17">
        <v>1.87029</v>
      </c>
      <c r="IK17">
        <v>0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-2.917</v>
      </c>
      <c r="IY17">
        <v>0.1015</v>
      </c>
      <c r="IZ17">
        <v>-1.58974136829272</v>
      </c>
      <c r="JA17">
        <v>-0.003289531715389862</v>
      </c>
      <c r="JB17">
        <v>4.076661319499327E-07</v>
      </c>
      <c r="JC17">
        <v>-1.180128542774187E-10</v>
      </c>
      <c r="JD17">
        <v>-0.06844034509449617</v>
      </c>
      <c r="JE17">
        <v>-0.006348996921999588</v>
      </c>
      <c r="JF17">
        <v>0.001527539521484983</v>
      </c>
      <c r="JG17">
        <v>-3.743154164184307E-05</v>
      </c>
      <c r="JH17">
        <v>2</v>
      </c>
      <c r="JI17">
        <v>2334</v>
      </c>
      <c r="JJ17">
        <v>1</v>
      </c>
      <c r="JK17">
        <v>22</v>
      </c>
      <c r="JL17">
        <v>8748.6</v>
      </c>
      <c r="JM17">
        <v>29345597.2</v>
      </c>
      <c r="JN17">
        <v>1.29883</v>
      </c>
      <c r="JO17">
        <v>2.24976</v>
      </c>
      <c r="JP17">
        <v>1.94702</v>
      </c>
      <c r="JQ17">
        <v>2.65503</v>
      </c>
      <c r="JR17">
        <v>2.19482</v>
      </c>
      <c r="JS17">
        <v>2.62817</v>
      </c>
      <c r="JT17">
        <v>35.1978</v>
      </c>
      <c r="JU17">
        <v>24.0787</v>
      </c>
      <c r="JV17">
        <v>18</v>
      </c>
      <c r="JW17">
        <v>600.211</v>
      </c>
      <c r="JX17">
        <v>721.163</v>
      </c>
      <c r="JY17">
        <v>15.6564</v>
      </c>
      <c r="JZ17">
        <v>23.206</v>
      </c>
      <c r="KA17">
        <v>30.0002</v>
      </c>
      <c r="KB17">
        <v>23.0564</v>
      </c>
      <c r="KC17">
        <v>22.9808</v>
      </c>
      <c r="KD17">
        <v>25.9906</v>
      </c>
      <c r="KE17">
        <v>21.9664</v>
      </c>
      <c r="KF17">
        <v>81.19159999999999</v>
      </c>
      <c r="KG17">
        <v>15.6634</v>
      </c>
      <c r="KH17">
        <v>420</v>
      </c>
      <c r="KI17">
        <v>18.841</v>
      </c>
      <c r="KJ17">
        <v>102.202</v>
      </c>
      <c r="KK17">
        <v>101.375</v>
      </c>
    </row>
    <row r="18" spans="1:297">
      <c r="A18">
        <v>2</v>
      </c>
      <c r="B18">
        <v>1760735929.5</v>
      </c>
      <c r="C18">
        <v>96.5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1760735921.75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428.1554094641164</v>
      </c>
      <c r="AK18">
        <v>428.2590848484846</v>
      </c>
      <c r="AL18">
        <v>0.001865827351711829</v>
      </c>
      <c r="AM18">
        <v>64.84059604213506</v>
      </c>
      <c r="AN18">
        <f>(AP18 - AO18 + DY18*1E3/(8.314*(EA18+273.15)) * AR18/DX18 * AQ18) * DX18/(100*DL18) * 1000/(1000 - AP18)</f>
        <v>0</v>
      </c>
      <c r="AO18">
        <v>19.10647436963296</v>
      </c>
      <c r="AP18">
        <v>19.11191264705882</v>
      </c>
      <c r="AQ18">
        <v>0.007812629346058175</v>
      </c>
      <c r="AR18">
        <v>105.5470077950729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5219.28</v>
      </c>
      <c r="AZ18">
        <v>639.25</v>
      </c>
      <c r="BA18">
        <v>2184.67</v>
      </c>
      <c r="BB18">
        <f>1-AZ18/BA18</f>
        <v>0</v>
      </c>
      <c r="BC18">
        <v>-0.109017872393367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1760735921.75</v>
      </c>
      <c r="DR18">
        <v>420.0723</v>
      </c>
      <c r="DS18">
        <v>419.9803333333333</v>
      </c>
      <c r="DT18">
        <v>19.06563666666666</v>
      </c>
      <c r="DU18">
        <v>19.09283666666667</v>
      </c>
      <c r="DV18">
        <v>422.9894666666667</v>
      </c>
      <c r="DW18">
        <v>18.96046</v>
      </c>
      <c r="DX18">
        <v>600.0026666666666</v>
      </c>
      <c r="DY18">
        <v>89.78610666666667</v>
      </c>
      <c r="DZ18">
        <v>0.09998881999999999</v>
      </c>
      <c r="EA18">
        <v>18.58905</v>
      </c>
      <c r="EB18">
        <v>17.96493333333333</v>
      </c>
      <c r="EC18">
        <v>999.9000000000002</v>
      </c>
      <c r="ED18">
        <v>0</v>
      </c>
      <c r="EE18">
        <v>0</v>
      </c>
      <c r="EF18">
        <v>10000.44666666667</v>
      </c>
      <c r="EG18">
        <v>0</v>
      </c>
      <c r="EH18">
        <v>0.281038</v>
      </c>
      <c r="EI18">
        <v>0.09212951999999998</v>
      </c>
      <c r="EJ18">
        <v>428.2370333333333</v>
      </c>
      <c r="EK18">
        <v>428.1549333333333</v>
      </c>
      <c r="EL18">
        <v>-0.02719898066666666</v>
      </c>
      <c r="EM18">
        <v>419.9803333333333</v>
      </c>
      <c r="EN18">
        <v>19.09283666666667</v>
      </c>
      <c r="EO18">
        <v>1.711829666666667</v>
      </c>
      <c r="EP18">
        <v>1.714271</v>
      </c>
      <c r="EQ18">
        <v>15.00410333333333</v>
      </c>
      <c r="ER18">
        <v>15.02626</v>
      </c>
      <c r="ES18">
        <v>0.005000969999999999</v>
      </c>
      <c r="ET18">
        <v>0</v>
      </c>
      <c r="EU18">
        <v>0</v>
      </c>
      <c r="EV18">
        <v>0</v>
      </c>
      <c r="EW18">
        <v>639.1933333333333</v>
      </c>
      <c r="EX18">
        <v>0.005000969999999999</v>
      </c>
      <c r="EY18">
        <v>-7.133333333333332</v>
      </c>
      <c r="EZ18">
        <v>-0.6566666666666667</v>
      </c>
      <c r="FA18">
        <v>34.125</v>
      </c>
      <c r="FB18">
        <v>39.3039</v>
      </c>
      <c r="FC18">
        <v>36.62289999999999</v>
      </c>
      <c r="FD18">
        <v>39.81856666666666</v>
      </c>
      <c r="FE18">
        <v>35.8936</v>
      </c>
      <c r="FF18">
        <v>0</v>
      </c>
      <c r="FG18">
        <v>0</v>
      </c>
      <c r="FH18">
        <v>0</v>
      </c>
      <c r="FI18">
        <v>95.79999995231628</v>
      </c>
      <c r="FJ18">
        <v>0</v>
      </c>
      <c r="FK18">
        <v>639.25</v>
      </c>
      <c r="FL18">
        <v>-52.44102593696802</v>
      </c>
      <c r="FM18">
        <v>-8.314529850542907</v>
      </c>
      <c r="FN18">
        <v>-6.546153846153846</v>
      </c>
      <c r="FO18">
        <v>15</v>
      </c>
      <c r="FP18">
        <v>0</v>
      </c>
      <c r="FQ18" t="s">
        <v>440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0.08562563658536587</v>
      </c>
      <c r="GD18">
        <v>-0.06023907595818824</v>
      </c>
      <c r="GE18">
        <v>0.03255607082497605</v>
      </c>
      <c r="GF18">
        <v>1</v>
      </c>
      <c r="GG18">
        <v>644.7647058823528</v>
      </c>
      <c r="GH18">
        <v>-79.1016044255349</v>
      </c>
      <c r="GI18">
        <v>10.92552010749956</v>
      </c>
      <c r="GJ18">
        <v>0</v>
      </c>
      <c r="GK18">
        <v>-0.02395708970731707</v>
      </c>
      <c r="GL18">
        <v>-0.01565453163763069</v>
      </c>
      <c r="GM18">
        <v>0.01533166966967673</v>
      </c>
      <c r="GN18">
        <v>1</v>
      </c>
      <c r="GO18">
        <v>2</v>
      </c>
      <c r="GP18">
        <v>3</v>
      </c>
      <c r="GQ18" t="s">
        <v>448</v>
      </c>
      <c r="GR18">
        <v>3.25333</v>
      </c>
      <c r="GS18">
        <v>2.76144</v>
      </c>
      <c r="GT18">
        <v>0.0950708</v>
      </c>
      <c r="GU18">
        <v>0.0936657</v>
      </c>
      <c r="GV18">
        <v>0.0910358</v>
      </c>
      <c r="GW18">
        <v>0.0901463</v>
      </c>
      <c r="GX18">
        <v>29132.5</v>
      </c>
      <c r="GY18">
        <v>29133.1</v>
      </c>
      <c r="GZ18">
        <v>29892.1</v>
      </c>
      <c r="HA18">
        <v>29681.3</v>
      </c>
      <c r="HB18">
        <v>35914.2</v>
      </c>
      <c r="HC18">
        <v>35755.3</v>
      </c>
      <c r="HD18">
        <v>42087.1</v>
      </c>
      <c r="HE18">
        <v>42147.7</v>
      </c>
      <c r="HF18">
        <v>2.1646</v>
      </c>
      <c r="HG18">
        <v>2.31545</v>
      </c>
      <c r="HH18">
        <v>0.00219792</v>
      </c>
      <c r="HI18">
        <v>0</v>
      </c>
      <c r="HJ18">
        <v>17.9334</v>
      </c>
      <c r="HK18">
        <v>999.9</v>
      </c>
      <c r="HL18">
        <v>48.8</v>
      </c>
      <c r="HM18">
        <v>29.5</v>
      </c>
      <c r="HN18">
        <v>22.5</v>
      </c>
      <c r="HO18">
        <v>62.1746</v>
      </c>
      <c r="HP18">
        <v>25.9816</v>
      </c>
      <c r="HQ18">
        <v>2</v>
      </c>
      <c r="HR18">
        <v>-0.326258</v>
      </c>
      <c r="HS18">
        <v>1.77113</v>
      </c>
      <c r="HT18">
        <v>20.3534</v>
      </c>
      <c r="HU18">
        <v>5.22627</v>
      </c>
      <c r="HV18">
        <v>12.0113</v>
      </c>
      <c r="HW18">
        <v>4.9925</v>
      </c>
      <c r="HX18">
        <v>3.28953</v>
      </c>
      <c r="HY18">
        <v>9999</v>
      </c>
      <c r="HZ18">
        <v>9999</v>
      </c>
      <c r="IA18">
        <v>9999</v>
      </c>
      <c r="IB18">
        <v>999.9</v>
      </c>
      <c r="IC18">
        <v>4.97292</v>
      </c>
      <c r="ID18">
        <v>1.86661</v>
      </c>
      <c r="IE18">
        <v>1.86584</v>
      </c>
      <c r="IF18">
        <v>1.86585</v>
      </c>
      <c r="IG18">
        <v>1.86771</v>
      </c>
      <c r="IH18">
        <v>1.87015</v>
      </c>
      <c r="II18">
        <v>1.86876</v>
      </c>
      <c r="IJ18">
        <v>1.8703</v>
      </c>
      <c r="IK18">
        <v>0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-2.917</v>
      </c>
      <c r="IY18">
        <v>0.1057</v>
      </c>
      <c r="IZ18">
        <v>-1.58974136829272</v>
      </c>
      <c r="JA18">
        <v>-0.003289531715389862</v>
      </c>
      <c r="JB18">
        <v>4.076661319499327E-07</v>
      </c>
      <c r="JC18">
        <v>-1.180128542774187E-10</v>
      </c>
      <c r="JD18">
        <v>-0.06844034509449617</v>
      </c>
      <c r="JE18">
        <v>-0.006348996921999588</v>
      </c>
      <c r="JF18">
        <v>0.001527539521484983</v>
      </c>
      <c r="JG18">
        <v>-3.743154164184307E-05</v>
      </c>
      <c r="JH18">
        <v>2</v>
      </c>
      <c r="JI18">
        <v>2334</v>
      </c>
      <c r="JJ18">
        <v>1</v>
      </c>
      <c r="JK18">
        <v>22</v>
      </c>
      <c r="JL18">
        <v>8750.200000000001</v>
      </c>
      <c r="JM18">
        <v>29345598.8</v>
      </c>
      <c r="JN18">
        <v>1.29883</v>
      </c>
      <c r="JO18">
        <v>2.24854</v>
      </c>
      <c r="JP18">
        <v>1.94702</v>
      </c>
      <c r="JQ18">
        <v>2.65625</v>
      </c>
      <c r="JR18">
        <v>2.19482</v>
      </c>
      <c r="JS18">
        <v>2.62695</v>
      </c>
      <c r="JT18">
        <v>35.1747</v>
      </c>
      <c r="JU18">
        <v>24.0875</v>
      </c>
      <c r="JV18">
        <v>18</v>
      </c>
      <c r="JW18">
        <v>600.369</v>
      </c>
      <c r="JX18">
        <v>721.347</v>
      </c>
      <c r="JY18">
        <v>15.9952</v>
      </c>
      <c r="JZ18">
        <v>23.261</v>
      </c>
      <c r="KA18">
        <v>30.0001</v>
      </c>
      <c r="KB18">
        <v>23.0991</v>
      </c>
      <c r="KC18">
        <v>23.0194</v>
      </c>
      <c r="KD18">
        <v>25.9992</v>
      </c>
      <c r="KE18">
        <v>20.6133</v>
      </c>
      <c r="KF18">
        <v>82.151</v>
      </c>
      <c r="KG18">
        <v>16.0034</v>
      </c>
      <c r="KH18">
        <v>420</v>
      </c>
      <c r="KI18">
        <v>19.254</v>
      </c>
      <c r="KJ18">
        <v>102.195</v>
      </c>
      <c r="KK18">
        <v>101.372</v>
      </c>
    </row>
    <row r="19" spans="1:297">
      <c r="A19">
        <v>3</v>
      </c>
      <c r="B19">
        <v>1760736064.5</v>
      </c>
      <c r="C19">
        <v>231.5</v>
      </c>
      <c r="D19" t="s">
        <v>449</v>
      </c>
      <c r="E19" t="s">
        <v>450</v>
      </c>
      <c r="F19">
        <v>5</v>
      </c>
      <c r="G19" t="s">
        <v>435</v>
      </c>
      <c r="H19" t="s">
        <v>436</v>
      </c>
      <c r="I19">
        <v>1760736056.75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428.2508397618036</v>
      </c>
      <c r="AK19">
        <v>428.3731090909089</v>
      </c>
      <c r="AL19">
        <v>4.562262838180107E-05</v>
      </c>
      <c r="AM19">
        <v>64.84059604213506</v>
      </c>
      <c r="AN19">
        <f>(AP19 - AO19 + DY19*1E3/(8.314*(EA19+273.15)) * AR19/DX19 * AQ19) * DX19/(100*DL19) * 1000/(1000 - AP19)</f>
        <v>0</v>
      </c>
      <c r="AO19">
        <v>19.22469238000258</v>
      </c>
      <c r="AP19">
        <v>19.18975294117647</v>
      </c>
      <c r="AQ19">
        <v>-1.389490127574749E-05</v>
      </c>
      <c r="AR19">
        <v>105.5470077950729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451</v>
      </c>
      <c r="AY19">
        <v>5217.86</v>
      </c>
      <c r="AZ19">
        <v>611.8076923076923</v>
      </c>
      <c r="BA19">
        <v>2157.84</v>
      </c>
      <c r="BB19">
        <f>1-AZ19/BA19</f>
        <v>0</v>
      </c>
      <c r="BC19">
        <v>-0.1200988836339544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1760736056.75</v>
      </c>
      <c r="DR19">
        <v>420.1316666666667</v>
      </c>
      <c r="DS19">
        <v>420.0004666666667</v>
      </c>
      <c r="DT19">
        <v>19.19184666666667</v>
      </c>
      <c r="DU19">
        <v>19.22217</v>
      </c>
      <c r="DV19">
        <v>423.0489999999999</v>
      </c>
      <c r="DW19">
        <v>19.08526666666667</v>
      </c>
      <c r="DX19">
        <v>600.0043000000001</v>
      </c>
      <c r="DY19">
        <v>89.79808999999999</v>
      </c>
      <c r="DZ19">
        <v>0.1000262666666667</v>
      </c>
      <c r="EA19">
        <v>18.66438333333333</v>
      </c>
      <c r="EB19">
        <v>18.00608</v>
      </c>
      <c r="EC19">
        <v>999.9000000000002</v>
      </c>
      <c r="ED19">
        <v>0</v>
      </c>
      <c r="EE19">
        <v>0</v>
      </c>
      <c r="EF19">
        <v>9994.624</v>
      </c>
      <c r="EG19">
        <v>0</v>
      </c>
      <c r="EH19">
        <v>0.281038</v>
      </c>
      <c r="EI19">
        <v>0.1311157</v>
      </c>
      <c r="EJ19">
        <v>428.3526333333333</v>
      </c>
      <c r="EK19">
        <v>428.2321666666667</v>
      </c>
      <c r="EL19">
        <v>-0.03033084333333334</v>
      </c>
      <c r="EM19">
        <v>420.0004666666667</v>
      </c>
      <c r="EN19">
        <v>19.22217</v>
      </c>
      <c r="EO19">
        <v>1.723390666666667</v>
      </c>
      <c r="EP19">
        <v>1.726114333333334</v>
      </c>
      <c r="EQ19">
        <v>15.10873666666667</v>
      </c>
      <c r="ER19">
        <v>15.13329</v>
      </c>
      <c r="ES19">
        <v>0.005000969999999999</v>
      </c>
      <c r="ET19">
        <v>0</v>
      </c>
      <c r="EU19">
        <v>0</v>
      </c>
      <c r="EV19">
        <v>0</v>
      </c>
      <c r="EW19">
        <v>611.5033333333334</v>
      </c>
      <c r="EX19">
        <v>0.005000969999999999</v>
      </c>
      <c r="EY19">
        <v>-8.276666666666666</v>
      </c>
      <c r="EZ19">
        <v>-1.816666666666667</v>
      </c>
      <c r="FA19">
        <v>34.44119999999999</v>
      </c>
      <c r="FB19">
        <v>40.07249999999999</v>
      </c>
      <c r="FC19">
        <v>37.06199999999999</v>
      </c>
      <c r="FD19">
        <v>41.15599999999998</v>
      </c>
      <c r="FE19">
        <v>36.3477</v>
      </c>
      <c r="FF19">
        <v>0</v>
      </c>
      <c r="FG19">
        <v>0</v>
      </c>
      <c r="FH19">
        <v>0</v>
      </c>
      <c r="FI19">
        <v>134.2000000476837</v>
      </c>
      <c r="FJ19">
        <v>0</v>
      </c>
      <c r="FK19">
        <v>611.8076923076923</v>
      </c>
      <c r="FL19">
        <v>-27.86324817990827</v>
      </c>
      <c r="FM19">
        <v>2.51282051215869</v>
      </c>
      <c r="FN19">
        <v>-8.549999999999999</v>
      </c>
      <c r="FO19">
        <v>15</v>
      </c>
      <c r="FP19">
        <v>0</v>
      </c>
      <c r="FQ19" t="s">
        <v>440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0.12064438</v>
      </c>
      <c r="GD19">
        <v>0.1383081028142588</v>
      </c>
      <c r="GE19">
        <v>0.02005477459222865</v>
      </c>
      <c r="GF19">
        <v>1</v>
      </c>
      <c r="GG19">
        <v>614.2352941176472</v>
      </c>
      <c r="GH19">
        <v>-41.03284972290123</v>
      </c>
      <c r="GI19">
        <v>8.279026738513668</v>
      </c>
      <c r="GJ19">
        <v>0</v>
      </c>
      <c r="GK19">
        <v>-0.0274928075</v>
      </c>
      <c r="GL19">
        <v>-0.0520745842401501</v>
      </c>
      <c r="GM19">
        <v>0.007674183530167477</v>
      </c>
      <c r="GN19">
        <v>1</v>
      </c>
      <c r="GO19">
        <v>2</v>
      </c>
      <c r="GP19">
        <v>3</v>
      </c>
      <c r="GQ19" t="s">
        <v>448</v>
      </c>
      <c r="GR19">
        <v>3.25342</v>
      </c>
      <c r="GS19">
        <v>2.76129</v>
      </c>
      <c r="GT19">
        <v>0.0950887</v>
      </c>
      <c r="GU19">
        <v>0.09368170000000001</v>
      </c>
      <c r="GV19">
        <v>0.0912939</v>
      </c>
      <c r="GW19">
        <v>0.0904536</v>
      </c>
      <c r="GX19">
        <v>29129.6</v>
      </c>
      <c r="GY19">
        <v>29130.3</v>
      </c>
      <c r="GZ19">
        <v>29889.9</v>
      </c>
      <c r="HA19">
        <v>29679.1</v>
      </c>
      <c r="HB19">
        <v>35900.5</v>
      </c>
      <c r="HC19">
        <v>35740.6</v>
      </c>
      <c r="HD19">
        <v>42083.2</v>
      </c>
      <c r="HE19">
        <v>42145</v>
      </c>
      <c r="HF19">
        <v>2.1641</v>
      </c>
      <c r="HG19">
        <v>2.31512</v>
      </c>
      <c r="HH19">
        <v>0.00398234</v>
      </c>
      <c r="HI19">
        <v>0</v>
      </c>
      <c r="HJ19">
        <v>17.9403</v>
      </c>
      <c r="HK19">
        <v>999.9</v>
      </c>
      <c r="HL19">
        <v>48.9</v>
      </c>
      <c r="HM19">
        <v>29.5</v>
      </c>
      <c r="HN19">
        <v>22.5439</v>
      </c>
      <c r="HO19">
        <v>62.2946</v>
      </c>
      <c r="HP19">
        <v>25.8894</v>
      </c>
      <c r="HQ19">
        <v>2</v>
      </c>
      <c r="HR19">
        <v>-0.322442</v>
      </c>
      <c r="HS19">
        <v>2.01885</v>
      </c>
      <c r="HT19">
        <v>20.3507</v>
      </c>
      <c r="HU19">
        <v>5.22852</v>
      </c>
      <c r="HV19">
        <v>12.0105</v>
      </c>
      <c r="HW19">
        <v>4.9933</v>
      </c>
      <c r="HX19">
        <v>3.29</v>
      </c>
      <c r="HY19">
        <v>9999</v>
      </c>
      <c r="HZ19">
        <v>9999</v>
      </c>
      <c r="IA19">
        <v>9999</v>
      </c>
      <c r="IB19">
        <v>999.9</v>
      </c>
      <c r="IC19">
        <v>4.97292</v>
      </c>
      <c r="ID19">
        <v>1.86661</v>
      </c>
      <c r="IE19">
        <v>1.86584</v>
      </c>
      <c r="IF19">
        <v>1.86584</v>
      </c>
      <c r="IG19">
        <v>1.86769</v>
      </c>
      <c r="IH19">
        <v>1.87014</v>
      </c>
      <c r="II19">
        <v>1.86876</v>
      </c>
      <c r="IJ19">
        <v>1.87027</v>
      </c>
      <c r="IK19">
        <v>0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-2.918</v>
      </c>
      <c r="IY19">
        <v>0.1065</v>
      </c>
      <c r="IZ19">
        <v>-1.58974136829272</v>
      </c>
      <c r="JA19">
        <v>-0.003289531715389862</v>
      </c>
      <c r="JB19">
        <v>4.076661319499327E-07</v>
      </c>
      <c r="JC19">
        <v>-1.180128542774187E-10</v>
      </c>
      <c r="JD19">
        <v>-0.06844034509449617</v>
      </c>
      <c r="JE19">
        <v>-0.006348996921999588</v>
      </c>
      <c r="JF19">
        <v>0.001527539521484983</v>
      </c>
      <c r="JG19">
        <v>-3.743154164184307E-05</v>
      </c>
      <c r="JH19">
        <v>2</v>
      </c>
      <c r="JI19">
        <v>2334</v>
      </c>
      <c r="JJ19">
        <v>1</v>
      </c>
      <c r="JK19">
        <v>22</v>
      </c>
      <c r="JL19">
        <v>8752.5</v>
      </c>
      <c r="JM19">
        <v>29345601.1</v>
      </c>
      <c r="JN19">
        <v>1.29883</v>
      </c>
      <c r="JO19">
        <v>2.24976</v>
      </c>
      <c r="JP19">
        <v>1.94702</v>
      </c>
      <c r="JQ19">
        <v>2.65381</v>
      </c>
      <c r="JR19">
        <v>2.19482</v>
      </c>
      <c r="JS19">
        <v>2.56714</v>
      </c>
      <c r="JT19">
        <v>35.244</v>
      </c>
      <c r="JU19">
        <v>24.0787</v>
      </c>
      <c r="JV19">
        <v>18</v>
      </c>
      <c r="JW19">
        <v>600.509</v>
      </c>
      <c r="JX19">
        <v>721.687</v>
      </c>
      <c r="JY19">
        <v>15.9223</v>
      </c>
      <c r="JZ19">
        <v>23.2994</v>
      </c>
      <c r="KA19">
        <v>30.0001</v>
      </c>
      <c r="KB19">
        <v>23.1437</v>
      </c>
      <c r="KC19">
        <v>23.0642</v>
      </c>
      <c r="KD19">
        <v>25.994</v>
      </c>
      <c r="KE19">
        <v>20.6133</v>
      </c>
      <c r="KF19">
        <v>84.0188</v>
      </c>
      <c r="KG19">
        <v>15.9164</v>
      </c>
      <c r="KH19">
        <v>420</v>
      </c>
      <c r="KI19">
        <v>19.254</v>
      </c>
      <c r="KJ19">
        <v>102.187</v>
      </c>
      <c r="KK19">
        <v>101.365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2025-10-17T21:49:02Z</dcterms:created>
  <dcterms:modified xsi:type="dcterms:W3CDTF">2025-10-17T21:49:02Z</dcterms:modified>
</cp:coreProperties>
</file>